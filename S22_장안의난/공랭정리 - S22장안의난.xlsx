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ppo\OneDrive\Escritorio\"/>
    </mc:Choice>
  </mc:AlternateContent>
  <xr:revisionPtr revIDLastSave="0" documentId="13_ncr:1_{FC9E0E1A-272C-4DCC-9622-BB5928CADF2F}" xr6:coauthVersionLast="47" xr6:coauthVersionMax="47" xr10:uidLastSave="{00000000-0000-0000-0000-000000000000}"/>
  <bookViews>
    <workbookView xWindow="14340" yWindow="315" windowWidth="28380" windowHeight="20805" tabRatio="802" activeTab="5" xr2:uid="{9613A4B2-6C1F-4434-A126-1C2CB1344B05}"/>
  </bookViews>
  <sheets>
    <sheet name="전체 통계" sheetId="5" r:id="rId1"/>
    <sheet name="전체 랭킹 (250918)" sheetId="1" r:id="rId2"/>
    <sheet name="하삼주(250918)" sheetId="2" r:id="rId3"/>
    <sheet name="전체 랭킹 (250929)" sheetId="3" r:id="rId4"/>
    <sheet name="하삼주 (250929)" sheetId="4" r:id="rId5"/>
    <sheet name="전체 랭킹 (251006)" sheetId="6" r:id="rId6"/>
    <sheet name="하삼주 (251006)" sheetId="7" r:id="rId7"/>
    <sheet name="일간 데이터 변화 관측" sheetId="8" r:id="rId8"/>
    <sheet name="251013" sheetId="15" r:id="rId9"/>
    <sheet name="251014" sheetId="16" r:id="rId10"/>
    <sheet name="251015" sheetId="17" r:id="rId11"/>
    <sheet name="251016" sheetId="18" r:id="rId12"/>
    <sheet name="251017" sheetId="19" r:id="rId13"/>
    <sheet name="251018" sheetId="20" r:id="rId14"/>
    <sheet name="251008_0시" sheetId="9" r:id="rId15"/>
    <sheet name="251009_0시" sheetId="10" r:id="rId16"/>
    <sheet name="251010_0시" sheetId="11" r:id="rId17"/>
    <sheet name="251011_0시" sheetId="12" r:id="rId18"/>
    <sheet name="251012_0시" sheetId="13" r:id="rId19"/>
    <sheet name="251013_0시" sheetId="14" r:id="rId20"/>
  </sheets>
  <definedNames>
    <definedName name="_xlnm._FilterDatabase" localSheetId="14" hidden="1">'251008_0시'!$A$1:$M$200</definedName>
    <definedName name="_xlnm._FilterDatabase" localSheetId="19" hidden="1">'251013_0시'!$A$1:$M$199</definedName>
    <definedName name="_xlnm._FilterDatabase" localSheetId="7" hidden="1">'일간 데이터 변화 관측'!$AF$5:$BH$200</definedName>
    <definedName name="_xlnm._FilterDatabase" localSheetId="1" hidden="1">'전체 랭킹 (250918)'!$A$13:$C$613</definedName>
    <definedName name="_xlnm._FilterDatabase" localSheetId="3" hidden="1">'전체 랭킹 (250929)'!$A$13:$C$613</definedName>
    <definedName name="_xlnm._FilterDatabase" localSheetId="5" hidden="1">'전체 랭킹 (251006)'!$A$13:$C$613</definedName>
    <definedName name="_xlnm._FilterDatabase" localSheetId="0" hidden="1">'전체 통계'!$P$2:$W$212</definedName>
    <definedName name="_xlnm._FilterDatabase" localSheetId="4" hidden="1">'하삼주 (250929)'!$A$1:$H$318</definedName>
    <definedName name="_xlnm._FilterDatabase" localSheetId="6" hidden="1">'하삼주 (251006)'!$A$1:$H$318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7" l="1"/>
  <c r="H4" i="7"/>
  <c r="H2" i="7"/>
  <c r="BH7" i="8"/>
  <c r="BH14" i="8"/>
  <c r="BH11" i="8"/>
  <c r="BH8" i="8"/>
  <c r="BH16" i="8"/>
  <c r="BH20" i="8"/>
  <c r="BH12" i="8"/>
  <c r="BH10" i="8"/>
  <c r="BH49" i="8"/>
  <c r="BH15" i="8"/>
  <c r="BH18" i="8"/>
  <c r="BH23" i="8"/>
  <c r="BH13" i="8"/>
  <c r="BH9" i="8"/>
  <c r="BH29" i="8"/>
  <c r="BH17" i="8"/>
  <c r="BH54" i="8"/>
  <c r="BH25" i="8"/>
  <c r="BH86" i="8"/>
  <c r="BH44" i="8"/>
  <c r="BH33" i="8"/>
  <c r="BH30" i="8"/>
  <c r="BH64" i="8"/>
  <c r="BH46" i="8"/>
  <c r="BH45" i="8"/>
  <c r="BH26" i="8"/>
  <c r="BH77" i="8"/>
  <c r="BH35" i="8"/>
  <c r="BH36" i="8"/>
  <c r="BH72" i="8"/>
  <c r="BH19" i="8"/>
  <c r="BH61" i="8"/>
  <c r="BH57" i="8"/>
  <c r="BH73" i="8"/>
  <c r="BH70" i="8"/>
  <c r="BH42" i="8"/>
  <c r="BH63" i="8"/>
  <c r="BH56" i="8"/>
  <c r="BH38" i="8"/>
  <c r="BH53" i="8"/>
  <c r="BH67" i="8"/>
  <c r="BH91" i="8"/>
  <c r="BH93" i="8"/>
  <c r="BH34" i="8"/>
  <c r="BH52" i="8"/>
  <c r="BH111" i="8"/>
  <c r="BH22" i="8"/>
  <c r="BH31" i="8"/>
  <c r="BH85" i="8"/>
  <c r="BH78" i="8"/>
  <c r="BH69" i="8"/>
  <c r="BH118" i="8"/>
  <c r="BH76" i="8"/>
  <c r="BH27" i="8"/>
  <c r="BH28" i="8"/>
  <c r="BH32" i="8"/>
  <c r="BH92" i="8"/>
  <c r="BH43" i="8"/>
  <c r="BH99" i="8"/>
  <c r="BH50" i="8"/>
  <c r="BH108" i="8"/>
  <c r="BH65" i="8"/>
  <c r="BH47" i="8"/>
  <c r="BH79" i="8"/>
  <c r="BH89" i="8"/>
  <c r="BH128" i="8"/>
  <c r="BH105" i="8"/>
  <c r="BH121" i="8"/>
  <c r="BH39" i="8"/>
  <c r="BH117" i="8"/>
  <c r="BH95" i="8"/>
  <c r="BH110" i="8"/>
  <c r="BH41" i="8"/>
  <c r="BH60" i="8"/>
  <c r="BH107" i="8"/>
  <c r="BH62" i="8"/>
  <c r="BH88" i="8"/>
  <c r="BH83" i="8"/>
  <c r="BH96" i="8"/>
  <c r="BH81" i="8"/>
  <c r="BH102" i="8"/>
  <c r="BH87" i="8"/>
  <c r="BH100" i="8"/>
  <c r="BH40" i="8"/>
  <c r="BH113" i="8"/>
  <c r="BH98" i="8"/>
  <c r="BH101" i="8"/>
  <c r="BH66" i="8"/>
  <c r="BH48" i="8"/>
  <c r="BH90" i="8"/>
  <c r="BH51" i="8"/>
  <c r="BH68" i="8"/>
  <c r="BH84" i="8"/>
  <c r="BH55" i="8"/>
  <c r="BH21" i="8"/>
  <c r="BH59" i="8"/>
  <c r="BH74" i="8"/>
  <c r="BH82" i="8"/>
  <c r="BH119" i="8"/>
  <c r="BH24" i="8"/>
  <c r="BH139" i="8"/>
  <c r="BH94" i="8"/>
  <c r="BH124" i="8"/>
  <c r="BH122" i="8"/>
  <c r="BH37" i="8"/>
  <c r="BH114" i="8"/>
  <c r="BH129" i="8"/>
  <c r="BH134" i="8"/>
  <c r="BH80" i="8"/>
  <c r="BH115" i="8"/>
  <c r="BH58" i="8"/>
  <c r="BH104" i="8"/>
  <c r="BH132" i="8"/>
  <c r="BH109" i="8"/>
  <c r="BH133" i="8"/>
  <c r="BH161" i="8"/>
  <c r="BH138" i="8"/>
  <c r="BH97" i="8"/>
  <c r="BH116" i="8"/>
  <c r="BH127" i="8"/>
  <c r="BH106" i="8"/>
  <c r="BH131" i="8"/>
  <c r="BH143" i="8"/>
  <c r="BH125" i="8"/>
  <c r="BH103" i="8"/>
  <c r="BH120" i="8"/>
  <c r="BH145" i="8"/>
  <c r="BH162" i="8"/>
  <c r="BH157" i="8"/>
  <c r="BH148" i="8"/>
  <c r="BH142" i="8"/>
  <c r="BH154" i="8"/>
  <c r="BH158" i="8"/>
  <c r="BH137" i="8"/>
  <c r="BH175" i="8"/>
  <c r="BH135" i="8"/>
  <c r="BH153" i="8"/>
  <c r="BH171" i="8"/>
  <c r="BH71" i="8"/>
  <c r="BH163" i="8"/>
  <c r="BH178" i="8"/>
  <c r="BH141" i="8"/>
  <c r="BH126" i="8"/>
  <c r="BH155" i="8"/>
  <c r="BH140" i="8"/>
  <c r="BH75" i="8"/>
  <c r="BH151" i="8"/>
  <c r="BH180" i="8"/>
  <c r="BH179" i="8"/>
  <c r="BH149" i="8"/>
  <c r="BH156" i="8"/>
  <c r="BH183" i="8"/>
  <c r="BH112" i="8"/>
  <c r="BH176" i="8"/>
  <c r="BH123" i="8"/>
  <c r="BH167" i="8"/>
  <c r="BH169" i="8"/>
  <c r="BH150" i="8"/>
  <c r="BH152" i="8"/>
  <c r="BH166" i="8"/>
  <c r="BH130" i="8"/>
  <c r="BH173" i="8"/>
  <c r="BH136" i="8"/>
  <c r="BH174" i="8"/>
  <c r="BH165" i="8"/>
  <c r="BH146" i="8"/>
  <c r="BH164" i="8"/>
  <c r="BH182" i="8"/>
  <c r="BH170" i="8"/>
  <c r="BH186" i="8"/>
  <c r="BH160" i="8"/>
  <c r="BH147" i="8"/>
  <c r="BH187" i="8"/>
  <c r="BH159" i="8"/>
  <c r="BH188" i="8"/>
  <c r="BH144" i="8"/>
  <c r="BH185" i="8"/>
  <c r="BH181" i="8"/>
  <c r="BH177" i="8"/>
  <c r="BH168" i="8"/>
  <c r="BH172" i="8"/>
  <c r="BH184" i="8"/>
  <c r="BH6" i="8"/>
  <c r="BC7" i="8"/>
  <c r="BD7" i="8"/>
  <c r="BC14" i="8"/>
  <c r="BD14" i="8"/>
  <c r="BC11" i="8"/>
  <c r="BD11" i="8"/>
  <c r="BC8" i="8"/>
  <c r="BD8" i="8"/>
  <c r="BC16" i="8"/>
  <c r="BD16" i="8"/>
  <c r="BC20" i="8"/>
  <c r="BD20" i="8"/>
  <c r="BC12" i="8"/>
  <c r="BD12" i="8"/>
  <c r="BC10" i="8"/>
  <c r="BD10" i="8"/>
  <c r="BC49" i="8"/>
  <c r="BD49" i="8"/>
  <c r="BC15" i="8"/>
  <c r="BD15" i="8"/>
  <c r="BC18" i="8"/>
  <c r="BD18" i="8"/>
  <c r="BC23" i="8"/>
  <c r="BD23" i="8"/>
  <c r="BC13" i="8"/>
  <c r="BD13" i="8"/>
  <c r="BC9" i="8"/>
  <c r="BD9" i="8"/>
  <c r="BC29" i="8"/>
  <c r="BD29" i="8"/>
  <c r="BC17" i="8"/>
  <c r="BD17" i="8"/>
  <c r="BC54" i="8"/>
  <c r="BD54" i="8"/>
  <c r="BC25" i="8"/>
  <c r="BD25" i="8"/>
  <c r="BC86" i="8"/>
  <c r="BD86" i="8"/>
  <c r="BC44" i="8"/>
  <c r="BD44" i="8"/>
  <c r="BC33" i="8"/>
  <c r="BD33" i="8"/>
  <c r="BC30" i="8"/>
  <c r="BD30" i="8"/>
  <c r="BC64" i="8"/>
  <c r="BD64" i="8"/>
  <c r="BC46" i="8"/>
  <c r="BD46" i="8"/>
  <c r="BC45" i="8"/>
  <c r="BD45" i="8"/>
  <c r="BC26" i="8"/>
  <c r="BD26" i="8"/>
  <c r="BC77" i="8"/>
  <c r="BD77" i="8"/>
  <c r="BC35" i="8"/>
  <c r="BD35" i="8"/>
  <c r="BC36" i="8"/>
  <c r="BD36" i="8"/>
  <c r="BC72" i="8"/>
  <c r="BD72" i="8"/>
  <c r="BC19" i="8"/>
  <c r="BD19" i="8"/>
  <c r="BC61" i="8"/>
  <c r="BD61" i="8"/>
  <c r="BC57" i="8"/>
  <c r="BD57" i="8"/>
  <c r="BC73" i="8"/>
  <c r="BD73" i="8"/>
  <c r="BC70" i="8"/>
  <c r="BD70" i="8"/>
  <c r="BC42" i="8"/>
  <c r="BD42" i="8"/>
  <c r="BC63" i="8"/>
  <c r="BD63" i="8"/>
  <c r="BC56" i="8"/>
  <c r="BD56" i="8"/>
  <c r="BC38" i="8"/>
  <c r="BD38" i="8"/>
  <c r="BC53" i="8"/>
  <c r="BD53" i="8"/>
  <c r="BC67" i="8"/>
  <c r="BD67" i="8"/>
  <c r="BC91" i="8"/>
  <c r="BD91" i="8"/>
  <c r="BC93" i="8"/>
  <c r="BD93" i="8"/>
  <c r="BC34" i="8"/>
  <c r="BD34" i="8"/>
  <c r="BC52" i="8"/>
  <c r="BD52" i="8"/>
  <c r="BC111" i="8"/>
  <c r="BD111" i="8"/>
  <c r="BC22" i="8"/>
  <c r="BD22" i="8"/>
  <c r="BC31" i="8"/>
  <c r="BD31" i="8"/>
  <c r="BC85" i="8"/>
  <c r="BD85" i="8"/>
  <c r="BC78" i="8"/>
  <c r="BD78" i="8"/>
  <c r="BC69" i="8"/>
  <c r="BD69" i="8"/>
  <c r="BC118" i="8"/>
  <c r="BD118" i="8"/>
  <c r="BC76" i="8"/>
  <c r="BD76" i="8"/>
  <c r="BC27" i="8"/>
  <c r="BD27" i="8"/>
  <c r="BC28" i="8"/>
  <c r="BD28" i="8"/>
  <c r="BC32" i="8"/>
  <c r="BD32" i="8"/>
  <c r="BC92" i="8"/>
  <c r="BD92" i="8"/>
  <c r="BC43" i="8"/>
  <c r="BD43" i="8"/>
  <c r="BC99" i="8"/>
  <c r="BD99" i="8"/>
  <c r="BC50" i="8"/>
  <c r="BD50" i="8"/>
  <c r="BC108" i="8"/>
  <c r="BD108" i="8"/>
  <c r="BC65" i="8"/>
  <c r="BD65" i="8"/>
  <c r="BC47" i="8"/>
  <c r="BD47" i="8"/>
  <c r="BC79" i="8"/>
  <c r="BD79" i="8"/>
  <c r="BC89" i="8"/>
  <c r="BD89" i="8"/>
  <c r="BC128" i="8"/>
  <c r="BD128" i="8"/>
  <c r="BC105" i="8"/>
  <c r="BD105" i="8"/>
  <c r="BC121" i="8"/>
  <c r="BD121" i="8"/>
  <c r="BC39" i="8"/>
  <c r="BD39" i="8"/>
  <c r="BC117" i="8"/>
  <c r="BD117" i="8"/>
  <c r="BC95" i="8"/>
  <c r="BD95" i="8"/>
  <c r="BC110" i="8"/>
  <c r="BD110" i="8"/>
  <c r="BC41" i="8"/>
  <c r="BD41" i="8"/>
  <c r="BC60" i="8"/>
  <c r="BD60" i="8"/>
  <c r="BC107" i="8"/>
  <c r="BD107" i="8"/>
  <c r="BC62" i="8"/>
  <c r="BD62" i="8"/>
  <c r="BC88" i="8"/>
  <c r="BD88" i="8"/>
  <c r="BC83" i="8"/>
  <c r="BD83" i="8"/>
  <c r="BC96" i="8"/>
  <c r="BD96" i="8"/>
  <c r="BC81" i="8"/>
  <c r="BD81" i="8"/>
  <c r="BC102" i="8"/>
  <c r="BD102" i="8"/>
  <c r="BC87" i="8"/>
  <c r="BD87" i="8"/>
  <c r="BC100" i="8"/>
  <c r="BD100" i="8"/>
  <c r="BC40" i="8"/>
  <c r="BD40" i="8"/>
  <c r="BC113" i="8"/>
  <c r="BD113" i="8"/>
  <c r="BC98" i="8"/>
  <c r="BD98" i="8"/>
  <c r="BC101" i="8"/>
  <c r="BD101" i="8"/>
  <c r="BC66" i="8"/>
  <c r="BD66" i="8"/>
  <c r="BC48" i="8"/>
  <c r="BD48" i="8"/>
  <c r="BC90" i="8"/>
  <c r="BD90" i="8"/>
  <c r="BC51" i="8"/>
  <c r="BD51" i="8"/>
  <c r="BC68" i="8"/>
  <c r="BD68" i="8"/>
  <c r="BC84" i="8"/>
  <c r="BD84" i="8"/>
  <c r="BC55" i="8"/>
  <c r="BD55" i="8"/>
  <c r="BC21" i="8"/>
  <c r="BD21" i="8"/>
  <c r="BC59" i="8"/>
  <c r="BD59" i="8"/>
  <c r="BC74" i="8"/>
  <c r="BD74" i="8"/>
  <c r="BC82" i="8"/>
  <c r="BD82" i="8"/>
  <c r="BC119" i="8"/>
  <c r="BD119" i="8"/>
  <c r="BC24" i="8"/>
  <c r="BD24" i="8"/>
  <c r="BC139" i="8"/>
  <c r="BD139" i="8"/>
  <c r="BC94" i="8"/>
  <c r="BD94" i="8"/>
  <c r="BC124" i="8"/>
  <c r="BD124" i="8"/>
  <c r="BC122" i="8"/>
  <c r="BD122" i="8"/>
  <c r="BC37" i="8"/>
  <c r="BD37" i="8"/>
  <c r="BC114" i="8"/>
  <c r="BD114" i="8"/>
  <c r="BC129" i="8"/>
  <c r="BD129" i="8"/>
  <c r="BC134" i="8"/>
  <c r="BD134" i="8"/>
  <c r="BC80" i="8"/>
  <c r="BD80" i="8"/>
  <c r="BC115" i="8"/>
  <c r="BD115" i="8"/>
  <c r="BC58" i="8"/>
  <c r="BD58" i="8"/>
  <c r="BC104" i="8"/>
  <c r="BD104" i="8"/>
  <c r="BC132" i="8"/>
  <c r="BD132" i="8"/>
  <c r="BC109" i="8"/>
  <c r="BD109" i="8"/>
  <c r="BC133" i="8"/>
  <c r="BD133" i="8"/>
  <c r="BC161" i="8"/>
  <c r="BD161" i="8"/>
  <c r="BC138" i="8"/>
  <c r="BD138" i="8"/>
  <c r="BC97" i="8"/>
  <c r="BD97" i="8"/>
  <c r="BC116" i="8"/>
  <c r="BD116" i="8"/>
  <c r="BC127" i="8"/>
  <c r="BD127" i="8"/>
  <c r="BC106" i="8"/>
  <c r="BD106" i="8"/>
  <c r="BC131" i="8"/>
  <c r="BD131" i="8"/>
  <c r="BC143" i="8"/>
  <c r="BD143" i="8"/>
  <c r="BC125" i="8"/>
  <c r="BD125" i="8"/>
  <c r="BC103" i="8"/>
  <c r="BD103" i="8"/>
  <c r="BC120" i="8"/>
  <c r="BD120" i="8"/>
  <c r="BC145" i="8"/>
  <c r="BD145" i="8"/>
  <c r="BC162" i="8"/>
  <c r="BD162" i="8"/>
  <c r="BC157" i="8"/>
  <c r="BD157" i="8"/>
  <c r="BC148" i="8"/>
  <c r="BD148" i="8"/>
  <c r="BC142" i="8"/>
  <c r="BD142" i="8"/>
  <c r="BC154" i="8"/>
  <c r="BD154" i="8"/>
  <c r="BC158" i="8"/>
  <c r="BD158" i="8"/>
  <c r="BC137" i="8"/>
  <c r="BD137" i="8"/>
  <c r="BC175" i="8"/>
  <c r="BD175" i="8"/>
  <c r="BC135" i="8"/>
  <c r="BD135" i="8"/>
  <c r="BC153" i="8"/>
  <c r="BD153" i="8"/>
  <c r="BC171" i="8"/>
  <c r="BD171" i="8"/>
  <c r="BC71" i="8"/>
  <c r="BD71" i="8"/>
  <c r="BC163" i="8"/>
  <c r="BD163" i="8"/>
  <c r="BC178" i="8"/>
  <c r="BD178" i="8"/>
  <c r="BC141" i="8"/>
  <c r="BD141" i="8"/>
  <c r="BC126" i="8"/>
  <c r="BD126" i="8"/>
  <c r="BC155" i="8"/>
  <c r="BD155" i="8"/>
  <c r="BC140" i="8"/>
  <c r="BD140" i="8"/>
  <c r="BC75" i="8"/>
  <c r="BD75" i="8"/>
  <c r="BC151" i="8"/>
  <c r="BD151" i="8"/>
  <c r="BC180" i="8"/>
  <c r="BD180" i="8"/>
  <c r="BC179" i="8"/>
  <c r="BD179" i="8"/>
  <c r="BC149" i="8"/>
  <c r="BD149" i="8"/>
  <c r="BC156" i="8"/>
  <c r="BD156" i="8"/>
  <c r="BC183" i="8"/>
  <c r="BD183" i="8"/>
  <c r="BC112" i="8"/>
  <c r="BD112" i="8"/>
  <c r="BC176" i="8"/>
  <c r="BD176" i="8"/>
  <c r="BC123" i="8"/>
  <c r="BD123" i="8"/>
  <c r="BC167" i="8"/>
  <c r="BD167" i="8"/>
  <c r="BC169" i="8"/>
  <c r="BD169" i="8"/>
  <c r="BC150" i="8"/>
  <c r="BD150" i="8"/>
  <c r="BC152" i="8"/>
  <c r="BD152" i="8"/>
  <c r="BC166" i="8"/>
  <c r="BD166" i="8"/>
  <c r="BC130" i="8"/>
  <c r="BD130" i="8"/>
  <c r="BC173" i="8"/>
  <c r="BD173" i="8"/>
  <c r="BC136" i="8"/>
  <c r="BD136" i="8"/>
  <c r="BC174" i="8"/>
  <c r="BD174" i="8"/>
  <c r="BC165" i="8"/>
  <c r="BD165" i="8"/>
  <c r="BC146" i="8"/>
  <c r="BD146" i="8"/>
  <c r="BC164" i="8"/>
  <c r="BD164" i="8"/>
  <c r="BC182" i="8"/>
  <c r="BD182" i="8"/>
  <c r="BC170" i="8"/>
  <c r="BD170" i="8"/>
  <c r="BC186" i="8"/>
  <c r="BD186" i="8"/>
  <c r="BC160" i="8"/>
  <c r="BD160" i="8"/>
  <c r="BC147" i="8"/>
  <c r="BD147" i="8"/>
  <c r="BC187" i="8"/>
  <c r="BD187" i="8"/>
  <c r="BC159" i="8"/>
  <c r="BD159" i="8"/>
  <c r="BC188" i="8"/>
  <c r="BD188" i="8"/>
  <c r="BC144" i="8"/>
  <c r="BD144" i="8"/>
  <c r="BC185" i="8"/>
  <c r="BD185" i="8"/>
  <c r="BC181" i="8"/>
  <c r="BD181" i="8"/>
  <c r="BC177" i="8"/>
  <c r="BD177" i="8"/>
  <c r="BC168" i="8"/>
  <c r="BD168" i="8"/>
  <c r="BC172" i="8"/>
  <c r="BD172" i="8"/>
  <c r="BC184" i="8"/>
  <c r="BD184" i="8"/>
  <c r="BD6" i="8"/>
  <c r="BC6" i="8"/>
  <c r="AX7" i="8"/>
  <c r="AY7" i="8"/>
  <c r="AX14" i="8"/>
  <c r="AY14" i="8"/>
  <c r="BG14" i="8" s="1"/>
  <c r="AX11" i="8"/>
  <c r="AY11" i="8"/>
  <c r="AX8" i="8"/>
  <c r="AY8" i="8"/>
  <c r="AX16" i="8"/>
  <c r="AY16" i="8"/>
  <c r="AX20" i="8"/>
  <c r="AY20" i="8"/>
  <c r="AX12" i="8"/>
  <c r="AY12" i="8"/>
  <c r="AX10" i="8"/>
  <c r="AY10" i="8"/>
  <c r="AX49" i="8"/>
  <c r="BE49" i="8" s="1"/>
  <c r="AY49" i="8"/>
  <c r="AX15" i="8"/>
  <c r="AY15" i="8"/>
  <c r="BG15" i="8" s="1"/>
  <c r="AX18" i="8"/>
  <c r="BE18" i="8" s="1"/>
  <c r="AY18" i="8"/>
  <c r="AX23" i="8"/>
  <c r="AY23" i="8"/>
  <c r="AX13" i="8"/>
  <c r="AY13" i="8"/>
  <c r="AX9" i="8"/>
  <c r="AY9" i="8"/>
  <c r="AX29" i="8"/>
  <c r="AY29" i="8"/>
  <c r="AX17" i="8"/>
  <c r="AY17" i="8"/>
  <c r="AX54" i="8"/>
  <c r="BE54" i="8" s="1"/>
  <c r="AY54" i="8"/>
  <c r="AX25" i="8"/>
  <c r="AY25" i="8"/>
  <c r="AX86" i="8"/>
  <c r="AY86" i="8"/>
  <c r="AX44" i="8"/>
  <c r="AY44" i="8"/>
  <c r="AX33" i="8"/>
  <c r="AY33" i="8"/>
  <c r="AX30" i="8"/>
  <c r="AY30" i="8"/>
  <c r="AX64" i="8"/>
  <c r="AY64" i="8"/>
  <c r="AX46" i="8"/>
  <c r="AY46" i="8"/>
  <c r="AX45" i="8"/>
  <c r="BE45" i="8" s="1"/>
  <c r="AY45" i="8"/>
  <c r="AX26" i="8"/>
  <c r="AY26" i="8"/>
  <c r="AX77" i="8"/>
  <c r="AY77" i="8"/>
  <c r="AX35" i="8"/>
  <c r="AY35" i="8"/>
  <c r="AX36" i="8"/>
  <c r="AY36" i="8"/>
  <c r="AX72" i="8"/>
  <c r="AY72" i="8"/>
  <c r="AX19" i="8"/>
  <c r="AY19" i="8"/>
  <c r="AX61" i="8"/>
  <c r="AY61" i="8"/>
  <c r="AX57" i="8"/>
  <c r="BE57" i="8" s="1"/>
  <c r="AY57" i="8"/>
  <c r="AX73" i="8"/>
  <c r="AY73" i="8"/>
  <c r="BG73" i="8" s="1"/>
  <c r="AX70" i="8"/>
  <c r="AY70" i="8"/>
  <c r="AX42" i="8"/>
  <c r="AY42" i="8"/>
  <c r="AX63" i="8"/>
  <c r="AY63" i="8"/>
  <c r="AX56" i="8"/>
  <c r="AY56" i="8"/>
  <c r="AX38" i="8"/>
  <c r="AY38" i="8"/>
  <c r="AX53" i="8"/>
  <c r="AY53" i="8"/>
  <c r="AX67" i="8"/>
  <c r="BE67" i="8" s="1"/>
  <c r="AY67" i="8"/>
  <c r="AX91" i="8"/>
  <c r="AY91" i="8"/>
  <c r="BG91" i="8" s="1"/>
  <c r="AX93" i="8"/>
  <c r="AY93" i="8"/>
  <c r="AX34" i="8"/>
  <c r="AY34" i="8"/>
  <c r="AX52" i="8"/>
  <c r="AY52" i="8"/>
  <c r="AX111" i="8"/>
  <c r="AY111" i="8"/>
  <c r="AX22" i="8"/>
  <c r="AY22" i="8"/>
  <c r="AX31" i="8"/>
  <c r="AY31" i="8"/>
  <c r="AX85" i="8"/>
  <c r="BE85" i="8" s="1"/>
  <c r="AY85" i="8"/>
  <c r="AX78" i="8"/>
  <c r="AY78" i="8"/>
  <c r="BG78" i="8" s="1"/>
  <c r="AX69" i="8"/>
  <c r="BE69" i="8" s="1"/>
  <c r="AY69" i="8"/>
  <c r="AX118" i="8"/>
  <c r="AY118" i="8"/>
  <c r="AX76" i="8"/>
  <c r="AY76" i="8"/>
  <c r="AX27" i="8"/>
  <c r="AY27" i="8"/>
  <c r="AX28" i="8"/>
  <c r="AY28" i="8"/>
  <c r="AX32" i="8"/>
  <c r="BE32" i="8" s="1"/>
  <c r="AY32" i="8"/>
  <c r="AX92" i="8"/>
  <c r="BE92" i="8" s="1"/>
  <c r="AY92" i="8"/>
  <c r="AX43" i="8"/>
  <c r="AY43" i="8"/>
  <c r="BG43" i="8" s="1"/>
  <c r="AX99" i="8"/>
  <c r="BE99" i="8" s="1"/>
  <c r="AY99" i="8"/>
  <c r="AX50" i="8"/>
  <c r="AY50" i="8"/>
  <c r="AX108" i="8"/>
  <c r="AY108" i="8"/>
  <c r="AX65" i="8"/>
  <c r="AY65" i="8"/>
  <c r="AX47" i="8"/>
  <c r="AY47" i="8"/>
  <c r="AX79" i="8"/>
  <c r="AY79" i="8"/>
  <c r="AX89" i="8"/>
  <c r="BE89" i="8" s="1"/>
  <c r="AY89" i="8"/>
  <c r="AX128" i="8"/>
  <c r="AY128" i="8"/>
  <c r="BG128" i="8" s="1"/>
  <c r="AX105" i="8"/>
  <c r="BE105" i="8" s="1"/>
  <c r="AY105" i="8"/>
  <c r="AX121" i="8"/>
  <c r="AY121" i="8"/>
  <c r="AX39" i="8"/>
  <c r="AY39" i="8"/>
  <c r="AX117" i="8"/>
  <c r="AY117" i="8"/>
  <c r="AX95" i="8"/>
  <c r="AY95" i="8"/>
  <c r="AX110" i="8"/>
  <c r="AY110" i="8"/>
  <c r="AX41" i="8"/>
  <c r="BE41" i="8" s="1"/>
  <c r="AY41" i="8"/>
  <c r="AX60" i="8"/>
  <c r="AY60" i="8"/>
  <c r="BG60" i="8" s="1"/>
  <c r="AX107" i="8"/>
  <c r="BE107" i="8" s="1"/>
  <c r="AY107" i="8"/>
  <c r="AX62" i="8"/>
  <c r="AY62" i="8"/>
  <c r="AX88" i="8"/>
  <c r="AY88" i="8"/>
  <c r="AX83" i="8"/>
  <c r="AY83" i="8"/>
  <c r="AX96" i="8"/>
  <c r="AY96" i="8"/>
  <c r="AX81" i="8"/>
  <c r="AY81" i="8"/>
  <c r="AX102" i="8"/>
  <c r="BE102" i="8" s="1"/>
  <c r="AY102" i="8"/>
  <c r="AX87" i="8"/>
  <c r="AY87" i="8"/>
  <c r="AX100" i="8"/>
  <c r="BE100" i="8" s="1"/>
  <c r="AY100" i="8"/>
  <c r="AX40" i="8"/>
  <c r="AY40" i="8"/>
  <c r="AX113" i="8"/>
  <c r="AY113" i="8"/>
  <c r="AX98" i="8"/>
  <c r="AY98" i="8"/>
  <c r="AX101" i="8"/>
  <c r="AY101" i="8"/>
  <c r="AX66" i="8"/>
  <c r="AY66" i="8"/>
  <c r="BG66" i="8" s="1"/>
  <c r="AX48" i="8"/>
  <c r="BE48" i="8" s="1"/>
  <c r="AY48" i="8"/>
  <c r="AX90" i="8"/>
  <c r="AY90" i="8"/>
  <c r="AX51" i="8"/>
  <c r="AY51" i="8"/>
  <c r="AX68" i="8"/>
  <c r="AY68" i="8"/>
  <c r="AX84" i="8"/>
  <c r="AY84" i="8"/>
  <c r="AX55" i="8"/>
  <c r="AY55" i="8"/>
  <c r="AX21" i="8"/>
  <c r="AY21" i="8"/>
  <c r="BG21" i="8" s="1"/>
  <c r="AX59" i="8"/>
  <c r="AY59" i="8"/>
  <c r="AX74" i="8"/>
  <c r="BE74" i="8" s="1"/>
  <c r="AY74" i="8"/>
  <c r="AX82" i="8"/>
  <c r="AY82" i="8"/>
  <c r="AX119" i="8"/>
  <c r="AY119" i="8"/>
  <c r="AX24" i="8"/>
  <c r="AY24" i="8"/>
  <c r="AX139" i="8"/>
  <c r="AY139" i="8"/>
  <c r="AX94" i="8"/>
  <c r="AY94" i="8"/>
  <c r="AX124" i="8"/>
  <c r="AY124" i="8"/>
  <c r="AX122" i="8"/>
  <c r="AY122" i="8"/>
  <c r="AX37" i="8"/>
  <c r="BE37" i="8" s="1"/>
  <c r="AY37" i="8"/>
  <c r="AX114" i="8"/>
  <c r="AY114" i="8"/>
  <c r="BG114" i="8" s="1"/>
  <c r="AX129" i="8"/>
  <c r="AY129" i="8"/>
  <c r="AX134" i="8"/>
  <c r="AY134" i="8"/>
  <c r="AX80" i="8"/>
  <c r="AY80" i="8"/>
  <c r="AX115" i="8"/>
  <c r="AY115" i="8"/>
  <c r="BG115" i="8" s="1"/>
  <c r="AX58" i="8"/>
  <c r="AY58" i="8"/>
  <c r="AX104" i="8"/>
  <c r="AY104" i="8"/>
  <c r="AX132" i="8"/>
  <c r="BE132" i="8" s="1"/>
  <c r="AY132" i="8"/>
  <c r="AX109" i="8"/>
  <c r="AY109" i="8"/>
  <c r="BG109" i="8" s="1"/>
  <c r="AX133" i="8"/>
  <c r="AY133" i="8"/>
  <c r="AX161" i="8"/>
  <c r="AY161" i="8"/>
  <c r="AX138" i="8"/>
  <c r="AY138" i="8"/>
  <c r="AX97" i="8"/>
  <c r="AY97" i="8"/>
  <c r="AX116" i="8"/>
  <c r="AY116" i="8"/>
  <c r="AX127" i="8"/>
  <c r="AY127" i="8"/>
  <c r="AX106" i="8"/>
  <c r="BE106" i="8" s="1"/>
  <c r="AY106" i="8"/>
  <c r="AX131" i="8"/>
  <c r="AY131" i="8"/>
  <c r="BG131" i="8" s="1"/>
  <c r="AX143" i="8"/>
  <c r="BE143" i="8" s="1"/>
  <c r="AY143" i="8"/>
  <c r="AX125" i="8"/>
  <c r="AY125" i="8"/>
  <c r="AX103" i="8"/>
  <c r="AY103" i="8"/>
  <c r="AX120" i="8"/>
  <c r="AY120" i="8"/>
  <c r="AX145" i="8"/>
  <c r="AY145" i="8"/>
  <c r="AX162" i="8"/>
  <c r="AY162" i="8"/>
  <c r="AX157" i="8"/>
  <c r="BE157" i="8" s="1"/>
  <c r="AY157" i="8"/>
  <c r="AX148" i="8"/>
  <c r="AY148" i="8"/>
  <c r="BG148" i="8" s="1"/>
  <c r="AX142" i="8"/>
  <c r="BE142" i="8" s="1"/>
  <c r="AY142" i="8"/>
  <c r="AX154" i="8"/>
  <c r="AY154" i="8"/>
  <c r="AX158" i="8"/>
  <c r="AY158" i="8"/>
  <c r="AX137" i="8"/>
  <c r="AY137" i="8"/>
  <c r="AX175" i="8"/>
  <c r="AY175" i="8"/>
  <c r="AX135" i="8"/>
  <c r="AY135" i="8"/>
  <c r="AX153" i="8"/>
  <c r="BE153" i="8" s="1"/>
  <c r="AY153" i="8"/>
  <c r="AX171" i="8"/>
  <c r="AY171" i="8"/>
  <c r="BG171" i="8" s="1"/>
  <c r="AX71" i="8"/>
  <c r="BE71" i="8" s="1"/>
  <c r="AY71" i="8"/>
  <c r="AX163" i="8"/>
  <c r="AY163" i="8"/>
  <c r="AX178" i="8"/>
  <c r="AY178" i="8"/>
  <c r="AX141" i="8"/>
  <c r="AY141" i="8"/>
  <c r="AX126" i="8"/>
  <c r="AY126" i="8"/>
  <c r="AX155" i="8"/>
  <c r="AY155" i="8"/>
  <c r="AX140" i="8"/>
  <c r="BE140" i="8" s="1"/>
  <c r="AY140" i="8"/>
  <c r="AX75" i="8"/>
  <c r="AY75" i="8"/>
  <c r="AX151" i="8"/>
  <c r="AY151" i="8"/>
  <c r="AX180" i="8"/>
  <c r="AY180" i="8"/>
  <c r="AX179" i="8"/>
  <c r="AY179" i="8"/>
  <c r="AX149" i="8"/>
  <c r="AY149" i="8"/>
  <c r="AX156" i="8"/>
  <c r="AY156" i="8"/>
  <c r="AX183" i="8"/>
  <c r="AY183" i="8"/>
  <c r="AX112" i="8"/>
  <c r="BE112" i="8" s="1"/>
  <c r="AY112" i="8"/>
  <c r="AX176" i="8"/>
  <c r="AY176" i="8"/>
  <c r="BG176" i="8" s="1"/>
  <c r="AX123" i="8"/>
  <c r="BE123" i="8" s="1"/>
  <c r="AY123" i="8"/>
  <c r="AX167" i="8"/>
  <c r="AY167" i="8"/>
  <c r="AX169" i="8"/>
  <c r="AY169" i="8"/>
  <c r="AX150" i="8"/>
  <c r="AY150" i="8"/>
  <c r="AX152" i="8"/>
  <c r="AY152" i="8"/>
  <c r="AX166" i="8"/>
  <c r="AY166" i="8"/>
  <c r="AX130" i="8"/>
  <c r="BE130" i="8" s="1"/>
  <c r="AY130" i="8"/>
  <c r="AX173" i="8"/>
  <c r="AY173" i="8"/>
  <c r="AX136" i="8"/>
  <c r="BE136" i="8" s="1"/>
  <c r="AY136" i="8"/>
  <c r="AX174" i="8"/>
  <c r="AY174" i="8"/>
  <c r="AX165" i="8"/>
  <c r="AY165" i="8"/>
  <c r="AX146" i="8"/>
  <c r="AY146" i="8"/>
  <c r="AX164" i="8"/>
  <c r="AY164" i="8"/>
  <c r="AX182" i="8"/>
  <c r="BE182" i="8" s="1"/>
  <c r="AY182" i="8"/>
  <c r="AX170" i="8"/>
  <c r="AY170" i="8"/>
  <c r="AX186" i="8"/>
  <c r="AY186" i="8"/>
  <c r="BG186" i="8" s="1"/>
  <c r="AX160" i="8"/>
  <c r="AY160" i="8"/>
  <c r="AX147" i="8"/>
  <c r="AY147" i="8"/>
  <c r="AX187" i="8"/>
  <c r="AY187" i="8"/>
  <c r="AX159" i="8"/>
  <c r="BE159" i="8" s="1"/>
  <c r="AY159" i="8"/>
  <c r="AX188" i="8"/>
  <c r="BE188" i="8" s="1"/>
  <c r="AY188" i="8"/>
  <c r="BG188" i="8" s="1"/>
  <c r="AX144" i="8"/>
  <c r="AY144" i="8"/>
  <c r="AX185" i="8"/>
  <c r="AY185" i="8"/>
  <c r="AX181" i="8"/>
  <c r="AY181" i="8"/>
  <c r="AX177" i="8"/>
  <c r="AY177" i="8"/>
  <c r="AX168" i="8"/>
  <c r="AY168" i="8"/>
  <c r="AX172" i="8"/>
  <c r="AY172" i="8"/>
  <c r="AX184" i="8"/>
  <c r="AY184" i="8"/>
  <c r="AY6" i="8"/>
  <c r="AX6" i="8"/>
  <c r="BE61" i="8"/>
  <c r="BG32" i="8"/>
  <c r="BG96" i="8"/>
  <c r="BG132" i="8"/>
  <c r="AS7" i="8"/>
  <c r="AT7" i="8"/>
  <c r="AS8" i="8"/>
  <c r="AT8" i="8"/>
  <c r="AS11" i="8"/>
  <c r="AT11" i="8"/>
  <c r="BB11" i="8" s="1"/>
  <c r="AS9" i="8"/>
  <c r="AT9" i="8"/>
  <c r="AS10" i="8"/>
  <c r="AZ10" i="8" s="1"/>
  <c r="AT10" i="8"/>
  <c r="BB10" i="8" s="1"/>
  <c r="AS13" i="8"/>
  <c r="AT13" i="8"/>
  <c r="AS14" i="8"/>
  <c r="AZ14" i="8" s="1"/>
  <c r="AT14" i="8"/>
  <c r="AS16" i="8"/>
  <c r="AT16" i="8"/>
  <c r="AS38" i="8"/>
  <c r="AT38" i="8"/>
  <c r="BB38" i="8" s="1"/>
  <c r="AS15" i="8"/>
  <c r="AZ15" i="8" s="1"/>
  <c r="AT15" i="8"/>
  <c r="AS12" i="8"/>
  <c r="AT12" i="8"/>
  <c r="BB12" i="8" s="1"/>
  <c r="AS17" i="8"/>
  <c r="AZ17" i="8" s="1"/>
  <c r="AT17" i="8"/>
  <c r="BB17" i="8" s="1"/>
  <c r="AS19" i="8"/>
  <c r="AT19" i="8"/>
  <c r="AS22" i="8"/>
  <c r="AT22" i="8"/>
  <c r="BB22" i="8" s="1"/>
  <c r="AS24" i="8"/>
  <c r="AT24" i="8"/>
  <c r="AS23" i="8"/>
  <c r="AT23" i="8"/>
  <c r="AS39" i="8"/>
  <c r="AT39" i="8"/>
  <c r="AS35" i="8"/>
  <c r="AT35" i="8"/>
  <c r="AS18" i="8"/>
  <c r="AT18" i="8"/>
  <c r="BB18" i="8" s="1"/>
  <c r="AS36" i="8"/>
  <c r="AT36" i="8"/>
  <c r="AS42" i="8"/>
  <c r="AT42" i="8"/>
  <c r="AS37" i="8"/>
  <c r="AT37" i="8"/>
  <c r="AS29" i="8"/>
  <c r="AT29" i="8"/>
  <c r="BB29" i="8" s="1"/>
  <c r="AS59" i="8"/>
  <c r="AZ59" i="8" s="1"/>
  <c r="AT59" i="8"/>
  <c r="AS33" i="8"/>
  <c r="AT33" i="8"/>
  <c r="AS46" i="8"/>
  <c r="AZ46" i="8" s="1"/>
  <c r="AT46" i="8"/>
  <c r="BB46" i="8" s="1"/>
  <c r="AS25" i="8"/>
  <c r="AZ25" i="8" s="1"/>
  <c r="AT25" i="8"/>
  <c r="AS47" i="8"/>
  <c r="AT47" i="8"/>
  <c r="BB47" i="8" s="1"/>
  <c r="AS21" i="8"/>
  <c r="AT21" i="8"/>
  <c r="AS41" i="8"/>
  <c r="AT41" i="8"/>
  <c r="AS40" i="8"/>
  <c r="AT40" i="8"/>
  <c r="AS50" i="8"/>
  <c r="AT50" i="8"/>
  <c r="AS20" i="8"/>
  <c r="AT20" i="8"/>
  <c r="AS27" i="8"/>
  <c r="AT27" i="8"/>
  <c r="AS28" i="8"/>
  <c r="AT28" i="8"/>
  <c r="BB28" i="8" s="1"/>
  <c r="AS30" i="8"/>
  <c r="AT30" i="8"/>
  <c r="AS26" i="8"/>
  <c r="AT26" i="8"/>
  <c r="AS45" i="8"/>
  <c r="AT45" i="8"/>
  <c r="AS44" i="8"/>
  <c r="AT44" i="8"/>
  <c r="AS63" i="8"/>
  <c r="AT63" i="8"/>
  <c r="AS66" i="8"/>
  <c r="AT66" i="8"/>
  <c r="AS53" i="8"/>
  <c r="AZ53" i="8" s="1"/>
  <c r="AT53" i="8"/>
  <c r="BB53" i="8" s="1"/>
  <c r="AS56" i="8"/>
  <c r="AT56" i="8"/>
  <c r="AS57" i="8"/>
  <c r="AT57" i="8"/>
  <c r="AS51" i="8"/>
  <c r="AT51" i="8"/>
  <c r="AS60" i="8"/>
  <c r="AT60" i="8"/>
  <c r="AS48" i="8"/>
  <c r="AT48" i="8"/>
  <c r="AS62" i="8"/>
  <c r="AT62" i="8"/>
  <c r="AS64" i="8"/>
  <c r="AT64" i="8"/>
  <c r="BB64" i="8" s="1"/>
  <c r="AS126" i="8"/>
  <c r="AT126" i="8"/>
  <c r="AS58" i="8"/>
  <c r="AT58" i="8"/>
  <c r="BB58" i="8" s="1"/>
  <c r="AS31" i="8"/>
  <c r="AZ31" i="8" s="1"/>
  <c r="AT31" i="8"/>
  <c r="BB31" i="8" s="1"/>
  <c r="AS32" i="8"/>
  <c r="AZ32" i="8" s="1"/>
  <c r="AT32" i="8"/>
  <c r="BB32" i="8" s="1"/>
  <c r="AS88" i="8"/>
  <c r="AT88" i="8"/>
  <c r="AS34" i="8"/>
  <c r="AT34" i="8"/>
  <c r="AS55" i="8"/>
  <c r="AT55" i="8"/>
  <c r="AS61" i="8"/>
  <c r="AZ61" i="8" s="1"/>
  <c r="AT61" i="8"/>
  <c r="BB61" i="8" s="1"/>
  <c r="AS68" i="8"/>
  <c r="AT68" i="8"/>
  <c r="AS52" i="8"/>
  <c r="AT52" i="8"/>
  <c r="AS43" i="8"/>
  <c r="AZ43" i="8" s="1"/>
  <c r="AT43" i="8"/>
  <c r="AS54" i="8"/>
  <c r="AT54" i="8"/>
  <c r="AS70" i="8"/>
  <c r="AT70" i="8"/>
  <c r="AS83" i="8"/>
  <c r="AT83" i="8"/>
  <c r="AS49" i="8"/>
  <c r="AT49" i="8"/>
  <c r="AS69" i="8"/>
  <c r="AT69" i="8"/>
  <c r="AS65" i="8"/>
  <c r="AT65" i="8"/>
  <c r="AS82" i="8"/>
  <c r="AZ82" i="8" s="1"/>
  <c r="AT82" i="8"/>
  <c r="AS74" i="8"/>
  <c r="AT74" i="8"/>
  <c r="AS72" i="8"/>
  <c r="AT72" i="8"/>
  <c r="AS80" i="8"/>
  <c r="AT80" i="8"/>
  <c r="AS71" i="8"/>
  <c r="AT71" i="8"/>
  <c r="AS95" i="8"/>
  <c r="AT95" i="8"/>
  <c r="BB95" i="8" s="1"/>
  <c r="AS73" i="8"/>
  <c r="AZ73" i="8" s="1"/>
  <c r="AT73" i="8"/>
  <c r="AS103" i="8"/>
  <c r="AT103" i="8"/>
  <c r="AS87" i="8"/>
  <c r="AZ87" i="8" s="1"/>
  <c r="AT87" i="8"/>
  <c r="AS90" i="8"/>
  <c r="AZ90" i="8" s="1"/>
  <c r="AT90" i="8"/>
  <c r="AS78" i="8"/>
  <c r="AT78" i="8"/>
  <c r="AS115" i="8"/>
  <c r="AT115" i="8"/>
  <c r="AS76" i="8"/>
  <c r="AT76" i="8"/>
  <c r="AS93" i="8"/>
  <c r="AT93" i="8"/>
  <c r="AS91" i="8"/>
  <c r="AT91" i="8"/>
  <c r="AS97" i="8"/>
  <c r="AT97" i="8"/>
  <c r="AS81" i="8"/>
  <c r="AT81" i="8"/>
  <c r="BB81" i="8" s="1"/>
  <c r="AS96" i="8"/>
  <c r="AT96" i="8"/>
  <c r="BB96" i="8" s="1"/>
  <c r="AS84" i="8"/>
  <c r="AT84" i="8"/>
  <c r="AS110" i="8"/>
  <c r="AZ110" i="8" s="1"/>
  <c r="AT110" i="8"/>
  <c r="BB110" i="8" s="1"/>
  <c r="AS86" i="8"/>
  <c r="AT86" i="8"/>
  <c r="AS106" i="8"/>
  <c r="AT106" i="8"/>
  <c r="AS107" i="8"/>
  <c r="AT107" i="8"/>
  <c r="AS102" i="8"/>
  <c r="AT102" i="8"/>
  <c r="AS75" i="8"/>
  <c r="AT75" i="8"/>
  <c r="AS89" i="8"/>
  <c r="AT89" i="8"/>
  <c r="AS79" i="8"/>
  <c r="AZ79" i="8" s="1"/>
  <c r="AT79" i="8"/>
  <c r="BB79" i="8" s="1"/>
  <c r="AS99" i="8"/>
  <c r="AT99" i="8"/>
  <c r="AS101" i="8"/>
  <c r="AZ101" i="8" s="1"/>
  <c r="AT101" i="8"/>
  <c r="BB101" i="8" s="1"/>
  <c r="AS105" i="8"/>
  <c r="AT105" i="8"/>
  <c r="AS67" i="8"/>
  <c r="AT67" i="8"/>
  <c r="AS77" i="8"/>
  <c r="AT77" i="8"/>
  <c r="AS116" i="8"/>
  <c r="AT116" i="8"/>
  <c r="BB116" i="8" s="1"/>
  <c r="AS92" i="8"/>
  <c r="AT92" i="8"/>
  <c r="AS123" i="8"/>
  <c r="AT123" i="8"/>
  <c r="AS100" i="8"/>
  <c r="AT100" i="8"/>
  <c r="AS114" i="8"/>
  <c r="AT114" i="8"/>
  <c r="AS117" i="8"/>
  <c r="AT117" i="8"/>
  <c r="AS112" i="8"/>
  <c r="AT112" i="8"/>
  <c r="AS98" i="8"/>
  <c r="AT98" i="8"/>
  <c r="AS125" i="8"/>
  <c r="AT125" i="8"/>
  <c r="AS94" i="8"/>
  <c r="AT94" i="8"/>
  <c r="AS85" i="8"/>
  <c r="AT85" i="8"/>
  <c r="AS108" i="8"/>
  <c r="AT108" i="8"/>
  <c r="AS130" i="8"/>
  <c r="AT130" i="8"/>
  <c r="AS131" i="8"/>
  <c r="AZ131" i="8" s="1"/>
  <c r="AT131" i="8"/>
  <c r="AS119" i="8"/>
  <c r="AT119" i="8"/>
  <c r="AS104" i="8"/>
  <c r="AZ104" i="8" s="1"/>
  <c r="AT104" i="8"/>
  <c r="BB104" i="8" s="1"/>
  <c r="AS120" i="8"/>
  <c r="AT120" i="8"/>
  <c r="AS127" i="8"/>
  <c r="AT127" i="8"/>
  <c r="BB127" i="8" s="1"/>
  <c r="AS109" i="8"/>
  <c r="AT109" i="8"/>
  <c r="AS122" i="8"/>
  <c r="AT122" i="8"/>
  <c r="BB122" i="8" s="1"/>
  <c r="AS111" i="8"/>
  <c r="AT111" i="8"/>
  <c r="AS124" i="8"/>
  <c r="AT124" i="8"/>
  <c r="BB124" i="8" s="1"/>
  <c r="AS113" i="8"/>
  <c r="AT113" i="8"/>
  <c r="AS129" i="8"/>
  <c r="AT129" i="8"/>
  <c r="AS132" i="8"/>
  <c r="AT132" i="8"/>
  <c r="AS141" i="8"/>
  <c r="AT141" i="8"/>
  <c r="AS146" i="8"/>
  <c r="AT146" i="8"/>
  <c r="AS137" i="8"/>
  <c r="AT137" i="8"/>
  <c r="AS121" i="8"/>
  <c r="AT121" i="8"/>
  <c r="AS138" i="8"/>
  <c r="AT138" i="8"/>
  <c r="AS136" i="8"/>
  <c r="AT136" i="8"/>
  <c r="AS149" i="8"/>
  <c r="AT149" i="8"/>
  <c r="AS118" i="8"/>
  <c r="AT118" i="8"/>
  <c r="AS143" i="8"/>
  <c r="AT143" i="8"/>
  <c r="AS134" i="8"/>
  <c r="AT134" i="8"/>
  <c r="AS135" i="8"/>
  <c r="AT135" i="8"/>
  <c r="BB135" i="8" s="1"/>
  <c r="AS159" i="8"/>
  <c r="AT159" i="8"/>
  <c r="AS148" i="8"/>
  <c r="AZ148" i="8" s="1"/>
  <c r="AT148" i="8"/>
  <c r="AS128" i="8"/>
  <c r="AZ128" i="8" s="1"/>
  <c r="AT128" i="8"/>
  <c r="AS142" i="8"/>
  <c r="AT142" i="8"/>
  <c r="AS145" i="8"/>
  <c r="AT145" i="8"/>
  <c r="BB145" i="8" s="1"/>
  <c r="AS144" i="8"/>
  <c r="AT144" i="8"/>
  <c r="AS150" i="8"/>
  <c r="AT150" i="8"/>
  <c r="AS133" i="8"/>
  <c r="AT133" i="8"/>
  <c r="AS154" i="8"/>
  <c r="AT154" i="8"/>
  <c r="AS156" i="8"/>
  <c r="AT156" i="8"/>
  <c r="BB156" i="8" s="1"/>
  <c r="AS157" i="8"/>
  <c r="AT157" i="8"/>
  <c r="AS152" i="8"/>
  <c r="AT152" i="8"/>
  <c r="BB152" i="8" s="1"/>
  <c r="AS139" i="8"/>
  <c r="AT139" i="8"/>
  <c r="AS162" i="8"/>
  <c r="AZ162" i="8" s="1"/>
  <c r="AT162" i="8"/>
  <c r="BB162" i="8" s="1"/>
  <c r="AS140" i="8"/>
  <c r="AT140" i="8"/>
  <c r="AS151" i="8"/>
  <c r="AT151" i="8"/>
  <c r="AS155" i="8"/>
  <c r="AZ155" i="8" s="1"/>
  <c r="AT155" i="8"/>
  <c r="BB155" i="8" s="1"/>
  <c r="AS169" i="8"/>
  <c r="AT169" i="8"/>
  <c r="AS168" i="8"/>
  <c r="AT168" i="8"/>
  <c r="AS181" i="8"/>
  <c r="AT181" i="8"/>
  <c r="AS166" i="8"/>
  <c r="AZ166" i="8" s="1"/>
  <c r="AT166" i="8"/>
  <c r="BB166" i="8" s="1"/>
  <c r="AS164" i="8"/>
  <c r="AT164" i="8"/>
  <c r="BB164" i="8" s="1"/>
  <c r="AS167" i="8"/>
  <c r="AT167" i="8"/>
  <c r="AS177" i="8"/>
  <c r="AT177" i="8"/>
  <c r="AS165" i="8"/>
  <c r="AT165" i="8"/>
  <c r="AS178" i="8"/>
  <c r="AT178" i="8"/>
  <c r="AS160" i="8"/>
  <c r="AT160" i="8"/>
  <c r="AS158" i="8"/>
  <c r="AT158" i="8"/>
  <c r="AS147" i="8"/>
  <c r="AT147" i="8"/>
  <c r="AS153" i="8"/>
  <c r="AT153" i="8"/>
  <c r="AS163" i="8"/>
  <c r="AT163" i="8"/>
  <c r="AS176" i="8"/>
  <c r="AZ176" i="8" s="1"/>
  <c r="AT176" i="8"/>
  <c r="AS170" i="8"/>
  <c r="AT170" i="8"/>
  <c r="AS180" i="8"/>
  <c r="AT180" i="8"/>
  <c r="AS173" i="8"/>
  <c r="AZ173" i="8" s="1"/>
  <c r="AT173" i="8"/>
  <c r="AS171" i="8"/>
  <c r="AZ171" i="8" s="1"/>
  <c r="AT171" i="8"/>
  <c r="AS174" i="8"/>
  <c r="AT174" i="8"/>
  <c r="AS179" i="8"/>
  <c r="AT179" i="8"/>
  <c r="AS175" i="8"/>
  <c r="AT175" i="8"/>
  <c r="BB175" i="8" s="1"/>
  <c r="AS182" i="8"/>
  <c r="AT182" i="8"/>
  <c r="AS185" i="8"/>
  <c r="AT185" i="8"/>
  <c r="AS172" i="8"/>
  <c r="AT172" i="8"/>
  <c r="AS161" i="8"/>
  <c r="AT161" i="8"/>
  <c r="AS186" i="8"/>
  <c r="AT186" i="8"/>
  <c r="AS187" i="8"/>
  <c r="AT187" i="8"/>
  <c r="AS184" i="8"/>
  <c r="AT184" i="8"/>
  <c r="AS188" i="8"/>
  <c r="AT188" i="8"/>
  <c r="BB188" i="8" s="1"/>
  <c r="AS183" i="8"/>
  <c r="AZ183" i="8" s="1"/>
  <c r="AT183" i="8"/>
  <c r="BB183" i="8" s="1"/>
  <c r="AT6" i="8"/>
  <c r="BB6" i="8" s="1"/>
  <c r="AS6" i="8"/>
  <c r="AN7" i="8"/>
  <c r="AO7" i="8"/>
  <c r="AN8" i="8"/>
  <c r="AO8" i="8"/>
  <c r="AN10" i="8"/>
  <c r="AU10" i="8" s="1"/>
  <c r="AO10" i="8"/>
  <c r="AN9" i="8"/>
  <c r="AO9" i="8"/>
  <c r="AN39" i="8"/>
  <c r="AO39" i="8"/>
  <c r="AN11" i="8"/>
  <c r="AO11" i="8"/>
  <c r="AN14" i="8"/>
  <c r="AO14" i="8"/>
  <c r="AN13" i="8"/>
  <c r="AO13" i="8"/>
  <c r="AN16" i="8"/>
  <c r="AO16" i="8"/>
  <c r="AN42" i="8"/>
  <c r="AO42" i="8"/>
  <c r="AN38" i="8"/>
  <c r="AO38" i="8"/>
  <c r="AN15" i="8"/>
  <c r="AO15" i="8"/>
  <c r="AN12" i="8"/>
  <c r="AO12" i="8"/>
  <c r="AN17" i="8"/>
  <c r="AO17" i="8"/>
  <c r="AN29" i="8"/>
  <c r="AO29" i="8"/>
  <c r="AN18" i="8"/>
  <c r="AO18" i="8"/>
  <c r="AN56" i="8"/>
  <c r="AO56" i="8"/>
  <c r="AN51" i="8"/>
  <c r="AO51" i="8"/>
  <c r="AN36" i="8"/>
  <c r="AO36" i="8"/>
  <c r="AN41" i="8"/>
  <c r="AO41" i="8"/>
  <c r="AN30" i="8"/>
  <c r="AO30" i="8"/>
  <c r="AW30" i="8" s="1"/>
  <c r="AN32" i="8"/>
  <c r="AO32" i="8"/>
  <c r="AN35" i="8"/>
  <c r="AO35" i="8"/>
  <c r="AN19" i="8"/>
  <c r="AU19" i="8" s="1"/>
  <c r="AO19" i="8"/>
  <c r="AN66" i="8"/>
  <c r="AO66" i="8"/>
  <c r="AN21" i="8"/>
  <c r="AO21" i="8"/>
  <c r="AN110" i="8"/>
  <c r="AO110" i="8"/>
  <c r="AN123" i="8"/>
  <c r="AO123" i="8"/>
  <c r="AN49" i="8"/>
  <c r="AO49" i="8"/>
  <c r="AW49" i="8" s="1"/>
  <c r="AN26" i="8"/>
  <c r="AO26" i="8"/>
  <c r="AN24" i="8"/>
  <c r="AO24" i="8"/>
  <c r="AN47" i="8"/>
  <c r="AO47" i="8"/>
  <c r="AN46" i="8"/>
  <c r="AO46" i="8"/>
  <c r="AN40" i="8"/>
  <c r="AO40" i="8"/>
  <c r="AN22" i="8"/>
  <c r="AO22" i="8"/>
  <c r="AN126" i="8"/>
  <c r="AO126" i="8"/>
  <c r="AN58" i="8"/>
  <c r="AO58" i="8"/>
  <c r="AN25" i="8"/>
  <c r="AO25" i="8"/>
  <c r="AN53" i="8"/>
  <c r="AO53" i="8"/>
  <c r="AN65" i="8"/>
  <c r="AO65" i="8"/>
  <c r="AN50" i="8"/>
  <c r="AO50" i="8"/>
  <c r="AN108" i="8"/>
  <c r="AO108" i="8"/>
  <c r="AN23" i="8"/>
  <c r="AO23" i="8"/>
  <c r="AN88" i="8"/>
  <c r="AO88" i="8"/>
  <c r="AN57" i="8"/>
  <c r="AO57" i="8"/>
  <c r="AW57" i="8" s="1"/>
  <c r="AN63" i="8"/>
  <c r="AO63" i="8"/>
  <c r="AN59" i="8"/>
  <c r="AO59" i="8"/>
  <c r="AN115" i="8"/>
  <c r="AO115" i="8"/>
  <c r="AN83" i="8"/>
  <c r="AO83" i="8"/>
  <c r="AN31" i="8"/>
  <c r="AO31" i="8"/>
  <c r="AN27" i="8"/>
  <c r="AO27" i="8"/>
  <c r="AN28" i="8"/>
  <c r="AO28" i="8"/>
  <c r="AN60" i="8"/>
  <c r="AO60" i="8"/>
  <c r="AN45" i="8"/>
  <c r="AO45" i="8"/>
  <c r="AN37" i="8"/>
  <c r="AO37" i="8"/>
  <c r="AN73" i="8"/>
  <c r="AO73" i="8"/>
  <c r="AN54" i="8"/>
  <c r="AU54" i="8" s="1"/>
  <c r="AO54" i="8"/>
  <c r="AN70" i="8"/>
  <c r="AO70" i="8"/>
  <c r="AN91" i="8"/>
  <c r="AO91" i="8"/>
  <c r="AN33" i="8"/>
  <c r="AO33" i="8"/>
  <c r="AN79" i="8"/>
  <c r="AO79" i="8"/>
  <c r="AN94" i="8"/>
  <c r="AO94" i="8"/>
  <c r="AN72" i="8"/>
  <c r="AO72" i="8"/>
  <c r="AN43" i="8"/>
  <c r="AO43" i="8"/>
  <c r="AN99" i="8"/>
  <c r="AO99" i="8"/>
  <c r="AN61" i="8"/>
  <c r="AO61" i="8"/>
  <c r="AN48" i="8"/>
  <c r="AO48" i="8"/>
  <c r="AN80" i="8"/>
  <c r="AO80" i="8"/>
  <c r="AN86" i="8"/>
  <c r="AO86" i="8"/>
  <c r="AN95" i="8"/>
  <c r="AO95" i="8"/>
  <c r="AN62" i="8"/>
  <c r="AO62" i="8"/>
  <c r="AN101" i="8"/>
  <c r="AO101" i="8"/>
  <c r="AN74" i="8"/>
  <c r="AO74" i="8"/>
  <c r="AN20" i="8"/>
  <c r="AO20" i="8"/>
  <c r="AN90" i="8"/>
  <c r="AO90" i="8"/>
  <c r="AN76" i="8"/>
  <c r="AO76" i="8"/>
  <c r="AN81" i="8"/>
  <c r="AO81" i="8"/>
  <c r="AN107" i="8"/>
  <c r="AO107" i="8"/>
  <c r="AN87" i="8"/>
  <c r="AO87" i="8"/>
  <c r="AN130" i="8"/>
  <c r="AO130" i="8"/>
  <c r="AN84" i="8"/>
  <c r="AU84" i="8" s="1"/>
  <c r="AO84" i="8"/>
  <c r="AN44" i="8"/>
  <c r="AO44" i="8"/>
  <c r="AN103" i="8"/>
  <c r="AO103" i="8"/>
  <c r="AN113" i="8"/>
  <c r="AO113" i="8"/>
  <c r="AN69" i="8"/>
  <c r="AO69" i="8"/>
  <c r="AN102" i="8"/>
  <c r="AO102" i="8"/>
  <c r="AN67" i="8"/>
  <c r="AO67" i="8"/>
  <c r="AN129" i="8"/>
  <c r="AO129" i="8"/>
  <c r="AN34" i="8"/>
  <c r="AO34" i="8"/>
  <c r="AN82" i="8"/>
  <c r="AO82" i="8"/>
  <c r="AN93" i="8"/>
  <c r="AO93" i="8"/>
  <c r="AN114" i="8"/>
  <c r="AO114" i="8"/>
  <c r="AN124" i="8"/>
  <c r="AO124" i="8"/>
  <c r="AN98" i="8"/>
  <c r="AO98" i="8"/>
  <c r="AN120" i="8"/>
  <c r="AO120" i="8"/>
  <c r="AN106" i="8"/>
  <c r="AO106" i="8"/>
  <c r="AN119" i="8"/>
  <c r="AO119" i="8"/>
  <c r="AN109" i="8"/>
  <c r="AO109" i="8"/>
  <c r="AN127" i="8"/>
  <c r="AO127" i="8"/>
  <c r="AN75" i="8"/>
  <c r="AO75" i="8"/>
  <c r="AN100" i="8"/>
  <c r="AO100" i="8"/>
  <c r="AN116" i="8"/>
  <c r="AO116" i="8"/>
  <c r="AN89" i="8"/>
  <c r="AO89" i="8"/>
  <c r="AN105" i="8"/>
  <c r="AO105" i="8"/>
  <c r="AN52" i="8"/>
  <c r="AO52" i="8"/>
  <c r="AN144" i="8"/>
  <c r="AO144" i="8"/>
  <c r="AN159" i="8"/>
  <c r="AO159" i="8"/>
  <c r="AN104" i="8"/>
  <c r="AO104" i="8"/>
  <c r="AN125" i="8"/>
  <c r="AO125" i="8"/>
  <c r="AN92" i="8"/>
  <c r="AO92" i="8"/>
  <c r="AN71" i="8"/>
  <c r="AO71" i="8"/>
  <c r="AN78" i="8"/>
  <c r="AU78" i="8" s="1"/>
  <c r="AO78" i="8"/>
  <c r="AN55" i="8"/>
  <c r="AO55" i="8"/>
  <c r="AN139" i="8"/>
  <c r="AO139" i="8"/>
  <c r="AN136" i="8"/>
  <c r="AO136" i="8"/>
  <c r="AN155" i="8"/>
  <c r="AO155" i="8"/>
  <c r="AN121" i="8"/>
  <c r="AO121" i="8"/>
  <c r="AN117" i="8"/>
  <c r="AO117" i="8"/>
  <c r="AN64" i="8"/>
  <c r="AO64" i="8"/>
  <c r="AN68" i="8"/>
  <c r="AO68" i="8"/>
  <c r="AN133" i="8"/>
  <c r="AO133" i="8"/>
  <c r="AN137" i="8"/>
  <c r="AO137" i="8"/>
  <c r="AN135" i="8"/>
  <c r="AO135" i="8"/>
  <c r="AN122" i="8"/>
  <c r="AO122" i="8"/>
  <c r="AN153" i="8"/>
  <c r="AO153" i="8"/>
  <c r="AN151" i="8"/>
  <c r="AO151" i="8"/>
  <c r="AN149" i="8"/>
  <c r="AO149" i="8"/>
  <c r="AN77" i="8"/>
  <c r="AO77" i="8"/>
  <c r="AN152" i="8"/>
  <c r="AO152" i="8"/>
  <c r="AN146" i="8"/>
  <c r="AO146" i="8"/>
  <c r="AN132" i="8"/>
  <c r="AO132" i="8"/>
  <c r="AN164" i="8"/>
  <c r="AO164" i="8"/>
  <c r="AN85" i="8"/>
  <c r="AO85" i="8"/>
  <c r="AN157" i="8"/>
  <c r="AO157" i="8"/>
  <c r="AN148" i="8"/>
  <c r="AO148" i="8"/>
  <c r="AN163" i="8"/>
  <c r="AO163" i="8"/>
  <c r="AN150" i="8"/>
  <c r="AO150" i="8"/>
  <c r="AN97" i="8"/>
  <c r="AO97" i="8"/>
  <c r="AN131" i="8"/>
  <c r="AO131" i="8"/>
  <c r="AN118" i="8"/>
  <c r="AO118" i="8"/>
  <c r="AN145" i="8"/>
  <c r="AO145" i="8"/>
  <c r="AN147" i="8"/>
  <c r="AO147" i="8"/>
  <c r="AN143" i="8"/>
  <c r="AO143" i="8"/>
  <c r="AN134" i="8"/>
  <c r="AO134" i="8"/>
  <c r="AN138" i="8"/>
  <c r="AO138" i="8"/>
  <c r="AN156" i="8"/>
  <c r="AO156" i="8"/>
  <c r="AN112" i="8"/>
  <c r="AO112" i="8"/>
  <c r="AN181" i="8"/>
  <c r="AO181" i="8"/>
  <c r="AN141" i="8"/>
  <c r="AO141" i="8"/>
  <c r="AN162" i="8"/>
  <c r="AO162" i="8"/>
  <c r="AN154" i="8"/>
  <c r="AO154" i="8"/>
  <c r="AN175" i="8"/>
  <c r="AO175" i="8"/>
  <c r="AN165" i="8"/>
  <c r="AO165" i="8"/>
  <c r="AN167" i="8"/>
  <c r="AO167" i="8"/>
  <c r="AN166" i="8"/>
  <c r="AO166" i="8"/>
  <c r="AN177" i="8"/>
  <c r="AO177" i="8"/>
  <c r="AN96" i="8"/>
  <c r="AO96" i="8"/>
  <c r="AW96" i="8" s="1"/>
  <c r="AN183" i="8"/>
  <c r="AO183" i="8"/>
  <c r="AN169" i="8"/>
  <c r="AO169" i="8"/>
  <c r="AN140" i="8"/>
  <c r="AO140" i="8"/>
  <c r="AN171" i="8"/>
  <c r="AO171" i="8"/>
  <c r="AN160" i="8"/>
  <c r="AO160" i="8"/>
  <c r="AN170" i="8"/>
  <c r="AO170" i="8"/>
  <c r="AN178" i="8"/>
  <c r="AO178" i="8"/>
  <c r="AN172" i="8"/>
  <c r="AO172" i="8"/>
  <c r="AN179" i="8"/>
  <c r="AO179" i="8"/>
  <c r="AN158" i="8"/>
  <c r="AO158" i="8"/>
  <c r="AN176" i="8"/>
  <c r="AO176" i="8"/>
  <c r="AN111" i="8"/>
  <c r="AO111" i="8"/>
  <c r="AN142" i="8"/>
  <c r="AO142" i="8"/>
  <c r="AN174" i="8"/>
  <c r="AO174" i="8"/>
  <c r="AN180" i="8"/>
  <c r="AO180" i="8"/>
  <c r="AN168" i="8"/>
  <c r="AO168" i="8"/>
  <c r="AN184" i="8"/>
  <c r="AO184" i="8"/>
  <c r="AN128" i="8"/>
  <c r="AO128" i="8"/>
  <c r="AN173" i="8"/>
  <c r="AO173" i="8"/>
  <c r="AN185" i="8"/>
  <c r="AO185" i="8"/>
  <c r="AN161" i="8"/>
  <c r="AO161" i="8"/>
  <c r="AN182" i="8"/>
  <c r="AO182" i="8"/>
  <c r="AN186" i="8"/>
  <c r="AO186" i="8"/>
  <c r="AN187" i="8"/>
  <c r="AO187" i="8"/>
  <c r="AN188" i="8"/>
  <c r="AO188" i="8"/>
  <c r="AO6" i="8"/>
  <c r="AN6" i="8"/>
  <c r="AG7" i="8"/>
  <c r="AH7" i="8"/>
  <c r="AI7" i="8"/>
  <c r="AJ7" i="8"/>
  <c r="AG8" i="8"/>
  <c r="AH8" i="8"/>
  <c r="AI8" i="8"/>
  <c r="AJ8" i="8"/>
  <c r="AG10" i="8"/>
  <c r="AH10" i="8"/>
  <c r="AI10" i="8"/>
  <c r="AJ10" i="8"/>
  <c r="AG9" i="8"/>
  <c r="AH9" i="8"/>
  <c r="AI9" i="8"/>
  <c r="AJ9" i="8"/>
  <c r="AG39" i="8"/>
  <c r="AH39" i="8"/>
  <c r="AI39" i="8"/>
  <c r="AJ39" i="8"/>
  <c r="AG11" i="8"/>
  <c r="AH11" i="8"/>
  <c r="AI11" i="8"/>
  <c r="AJ11" i="8"/>
  <c r="AG14" i="8"/>
  <c r="AH14" i="8"/>
  <c r="AI14" i="8"/>
  <c r="AJ14" i="8"/>
  <c r="AG13" i="8"/>
  <c r="AH13" i="8"/>
  <c r="AI13" i="8"/>
  <c r="AJ13" i="8"/>
  <c r="AG16" i="8"/>
  <c r="AH16" i="8"/>
  <c r="AI16" i="8"/>
  <c r="AJ16" i="8"/>
  <c r="AG42" i="8"/>
  <c r="AH42" i="8"/>
  <c r="AI42" i="8"/>
  <c r="AJ42" i="8"/>
  <c r="AG38" i="8"/>
  <c r="AH38" i="8"/>
  <c r="AI38" i="8"/>
  <c r="AJ38" i="8"/>
  <c r="AG15" i="8"/>
  <c r="AH15" i="8"/>
  <c r="AI15" i="8"/>
  <c r="AJ15" i="8"/>
  <c r="AG12" i="8"/>
  <c r="AH12" i="8"/>
  <c r="AI12" i="8"/>
  <c r="AJ12" i="8"/>
  <c r="AG17" i="8"/>
  <c r="AH17" i="8"/>
  <c r="AI17" i="8"/>
  <c r="AJ17" i="8"/>
  <c r="AG29" i="8"/>
  <c r="AH29" i="8"/>
  <c r="AI29" i="8"/>
  <c r="AJ29" i="8"/>
  <c r="AG18" i="8"/>
  <c r="AH18" i="8"/>
  <c r="AI18" i="8"/>
  <c r="AJ18" i="8"/>
  <c r="AG56" i="8"/>
  <c r="AH56" i="8"/>
  <c r="AI56" i="8"/>
  <c r="AJ56" i="8"/>
  <c r="AG51" i="8"/>
  <c r="AH51" i="8"/>
  <c r="AI51" i="8"/>
  <c r="AJ51" i="8"/>
  <c r="AG36" i="8"/>
  <c r="AH36" i="8"/>
  <c r="AI36" i="8"/>
  <c r="AJ36" i="8"/>
  <c r="AG41" i="8"/>
  <c r="AH41" i="8"/>
  <c r="AI41" i="8"/>
  <c r="AJ41" i="8"/>
  <c r="AG30" i="8"/>
  <c r="AH30" i="8"/>
  <c r="AI30" i="8"/>
  <c r="AJ30" i="8"/>
  <c r="AG32" i="8"/>
  <c r="AH32" i="8"/>
  <c r="AI32" i="8"/>
  <c r="AJ32" i="8"/>
  <c r="AG35" i="8"/>
  <c r="AH35" i="8"/>
  <c r="AI35" i="8"/>
  <c r="AJ35" i="8"/>
  <c r="AG19" i="8"/>
  <c r="AH19" i="8"/>
  <c r="AI19" i="8"/>
  <c r="AJ19" i="8"/>
  <c r="AG66" i="8"/>
  <c r="AH66" i="8"/>
  <c r="AI66" i="8"/>
  <c r="AJ66" i="8"/>
  <c r="AG21" i="8"/>
  <c r="AH21" i="8"/>
  <c r="AI21" i="8"/>
  <c r="AJ21" i="8"/>
  <c r="AG49" i="8"/>
  <c r="AH49" i="8"/>
  <c r="AI49" i="8"/>
  <c r="AJ49" i="8"/>
  <c r="AG26" i="8"/>
  <c r="AH26" i="8"/>
  <c r="AI26" i="8"/>
  <c r="AJ26" i="8"/>
  <c r="AG24" i="8"/>
  <c r="AH24" i="8"/>
  <c r="AI24" i="8"/>
  <c r="AJ24" i="8"/>
  <c r="AG47" i="8"/>
  <c r="AH47" i="8"/>
  <c r="AI47" i="8"/>
  <c r="AJ47" i="8"/>
  <c r="AG46" i="8"/>
  <c r="AH46" i="8"/>
  <c r="AI46" i="8"/>
  <c r="AJ46" i="8"/>
  <c r="AG40" i="8"/>
  <c r="AH40" i="8"/>
  <c r="AI40" i="8"/>
  <c r="AJ40" i="8"/>
  <c r="AG22" i="8"/>
  <c r="AH22" i="8"/>
  <c r="AI22" i="8"/>
  <c r="AJ22" i="8"/>
  <c r="AG126" i="8"/>
  <c r="AH126" i="8"/>
  <c r="AI126" i="8"/>
  <c r="AJ126" i="8"/>
  <c r="AG58" i="8"/>
  <c r="AH58" i="8"/>
  <c r="AI58" i="8"/>
  <c r="AJ58" i="8"/>
  <c r="AG25" i="8"/>
  <c r="AH25" i="8"/>
  <c r="AI25" i="8"/>
  <c r="AJ25" i="8"/>
  <c r="AG53" i="8"/>
  <c r="AH53" i="8"/>
  <c r="AI53" i="8"/>
  <c r="AJ53" i="8"/>
  <c r="AG65" i="8"/>
  <c r="AH65" i="8"/>
  <c r="AI65" i="8"/>
  <c r="AJ65" i="8"/>
  <c r="AG50" i="8"/>
  <c r="AH50" i="8"/>
  <c r="AI50" i="8"/>
  <c r="AJ50" i="8"/>
  <c r="AG108" i="8"/>
  <c r="AH108" i="8"/>
  <c r="AI108" i="8"/>
  <c r="AJ108" i="8"/>
  <c r="AG23" i="8"/>
  <c r="AH23" i="8"/>
  <c r="AI23" i="8"/>
  <c r="AJ23" i="8"/>
  <c r="AG88" i="8"/>
  <c r="AH88" i="8"/>
  <c r="AI88" i="8"/>
  <c r="AJ88" i="8"/>
  <c r="AG57" i="8"/>
  <c r="AH57" i="8"/>
  <c r="AI57" i="8"/>
  <c r="AJ57" i="8"/>
  <c r="AG63" i="8"/>
  <c r="AH63" i="8"/>
  <c r="AI63" i="8"/>
  <c r="AJ63" i="8"/>
  <c r="AG59" i="8"/>
  <c r="AH59" i="8"/>
  <c r="AI59" i="8"/>
  <c r="AJ59" i="8"/>
  <c r="AG115" i="8"/>
  <c r="AH115" i="8"/>
  <c r="AI115" i="8"/>
  <c r="AJ115" i="8"/>
  <c r="AG83" i="8"/>
  <c r="AH83" i="8"/>
  <c r="AI83" i="8"/>
  <c r="AJ83" i="8"/>
  <c r="AG31" i="8"/>
  <c r="AH31" i="8"/>
  <c r="AI31" i="8"/>
  <c r="AJ31" i="8"/>
  <c r="AG27" i="8"/>
  <c r="AH27" i="8"/>
  <c r="AI27" i="8"/>
  <c r="AJ27" i="8"/>
  <c r="AG28" i="8"/>
  <c r="AH28" i="8"/>
  <c r="AI28" i="8"/>
  <c r="AJ28" i="8"/>
  <c r="AG60" i="8"/>
  <c r="AH60" i="8"/>
  <c r="AI60" i="8"/>
  <c r="AJ60" i="8"/>
  <c r="AG45" i="8"/>
  <c r="AH45" i="8"/>
  <c r="AI45" i="8"/>
  <c r="AJ45" i="8"/>
  <c r="AG37" i="8"/>
  <c r="AH37" i="8"/>
  <c r="AI37" i="8"/>
  <c r="AJ37" i="8"/>
  <c r="AG73" i="8"/>
  <c r="AH73" i="8"/>
  <c r="AI73" i="8"/>
  <c r="AJ73" i="8"/>
  <c r="AG54" i="8"/>
  <c r="AH54" i="8"/>
  <c r="AI54" i="8"/>
  <c r="AJ54" i="8"/>
  <c r="AG70" i="8"/>
  <c r="AH70" i="8"/>
  <c r="AI70" i="8"/>
  <c r="AJ70" i="8"/>
  <c r="AG91" i="8"/>
  <c r="AH91" i="8"/>
  <c r="AI91" i="8"/>
  <c r="AJ91" i="8"/>
  <c r="AG33" i="8"/>
  <c r="AH33" i="8"/>
  <c r="AI33" i="8"/>
  <c r="AJ33" i="8"/>
  <c r="AG79" i="8"/>
  <c r="AH79" i="8"/>
  <c r="AI79" i="8"/>
  <c r="AJ79" i="8"/>
  <c r="AG94" i="8"/>
  <c r="AH94" i="8"/>
  <c r="AI94" i="8"/>
  <c r="AJ94" i="8"/>
  <c r="AG72" i="8"/>
  <c r="AH72" i="8"/>
  <c r="AI72" i="8"/>
  <c r="AJ72" i="8"/>
  <c r="AG43" i="8"/>
  <c r="AH43" i="8"/>
  <c r="AI43" i="8"/>
  <c r="AJ43" i="8"/>
  <c r="AG99" i="8"/>
  <c r="AH99" i="8"/>
  <c r="AI99" i="8"/>
  <c r="AJ99" i="8"/>
  <c r="AG61" i="8"/>
  <c r="AH61" i="8"/>
  <c r="AI61" i="8"/>
  <c r="AJ61" i="8"/>
  <c r="AG48" i="8"/>
  <c r="AH48" i="8"/>
  <c r="AI48" i="8"/>
  <c r="AJ48" i="8"/>
  <c r="AG80" i="8"/>
  <c r="AH80" i="8"/>
  <c r="AI80" i="8"/>
  <c r="AJ80" i="8"/>
  <c r="AG86" i="8"/>
  <c r="AH86" i="8"/>
  <c r="AI86" i="8"/>
  <c r="AJ86" i="8"/>
  <c r="AG95" i="8"/>
  <c r="AH95" i="8"/>
  <c r="AI95" i="8"/>
  <c r="AJ95" i="8"/>
  <c r="AG62" i="8"/>
  <c r="AH62" i="8"/>
  <c r="AI62" i="8"/>
  <c r="AJ62" i="8"/>
  <c r="AG74" i="8"/>
  <c r="AH74" i="8"/>
  <c r="AI74" i="8"/>
  <c r="AJ74" i="8"/>
  <c r="AG20" i="8"/>
  <c r="AH20" i="8"/>
  <c r="AI20" i="8"/>
  <c r="AJ20" i="8"/>
  <c r="AG76" i="8"/>
  <c r="AH76" i="8"/>
  <c r="AI76" i="8"/>
  <c r="AJ76" i="8"/>
  <c r="AG81" i="8"/>
  <c r="AH81" i="8"/>
  <c r="AI81" i="8"/>
  <c r="AJ81" i="8"/>
  <c r="AG107" i="8"/>
  <c r="AH107" i="8"/>
  <c r="AI107" i="8"/>
  <c r="AJ107" i="8"/>
  <c r="AG130" i="8"/>
  <c r="AH130" i="8"/>
  <c r="AI130" i="8"/>
  <c r="AJ130" i="8"/>
  <c r="AG84" i="8"/>
  <c r="AH84" i="8"/>
  <c r="AI84" i="8"/>
  <c r="AJ84" i="8"/>
  <c r="AG44" i="8"/>
  <c r="AH44" i="8"/>
  <c r="AI44" i="8"/>
  <c r="AJ44" i="8"/>
  <c r="AG103" i="8"/>
  <c r="AH103" i="8"/>
  <c r="AI103" i="8"/>
  <c r="AJ103" i="8"/>
  <c r="AG69" i="8"/>
  <c r="AH69" i="8"/>
  <c r="AI69" i="8"/>
  <c r="AJ69" i="8"/>
  <c r="AG102" i="8"/>
  <c r="AH102" i="8"/>
  <c r="AI102" i="8"/>
  <c r="AJ102" i="8"/>
  <c r="AG67" i="8"/>
  <c r="AH67" i="8"/>
  <c r="AI67" i="8"/>
  <c r="AJ67" i="8"/>
  <c r="AG34" i="8"/>
  <c r="AH34" i="8"/>
  <c r="AI34" i="8"/>
  <c r="AJ34" i="8"/>
  <c r="AG82" i="8"/>
  <c r="AH82" i="8"/>
  <c r="AI82" i="8"/>
  <c r="AJ82" i="8"/>
  <c r="AG93" i="8"/>
  <c r="AH93" i="8"/>
  <c r="AI93" i="8"/>
  <c r="AJ93" i="8"/>
  <c r="AG98" i="8"/>
  <c r="AH98" i="8"/>
  <c r="AI98" i="8"/>
  <c r="AJ98" i="8"/>
  <c r="AG106" i="8"/>
  <c r="AH106" i="8"/>
  <c r="AI106" i="8"/>
  <c r="AJ106" i="8"/>
  <c r="AG119" i="8"/>
  <c r="AH119" i="8"/>
  <c r="AI119" i="8"/>
  <c r="AJ119" i="8"/>
  <c r="AG109" i="8"/>
  <c r="AH109" i="8"/>
  <c r="AI109" i="8"/>
  <c r="AJ109" i="8"/>
  <c r="AG100" i="8"/>
  <c r="AH100" i="8"/>
  <c r="AI100" i="8"/>
  <c r="AJ100" i="8"/>
  <c r="AG89" i="8"/>
  <c r="AH89" i="8"/>
  <c r="AI89" i="8"/>
  <c r="AJ89" i="8"/>
  <c r="AG105" i="8"/>
  <c r="AH105" i="8"/>
  <c r="AI105" i="8"/>
  <c r="AJ105" i="8"/>
  <c r="AG52" i="8"/>
  <c r="AH52" i="8"/>
  <c r="AI52" i="8"/>
  <c r="AJ52" i="8"/>
  <c r="AG104" i="8"/>
  <c r="AH104" i="8"/>
  <c r="AI104" i="8"/>
  <c r="AJ104" i="8"/>
  <c r="AG92" i="8"/>
  <c r="AH92" i="8"/>
  <c r="AI92" i="8"/>
  <c r="AJ92" i="8"/>
  <c r="AG78" i="8"/>
  <c r="AH78" i="8"/>
  <c r="AI78" i="8"/>
  <c r="AJ78" i="8"/>
  <c r="AG55" i="8"/>
  <c r="AH55" i="8"/>
  <c r="AI55" i="8"/>
  <c r="AJ55" i="8"/>
  <c r="AG139" i="8"/>
  <c r="AH139" i="8"/>
  <c r="AI139" i="8"/>
  <c r="AJ139" i="8"/>
  <c r="AG117" i="8"/>
  <c r="AH117" i="8"/>
  <c r="AI117" i="8"/>
  <c r="AJ117" i="8"/>
  <c r="AG64" i="8"/>
  <c r="AH64" i="8"/>
  <c r="AI64" i="8"/>
  <c r="AJ64" i="8"/>
  <c r="AG68" i="8"/>
  <c r="AH68" i="8"/>
  <c r="AI68" i="8"/>
  <c r="AJ68" i="8"/>
  <c r="AG77" i="8"/>
  <c r="AH77" i="8"/>
  <c r="AI77" i="8"/>
  <c r="AJ77" i="8"/>
  <c r="AG85" i="8"/>
  <c r="AH85" i="8"/>
  <c r="AI85" i="8"/>
  <c r="AJ85" i="8"/>
  <c r="AG97" i="8"/>
  <c r="AH97" i="8"/>
  <c r="AI97" i="8"/>
  <c r="AJ97" i="8"/>
  <c r="AG112" i="8"/>
  <c r="AH112" i="8"/>
  <c r="AI112" i="8"/>
  <c r="AJ112" i="8"/>
  <c r="AG96" i="8"/>
  <c r="AH96" i="8"/>
  <c r="AI96" i="8"/>
  <c r="AJ96" i="8"/>
  <c r="AG140" i="8"/>
  <c r="AH140" i="8"/>
  <c r="AI140" i="8"/>
  <c r="AJ140" i="8"/>
  <c r="AG111" i="8"/>
  <c r="AH111" i="8"/>
  <c r="AI111" i="8"/>
  <c r="AJ111" i="8"/>
  <c r="AG128" i="8"/>
  <c r="AH128" i="8"/>
  <c r="AI128" i="8"/>
  <c r="AJ128" i="8"/>
  <c r="AG161" i="8"/>
  <c r="AH161" i="8"/>
  <c r="AI161" i="8"/>
  <c r="AJ161" i="8"/>
  <c r="AG118" i="8"/>
  <c r="AH118" i="8"/>
  <c r="AI118" i="8"/>
  <c r="AJ118" i="8"/>
  <c r="AG150" i="8"/>
  <c r="AH150" i="8"/>
  <c r="AI150" i="8"/>
  <c r="AJ150" i="8"/>
  <c r="AG71" i="8"/>
  <c r="AH71" i="8"/>
  <c r="AI71" i="8"/>
  <c r="AJ71" i="8"/>
  <c r="AG163" i="8"/>
  <c r="AH163" i="8"/>
  <c r="AI163" i="8"/>
  <c r="AJ163" i="8"/>
  <c r="AG120" i="8"/>
  <c r="AH120" i="8"/>
  <c r="AI120" i="8"/>
  <c r="AJ120" i="8"/>
  <c r="AG87" i="8"/>
  <c r="AH87" i="8"/>
  <c r="AI87" i="8"/>
  <c r="AJ87" i="8"/>
  <c r="AG143" i="8"/>
  <c r="AH143" i="8"/>
  <c r="AI143" i="8"/>
  <c r="AJ143" i="8"/>
  <c r="AG136" i="8"/>
  <c r="AH136" i="8"/>
  <c r="AI136" i="8"/>
  <c r="AJ136" i="8"/>
  <c r="AG110" i="8"/>
  <c r="AH110" i="8"/>
  <c r="AI110" i="8"/>
  <c r="AJ110" i="8"/>
  <c r="AG141" i="8"/>
  <c r="AH141" i="8"/>
  <c r="AI141" i="8"/>
  <c r="AJ141" i="8"/>
  <c r="AG137" i="8"/>
  <c r="AH137" i="8"/>
  <c r="AI137" i="8"/>
  <c r="AJ137" i="8"/>
  <c r="AG127" i="8"/>
  <c r="AH127" i="8"/>
  <c r="AI127" i="8"/>
  <c r="AJ127" i="8"/>
  <c r="AG131" i="8"/>
  <c r="AH131" i="8"/>
  <c r="AI131" i="8"/>
  <c r="AJ131" i="8"/>
  <c r="AG123" i="8"/>
  <c r="AH123" i="8"/>
  <c r="AI123" i="8"/>
  <c r="AJ123" i="8"/>
  <c r="AG129" i="8"/>
  <c r="AH129" i="8"/>
  <c r="AI129" i="8"/>
  <c r="AJ129" i="8"/>
  <c r="AG75" i="8"/>
  <c r="AH75" i="8"/>
  <c r="AI75" i="8"/>
  <c r="AJ75" i="8"/>
  <c r="AG180" i="8"/>
  <c r="AH180" i="8"/>
  <c r="AI180" i="8"/>
  <c r="AJ180" i="8"/>
  <c r="AG160" i="8"/>
  <c r="AH160" i="8"/>
  <c r="AI160" i="8"/>
  <c r="AJ160" i="8"/>
  <c r="AG116" i="8"/>
  <c r="AH116" i="8"/>
  <c r="AI116" i="8"/>
  <c r="AJ116" i="8"/>
  <c r="AG125" i="8"/>
  <c r="AH125" i="8"/>
  <c r="AI125" i="8"/>
  <c r="AJ125" i="8"/>
  <c r="AG124" i="8"/>
  <c r="AH124" i="8"/>
  <c r="AI124" i="8"/>
  <c r="AJ124" i="8"/>
  <c r="AG148" i="8"/>
  <c r="AH148" i="8"/>
  <c r="AI148" i="8"/>
  <c r="AJ148" i="8"/>
  <c r="AG134" i="8"/>
  <c r="AH134" i="8"/>
  <c r="AI134" i="8"/>
  <c r="AJ134" i="8"/>
  <c r="AG138" i="8"/>
  <c r="AH138" i="8"/>
  <c r="AI138" i="8"/>
  <c r="AJ138" i="8"/>
  <c r="AG113" i="8"/>
  <c r="AH113" i="8"/>
  <c r="AI113" i="8"/>
  <c r="AJ113" i="8"/>
  <c r="AG149" i="8"/>
  <c r="AH149" i="8"/>
  <c r="AI149" i="8"/>
  <c r="AJ149" i="8"/>
  <c r="AG145" i="8"/>
  <c r="AH145" i="8"/>
  <c r="AI145" i="8"/>
  <c r="AJ145" i="8"/>
  <c r="AG135" i="8"/>
  <c r="AH135" i="8"/>
  <c r="AI135" i="8"/>
  <c r="AJ135" i="8"/>
  <c r="AG90" i="8"/>
  <c r="AH90" i="8"/>
  <c r="AI90" i="8"/>
  <c r="AJ90" i="8"/>
  <c r="AG121" i="8"/>
  <c r="AH121" i="8"/>
  <c r="AI121" i="8"/>
  <c r="AJ121" i="8"/>
  <c r="AG168" i="8"/>
  <c r="AH168" i="8"/>
  <c r="AI168" i="8"/>
  <c r="AJ168" i="8"/>
  <c r="AG132" i="8"/>
  <c r="AH132" i="8"/>
  <c r="AI132" i="8"/>
  <c r="AJ132" i="8"/>
  <c r="AG154" i="8"/>
  <c r="AH154" i="8"/>
  <c r="AI154" i="8"/>
  <c r="AJ154" i="8"/>
  <c r="AG142" i="8"/>
  <c r="AH142" i="8"/>
  <c r="AI142" i="8"/>
  <c r="AJ142" i="8"/>
  <c r="AG133" i="8"/>
  <c r="AH133" i="8"/>
  <c r="AI133" i="8"/>
  <c r="AJ133" i="8"/>
  <c r="AG101" i="8"/>
  <c r="AH101" i="8"/>
  <c r="AI101" i="8"/>
  <c r="AJ101" i="8"/>
  <c r="AG164" i="8"/>
  <c r="AH164" i="8"/>
  <c r="AI164" i="8"/>
  <c r="AJ164" i="8"/>
  <c r="AG122" i="8"/>
  <c r="AH122" i="8"/>
  <c r="AI122" i="8"/>
  <c r="AJ122" i="8"/>
  <c r="AG156" i="8"/>
  <c r="AH156" i="8"/>
  <c r="AI156" i="8"/>
  <c r="AJ156" i="8"/>
  <c r="AG169" i="8"/>
  <c r="AH169" i="8"/>
  <c r="AI169" i="8"/>
  <c r="AJ169" i="8"/>
  <c r="AG181" i="8"/>
  <c r="AH181" i="8"/>
  <c r="AI181" i="8"/>
  <c r="AJ181" i="8"/>
  <c r="AG159" i="8"/>
  <c r="AH159" i="8"/>
  <c r="AI159" i="8"/>
  <c r="AJ159" i="8"/>
  <c r="AG152" i="8"/>
  <c r="AH152" i="8"/>
  <c r="AI152" i="8"/>
  <c r="AJ152" i="8"/>
  <c r="AG151" i="8"/>
  <c r="AH151" i="8"/>
  <c r="AI151" i="8"/>
  <c r="AJ151" i="8"/>
  <c r="AG173" i="8"/>
  <c r="AH173" i="8"/>
  <c r="AI173" i="8"/>
  <c r="AJ173" i="8"/>
  <c r="AG158" i="8"/>
  <c r="AH158" i="8"/>
  <c r="AI158" i="8"/>
  <c r="AJ158" i="8"/>
  <c r="AG171" i="8"/>
  <c r="AH171" i="8"/>
  <c r="AI171" i="8"/>
  <c r="AJ171" i="8"/>
  <c r="AG170" i="8"/>
  <c r="AH170" i="8"/>
  <c r="AI170" i="8"/>
  <c r="AJ170" i="8"/>
  <c r="AG166" i="8"/>
  <c r="AH166" i="8"/>
  <c r="AI166" i="8"/>
  <c r="AJ166" i="8"/>
  <c r="AG153" i="8"/>
  <c r="AH153" i="8"/>
  <c r="AI153" i="8"/>
  <c r="AJ153" i="8"/>
  <c r="AG177" i="8"/>
  <c r="AH177" i="8"/>
  <c r="AI177" i="8"/>
  <c r="AJ177" i="8"/>
  <c r="AG114" i="8"/>
  <c r="AH114" i="8"/>
  <c r="AI114" i="8"/>
  <c r="AJ114" i="8"/>
  <c r="AG165" i="8"/>
  <c r="AH165" i="8"/>
  <c r="AI165" i="8"/>
  <c r="AJ165" i="8"/>
  <c r="AG167" i="8"/>
  <c r="AH167" i="8"/>
  <c r="AI167" i="8"/>
  <c r="AJ167" i="8"/>
  <c r="AG188" i="8"/>
  <c r="AH188" i="8"/>
  <c r="AI188" i="8"/>
  <c r="AJ188" i="8"/>
  <c r="AG144" i="8"/>
  <c r="AH144" i="8"/>
  <c r="AI144" i="8"/>
  <c r="AJ144" i="8"/>
  <c r="AG182" i="8"/>
  <c r="AH182" i="8"/>
  <c r="AI182" i="8"/>
  <c r="AJ182" i="8"/>
  <c r="AG146" i="8"/>
  <c r="AH146" i="8"/>
  <c r="AI146" i="8"/>
  <c r="AJ146" i="8"/>
  <c r="AG174" i="8"/>
  <c r="AH174" i="8"/>
  <c r="AI174" i="8"/>
  <c r="AJ174" i="8"/>
  <c r="AG172" i="8"/>
  <c r="AH172" i="8"/>
  <c r="AI172" i="8"/>
  <c r="AJ172" i="8"/>
  <c r="AG175" i="8"/>
  <c r="AH175" i="8"/>
  <c r="AI175" i="8"/>
  <c r="AJ175" i="8"/>
  <c r="AG176" i="8"/>
  <c r="AH176" i="8"/>
  <c r="AI176" i="8"/>
  <c r="AJ176" i="8"/>
  <c r="AG157" i="8"/>
  <c r="AH157" i="8"/>
  <c r="AI157" i="8"/>
  <c r="AJ157" i="8"/>
  <c r="AG184" i="8"/>
  <c r="AH184" i="8"/>
  <c r="AI184" i="8"/>
  <c r="AJ184" i="8"/>
  <c r="AG185" i="8"/>
  <c r="AH185" i="8"/>
  <c r="AI185" i="8"/>
  <c r="AJ185" i="8"/>
  <c r="AG178" i="8"/>
  <c r="AH178" i="8"/>
  <c r="AI178" i="8"/>
  <c r="AJ178" i="8"/>
  <c r="AG179" i="8"/>
  <c r="AH179" i="8"/>
  <c r="AI179" i="8"/>
  <c r="AJ179" i="8"/>
  <c r="AG147" i="8"/>
  <c r="AH147" i="8"/>
  <c r="AI147" i="8"/>
  <c r="AJ147" i="8"/>
  <c r="AG162" i="8"/>
  <c r="AH162" i="8"/>
  <c r="AI162" i="8"/>
  <c r="AJ162" i="8"/>
  <c r="AG155" i="8"/>
  <c r="AH155" i="8"/>
  <c r="AI155" i="8"/>
  <c r="AJ155" i="8"/>
  <c r="AG186" i="8"/>
  <c r="AH186" i="8"/>
  <c r="AI186" i="8"/>
  <c r="AJ186" i="8"/>
  <c r="AG187" i="8"/>
  <c r="AH187" i="8"/>
  <c r="AI187" i="8"/>
  <c r="AJ187" i="8"/>
  <c r="AG183" i="8"/>
  <c r="AH183" i="8"/>
  <c r="AI183" i="8"/>
  <c r="AJ183" i="8"/>
  <c r="AJ6" i="8"/>
  <c r="AH6" i="8"/>
  <c r="AG6" i="8"/>
  <c r="AI6" i="8"/>
  <c r="AD198" i="8"/>
  <c r="AD188" i="8"/>
  <c r="AD197" i="8"/>
  <c r="AD196" i="8"/>
  <c r="AD193" i="8"/>
  <c r="AD172" i="8"/>
  <c r="AD194" i="8"/>
  <c r="AD184" i="8"/>
  <c r="AD195" i="8"/>
  <c r="AD181" i="8"/>
  <c r="AD122" i="8"/>
  <c r="AD183" i="8"/>
  <c r="AD192" i="8"/>
  <c r="AD186" i="8"/>
  <c r="AD187" i="8"/>
  <c r="AD185" i="8"/>
  <c r="AD189" i="8"/>
  <c r="AD171" i="8"/>
  <c r="AD158" i="8"/>
  <c r="AD179" i="8"/>
  <c r="AD154" i="8"/>
  <c r="AD168" i="8"/>
  <c r="AD160" i="8"/>
  <c r="AD156" i="8"/>
  <c r="AD176" i="8"/>
  <c r="AD164" i="8"/>
  <c r="AD69" i="8"/>
  <c r="AD180" i="8"/>
  <c r="AD138" i="8"/>
  <c r="AD182" i="8"/>
  <c r="AD178" i="8"/>
  <c r="AD190" i="8"/>
  <c r="AD169" i="8"/>
  <c r="AD143" i="8"/>
  <c r="AD174" i="8"/>
  <c r="AD159" i="8"/>
  <c r="AD149" i="8"/>
  <c r="AD191" i="8"/>
  <c r="AD170" i="8"/>
  <c r="AD121" i="8"/>
  <c r="AD173" i="8"/>
  <c r="AD161" i="8"/>
  <c r="AD167" i="8"/>
  <c r="AD165" i="8"/>
  <c r="AD177" i="8"/>
  <c r="AD140" i="8"/>
  <c r="AD142" i="8"/>
  <c r="AD153" i="8"/>
  <c r="AD133" i="8"/>
  <c r="AD139" i="8"/>
  <c r="AD162" i="8"/>
  <c r="AD124" i="8"/>
  <c r="AD98" i="8"/>
  <c r="AD146" i="8"/>
  <c r="AD108" i="8"/>
  <c r="AD147" i="8"/>
  <c r="AD136" i="8"/>
  <c r="AD130" i="8"/>
  <c r="AD127" i="8"/>
  <c r="AD131" i="8"/>
  <c r="AD123" i="8"/>
  <c r="AD163" i="8"/>
  <c r="AD155" i="8"/>
  <c r="AD166" i="8"/>
  <c r="AD134" i="8"/>
  <c r="AD175" i="8"/>
  <c r="AD126" i="8"/>
  <c r="AD151" i="8"/>
  <c r="AD118" i="8"/>
  <c r="AD137" i="8"/>
  <c r="AD145" i="8"/>
  <c r="AD141" i="8"/>
  <c r="AD110" i="8"/>
  <c r="AD120" i="8"/>
  <c r="AD89" i="8"/>
  <c r="AD114" i="8"/>
  <c r="AD107" i="8"/>
  <c r="AD105" i="8"/>
  <c r="AD148" i="8"/>
  <c r="AD119" i="8"/>
  <c r="AD117" i="8"/>
  <c r="AD150" i="8"/>
  <c r="AD157" i="8"/>
  <c r="AD102" i="8"/>
  <c r="AD144" i="8"/>
  <c r="AD74" i="8"/>
  <c r="AD128" i="8"/>
  <c r="AD115" i="8"/>
  <c r="AD106" i="8"/>
  <c r="AD100" i="8"/>
  <c r="AD84" i="8"/>
  <c r="AD135" i="8"/>
  <c r="AD129" i="8"/>
  <c r="AD93" i="8"/>
  <c r="AD73" i="8"/>
  <c r="AD116" i="8"/>
  <c r="AD97" i="8"/>
  <c r="AD46" i="8"/>
  <c r="AD86" i="8"/>
  <c r="AD32" i="8"/>
  <c r="AD152" i="8"/>
  <c r="AD109" i="8"/>
  <c r="AD99" i="8"/>
  <c r="AD45" i="8"/>
  <c r="AD66" i="8"/>
  <c r="AD96" i="8"/>
  <c r="AD88" i="8"/>
  <c r="AD61" i="8"/>
  <c r="AD62" i="8"/>
  <c r="AD92" i="8"/>
  <c r="AD40" i="8"/>
  <c r="AD53" i="8"/>
  <c r="AD75" i="8"/>
  <c r="AD23" i="8"/>
  <c r="AD91" i="8"/>
  <c r="AD132" i="8"/>
  <c r="AD56" i="8"/>
  <c r="AD70" i="8"/>
  <c r="AD79" i="8"/>
  <c r="AD76" i="8"/>
  <c r="AD101" i="8"/>
  <c r="AD82" i="8"/>
  <c r="AD47" i="8"/>
  <c r="AD71" i="8"/>
  <c r="AD52" i="8"/>
  <c r="AD85" i="8"/>
  <c r="AD87" i="8"/>
  <c r="AD63" i="8"/>
  <c r="AD50" i="8"/>
  <c r="AD31" i="8"/>
  <c r="AD81" i="8"/>
  <c r="AD44" i="8"/>
  <c r="AD80" i="8"/>
  <c r="AD34" i="8"/>
  <c r="AD59" i="8"/>
  <c r="AD64" i="8"/>
  <c r="AD90" i="8"/>
  <c r="AD58" i="8"/>
  <c r="AD68" i="8"/>
  <c r="AD72" i="8"/>
  <c r="AD104" i="8"/>
  <c r="AD27" i="8"/>
  <c r="AD26" i="8"/>
  <c r="AD35" i="8"/>
  <c r="AD113" i="8"/>
  <c r="AD42" i="8"/>
  <c r="AD94" i="8"/>
  <c r="AD77" i="8"/>
  <c r="AD39" i="8"/>
  <c r="AD95" i="8"/>
  <c r="AD36" i="8"/>
  <c r="AD24" i="8"/>
  <c r="AD33" i="8"/>
  <c r="AD60" i="8"/>
  <c r="AD21" i="8"/>
  <c r="AD55" i="8"/>
  <c r="AD29" i="8"/>
  <c r="AD51" i="8"/>
  <c r="AD67" i="8"/>
  <c r="AD57" i="8"/>
  <c r="AD48" i="8"/>
  <c r="AD112" i="8"/>
  <c r="AD111" i="8"/>
  <c r="AD65" i="8"/>
  <c r="AD125" i="8"/>
  <c r="AD103" i="8"/>
  <c r="AD41" i="8"/>
  <c r="AD25" i="8"/>
  <c r="AD38" i="8"/>
  <c r="AD43" i="8"/>
  <c r="AD78" i="8"/>
  <c r="AD22" i="8"/>
  <c r="AD17" i="8"/>
  <c r="AD37" i="8"/>
  <c r="AD83" i="8"/>
  <c r="AD54" i="8"/>
  <c r="AD30" i="8"/>
  <c r="AD28" i="8"/>
  <c r="AD11" i="8"/>
  <c r="AD20" i="8"/>
  <c r="AD49" i="8"/>
  <c r="AD16" i="8"/>
  <c r="AD18" i="8"/>
  <c r="AD15" i="8"/>
  <c r="AD14" i="8"/>
  <c r="AD9" i="8"/>
  <c r="AD12" i="8"/>
  <c r="AD19" i="8"/>
  <c r="AD13" i="8"/>
  <c r="AD7" i="8"/>
  <c r="AD6" i="8"/>
  <c r="AD10" i="8"/>
  <c r="AD8" i="8"/>
  <c r="BE7" i="8" l="1"/>
  <c r="AZ144" i="8"/>
  <c r="BB66" i="8"/>
  <c r="BB59" i="8"/>
  <c r="BE173" i="8"/>
  <c r="BE148" i="8"/>
  <c r="BE73" i="8"/>
  <c r="BE25" i="8"/>
  <c r="BE15" i="8"/>
  <c r="BE14" i="8"/>
  <c r="BB144" i="8"/>
  <c r="BE80" i="8"/>
  <c r="BE63" i="8"/>
  <c r="BE50" i="8"/>
  <c r="AW72" i="8"/>
  <c r="BE186" i="8"/>
  <c r="BE176" i="8"/>
  <c r="BF176" i="8" s="1"/>
  <c r="BE75" i="8"/>
  <c r="BE171" i="8"/>
  <c r="BF171" i="8" s="1"/>
  <c r="BE131" i="8"/>
  <c r="BE109" i="8"/>
  <c r="BE114" i="8"/>
  <c r="BE82" i="8"/>
  <c r="BE90" i="8"/>
  <c r="BF90" i="8" s="1"/>
  <c r="BE87" i="8"/>
  <c r="BF87" i="8" s="1"/>
  <c r="BE60" i="8"/>
  <c r="BE128" i="8"/>
  <c r="BF128" i="8" s="1"/>
  <c r="BE43" i="8"/>
  <c r="BE78" i="8"/>
  <c r="BE26" i="8"/>
  <c r="BG108" i="8"/>
  <c r="BG36" i="8"/>
  <c r="AZ108" i="8"/>
  <c r="AZ80" i="8"/>
  <c r="AZ88" i="8"/>
  <c r="AZ13" i="8"/>
  <c r="BB184" i="8"/>
  <c r="BB30" i="8"/>
  <c r="BB20" i="8"/>
  <c r="BB55" i="8"/>
  <c r="AZ84" i="8"/>
  <c r="BA84" i="8" s="1"/>
  <c r="BG99" i="8"/>
  <c r="BG93" i="8"/>
  <c r="AW85" i="8"/>
  <c r="AW79" i="8"/>
  <c r="AZ179" i="8"/>
  <c r="AZ36" i="8"/>
  <c r="AZ187" i="8"/>
  <c r="AZ139" i="8"/>
  <c r="AZ52" i="8"/>
  <c r="AW10" i="8"/>
  <c r="AZ158" i="8"/>
  <c r="AZ103" i="8"/>
  <c r="BG170" i="8"/>
  <c r="BG112" i="8"/>
  <c r="BG140" i="8"/>
  <c r="BG106" i="8"/>
  <c r="BG102" i="8"/>
  <c r="BG41" i="8"/>
  <c r="BG89" i="8"/>
  <c r="BG57" i="8"/>
  <c r="BG45" i="8"/>
  <c r="BG7" i="8"/>
  <c r="AW167" i="8"/>
  <c r="AW146" i="8"/>
  <c r="AW109" i="8"/>
  <c r="AW21" i="8"/>
  <c r="AW51" i="8"/>
  <c r="AW42" i="8"/>
  <c r="AZ113" i="8"/>
  <c r="AZ33" i="8"/>
  <c r="AZ39" i="8"/>
  <c r="AW150" i="8"/>
  <c r="AW84" i="8"/>
  <c r="AW54" i="8"/>
  <c r="AZ178" i="8"/>
  <c r="AZ169" i="8"/>
  <c r="AZ138" i="8"/>
  <c r="AZ63" i="8"/>
  <c r="AZ16" i="8"/>
  <c r="AW140" i="8"/>
  <c r="AW134" i="8"/>
  <c r="AW163" i="8"/>
  <c r="AW78" i="8"/>
  <c r="AW19" i="8"/>
  <c r="AZ165" i="8"/>
  <c r="AZ76" i="8"/>
  <c r="AW90" i="8"/>
  <c r="AW36" i="8"/>
  <c r="AU90" i="8"/>
  <c r="BA90" i="8" s="1"/>
  <c r="AU36" i="8"/>
  <c r="BG136" i="8"/>
  <c r="BG151" i="8"/>
  <c r="BG133" i="8"/>
  <c r="BG129" i="8"/>
  <c r="BG119" i="8"/>
  <c r="BG107" i="8"/>
  <c r="BG69" i="8"/>
  <c r="BG70" i="8"/>
  <c r="BG77" i="8"/>
  <c r="BG86" i="8"/>
  <c r="BG11" i="8"/>
  <c r="AW31" i="8"/>
  <c r="AW74" i="8"/>
  <c r="AU74" i="8"/>
  <c r="AW43" i="8"/>
  <c r="AW47" i="8"/>
  <c r="AU43" i="8"/>
  <c r="BA43" i="8" s="1"/>
  <c r="AU47" i="8"/>
  <c r="AW143" i="8"/>
  <c r="AW89" i="8"/>
  <c r="AW92" i="8"/>
  <c r="AW94" i="8"/>
  <c r="AW17" i="8"/>
  <c r="BE178" i="8"/>
  <c r="BB126" i="8"/>
  <c r="BB113" i="8"/>
  <c r="BB33" i="8"/>
  <c r="BB39" i="8"/>
  <c r="BG130" i="8"/>
  <c r="BG153" i="8"/>
  <c r="BG157" i="8"/>
  <c r="BG37" i="8"/>
  <c r="BG74" i="8"/>
  <c r="BG48" i="8"/>
  <c r="BG92" i="8"/>
  <c r="BG85" i="8"/>
  <c r="BG67" i="8"/>
  <c r="BG54" i="8"/>
  <c r="BG49" i="8"/>
  <c r="AU134" i="8"/>
  <c r="AU163" i="8"/>
  <c r="BG144" i="8"/>
  <c r="BG166" i="8"/>
  <c r="BG135" i="8"/>
  <c r="BG162" i="8"/>
  <c r="BG127" i="8"/>
  <c r="BG104" i="8"/>
  <c r="BG59" i="8"/>
  <c r="BG81" i="8"/>
  <c r="BG110" i="8"/>
  <c r="BG79" i="8"/>
  <c r="BG31" i="8"/>
  <c r="BG53" i="8"/>
  <c r="BG61" i="8"/>
  <c r="BG46" i="8"/>
  <c r="BG17" i="8"/>
  <c r="BG10" i="8"/>
  <c r="BE144" i="8"/>
  <c r="BF144" i="8" s="1"/>
  <c r="BE135" i="8"/>
  <c r="BE162" i="8"/>
  <c r="BF162" i="8" s="1"/>
  <c r="BE104" i="8"/>
  <c r="BE122" i="8"/>
  <c r="BE66" i="8"/>
  <c r="BE81" i="8"/>
  <c r="BE110" i="8"/>
  <c r="BF110" i="8" s="1"/>
  <c r="BE79" i="8"/>
  <c r="BF79" i="8" s="1"/>
  <c r="BE31" i="8"/>
  <c r="BE53" i="8"/>
  <c r="BF53" i="8" s="1"/>
  <c r="BE46" i="8"/>
  <c r="BE17" i="8"/>
  <c r="BF17" i="8" s="1"/>
  <c r="BE10" i="8"/>
  <c r="BF10" i="8" s="1"/>
  <c r="BB21" i="8"/>
  <c r="BB19" i="8"/>
  <c r="AP186" i="8"/>
  <c r="BB106" i="8"/>
  <c r="BB49" i="8"/>
  <c r="AZ106" i="8"/>
  <c r="AZ49" i="8"/>
  <c r="BF49" i="8" s="1"/>
  <c r="BB170" i="8"/>
  <c r="BB130" i="8"/>
  <c r="BB114" i="8"/>
  <c r="BB48" i="8"/>
  <c r="BB14" i="8"/>
  <c r="AZ45" i="8"/>
  <c r="BF45" i="8" s="1"/>
  <c r="BG183" i="8"/>
  <c r="BG155" i="8"/>
  <c r="BG122" i="8"/>
  <c r="BB140" i="8"/>
  <c r="BB109" i="8"/>
  <c r="BB85" i="8"/>
  <c r="BB54" i="8"/>
  <c r="BE183" i="8"/>
  <c r="BF183" i="8" s="1"/>
  <c r="BE155" i="8"/>
  <c r="BE127" i="8"/>
  <c r="BE59" i="8"/>
  <c r="BF59" i="8" s="1"/>
  <c r="AZ140" i="8"/>
  <c r="BF140" i="8" s="1"/>
  <c r="AZ85" i="8"/>
  <c r="BF85" i="8" s="1"/>
  <c r="AZ54" i="8"/>
  <c r="BA54" i="8" s="1"/>
  <c r="BB153" i="8"/>
  <c r="BB92" i="8"/>
  <c r="BB89" i="8"/>
  <c r="BB74" i="8"/>
  <c r="BB57" i="8"/>
  <c r="AZ153" i="8"/>
  <c r="BF153" i="8" s="1"/>
  <c r="AZ92" i="8"/>
  <c r="BF92" i="8" s="1"/>
  <c r="AZ89" i="8"/>
  <c r="BF89" i="8" s="1"/>
  <c r="AZ74" i="8"/>
  <c r="BF74" i="8" s="1"/>
  <c r="AZ57" i="8"/>
  <c r="BF57" i="8" s="1"/>
  <c r="BB132" i="8"/>
  <c r="BE138" i="8"/>
  <c r="BE139" i="8"/>
  <c r="BE84" i="8"/>
  <c r="BF84" i="8" s="1"/>
  <c r="BE113" i="8"/>
  <c r="BF113" i="8" s="1"/>
  <c r="BE88" i="8"/>
  <c r="BF88" i="8" s="1"/>
  <c r="BE39" i="8"/>
  <c r="BE108" i="8"/>
  <c r="BE76" i="8"/>
  <c r="BE52" i="8"/>
  <c r="BE36" i="8"/>
  <c r="BE33" i="8"/>
  <c r="BE13" i="8"/>
  <c r="BF13" i="8" s="1"/>
  <c r="BE16" i="8"/>
  <c r="AU178" i="8"/>
  <c r="AU114" i="8"/>
  <c r="AZ132" i="8"/>
  <c r="AZ75" i="8"/>
  <c r="BB45" i="8"/>
  <c r="BB186" i="8"/>
  <c r="BB142" i="8"/>
  <c r="BB129" i="8"/>
  <c r="BB77" i="8"/>
  <c r="BB102" i="8"/>
  <c r="AU170" i="8"/>
  <c r="AU131" i="8"/>
  <c r="BA131" i="8" s="1"/>
  <c r="AU93" i="8"/>
  <c r="AU23" i="8"/>
  <c r="AZ98" i="8"/>
  <c r="AZ65" i="8"/>
  <c r="AZ27" i="8"/>
  <c r="BB157" i="8"/>
  <c r="BB112" i="8"/>
  <c r="BB67" i="8"/>
  <c r="BB91" i="8"/>
  <c r="BB73" i="8"/>
  <c r="BB7" i="8"/>
  <c r="AZ157" i="8"/>
  <c r="BF157" i="8" s="1"/>
  <c r="AZ112" i="8"/>
  <c r="AZ67" i="8"/>
  <c r="BF67" i="8" s="1"/>
  <c r="AZ7" i="8"/>
  <c r="AU97" i="8"/>
  <c r="AZ20" i="8"/>
  <c r="BE165" i="8"/>
  <c r="BE179" i="8"/>
  <c r="BE158" i="8"/>
  <c r="BE103" i="8"/>
  <c r="BB169" i="8"/>
  <c r="BB63" i="8"/>
  <c r="BB16" i="8"/>
  <c r="BG123" i="8"/>
  <c r="BG71" i="8"/>
  <c r="BG142" i="8"/>
  <c r="BG143" i="8"/>
  <c r="BG51" i="8"/>
  <c r="BG100" i="8"/>
  <c r="BG105" i="8"/>
  <c r="BG18" i="8"/>
  <c r="AZ117" i="8"/>
  <c r="AZ68" i="8"/>
  <c r="AZ62" i="8"/>
  <c r="AZ50" i="8"/>
  <c r="AZ23" i="8"/>
  <c r="AZ8" i="8"/>
  <c r="BB76" i="8"/>
  <c r="AU68" i="8"/>
  <c r="AU65" i="8"/>
  <c r="AZ111" i="8"/>
  <c r="AU53" i="8"/>
  <c r="BA53" i="8" s="1"/>
  <c r="AU35" i="8"/>
  <c r="BB84" i="8"/>
  <c r="BB36" i="8"/>
  <c r="AZ141" i="8"/>
  <c r="AZ94" i="8"/>
  <c r="AZ30" i="8"/>
  <c r="AZ9" i="8"/>
  <c r="BB139" i="8"/>
  <c r="BB52" i="8"/>
  <c r="AZ120" i="8"/>
  <c r="AZ56" i="8"/>
  <c r="BB158" i="8"/>
  <c r="BB103" i="8"/>
  <c r="BB62" i="8"/>
  <c r="BB121" i="8"/>
  <c r="BB50" i="8"/>
  <c r="BB44" i="8"/>
  <c r="AU146" i="8"/>
  <c r="AU109" i="8"/>
  <c r="AU31" i="8"/>
  <c r="BA31" i="8" s="1"/>
  <c r="AU21" i="8"/>
  <c r="AU51" i="8"/>
  <c r="AU42" i="8"/>
  <c r="AZ186" i="8"/>
  <c r="AZ102" i="8"/>
  <c r="BF102" i="8" s="1"/>
  <c r="BB160" i="8"/>
  <c r="BB136" i="8"/>
  <c r="BB119" i="8"/>
  <c r="BB107" i="8"/>
  <c r="BB69" i="8"/>
  <c r="AZ69" i="8"/>
  <c r="BF69" i="8" s="1"/>
  <c r="BB105" i="8"/>
  <c r="BB93" i="8"/>
  <c r="AW53" i="8"/>
  <c r="AW35" i="8"/>
  <c r="BB86" i="8"/>
  <c r="BB71" i="8"/>
  <c r="AU143" i="8"/>
  <c r="AU89" i="8"/>
  <c r="AU72" i="8"/>
  <c r="AZ159" i="8"/>
  <c r="BF159" i="8" s="1"/>
  <c r="AZ130" i="8"/>
  <c r="BF130" i="8" s="1"/>
  <c r="AZ114" i="8"/>
  <c r="BF114" i="8" s="1"/>
  <c r="AZ83" i="8"/>
  <c r="AZ48" i="8"/>
  <c r="BF48" i="8" s="1"/>
  <c r="AW26" i="8"/>
  <c r="AW32" i="8"/>
  <c r="BB177" i="8"/>
  <c r="BB151" i="8"/>
  <c r="BB133" i="8"/>
  <c r="BB108" i="8"/>
  <c r="BB100" i="8"/>
  <c r="BB99" i="8"/>
  <c r="BB80" i="8"/>
  <c r="BB70" i="8"/>
  <c r="BB88" i="8"/>
  <c r="BB41" i="8"/>
  <c r="BB37" i="8"/>
  <c r="BB13" i="8"/>
  <c r="AU26" i="8"/>
  <c r="AU32" i="8"/>
  <c r="BA32" i="8" s="1"/>
  <c r="AZ41" i="8"/>
  <c r="BF41" i="8" s="1"/>
  <c r="AZ37" i="8"/>
  <c r="BF37" i="8" s="1"/>
  <c r="BB123" i="8"/>
  <c r="BB51" i="8"/>
  <c r="BB138" i="8"/>
  <c r="BB143" i="8"/>
  <c r="BG118" i="8"/>
  <c r="BE174" i="8"/>
  <c r="BE125" i="8"/>
  <c r="AW139" i="8"/>
  <c r="AW82" i="8"/>
  <c r="BG161" i="8"/>
  <c r="BG40" i="8"/>
  <c r="BG35" i="8"/>
  <c r="BE134" i="8"/>
  <c r="BE40" i="8"/>
  <c r="BE121" i="8"/>
  <c r="AZ151" i="8"/>
  <c r="AZ51" i="8"/>
  <c r="BG125" i="8"/>
  <c r="BG8" i="8"/>
  <c r="BE161" i="8"/>
  <c r="BE118" i="8"/>
  <c r="BE42" i="8"/>
  <c r="BE44" i="8"/>
  <c r="BE23" i="8"/>
  <c r="BE8" i="8"/>
  <c r="AW52" i="8"/>
  <c r="AW56" i="8"/>
  <c r="BB161" i="8"/>
  <c r="BE154" i="8"/>
  <c r="BE68" i="8"/>
  <c r="AU56" i="8"/>
  <c r="AZ161" i="8"/>
  <c r="AZ181" i="8"/>
  <c r="AZ78" i="8"/>
  <c r="BA78" i="8" s="1"/>
  <c r="AZ91" i="8"/>
  <c r="BG163" i="8"/>
  <c r="BE35" i="8"/>
  <c r="BG167" i="8"/>
  <c r="BG34" i="8"/>
  <c r="BE24" i="8"/>
  <c r="AU18" i="8"/>
  <c r="AW120" i="8"/>
  <c r="AW87" i="8"/>
  <c r="BG62" i="8"/>
  <c r="BG23" i="8"/>
  <c r="AZ147" i="8"/>
  <c r="AU120" i="8"/>
  <c r="AU87" i="8"/>
  <c r="BA87" i="8" s="1"/>
  <c r="BG174" i="8"/>
  <c r="BG24" i="8"/>
  <c r="BE180" i="8"/>
  <c r="AW116" i="8"/>
  <c r="AW25" i="8"/>
  <c r="AW11" i="8"/>
  <c r="BE167" i="8"/>
  <c r="BE62" i="8"/>
  <c r="BE34" i="8"/>
  <c r="BG154" i="8"/>
  <c r="BG68" i="8"/>
  <c r="BG121" i="8"/>
  <c r="BB150" i="8"/>
  <c r="BG180" i="8"/>
  <c r="BG44" i="8"/>
  <c r="AZ150" i="8"/>
  <c r="AZ149" i="8"/>
  <c r="AZ55" i="8"/>
  <c r="BB179" i="8"/>
  <c r="BB178" i="8"/>
  <c r="BG134" i="8"/>
  <c r="BG50" i="8"/>
  <c r="BG42" i="8"/>
  <c r="BE163" i="8"/>
  <c r="AW18" i="8"/>
  <c r="BB180" i="8"/>
  <c r="BB23" i="8"/>
  <c r="BF82" i="8"/>
  <c r="AZ180" i="8"/>
  <c r="AZ133" i="8"/>
  <c r="AZ129" i="8"/>
  <c r="AZ119" i="8"/>
  <c r="AZ100" i="8"/>
  <c r="BF100" i="8" s="1"/>
  <c r="AZ93" i="8"/>
  <c r="AZ70" i="8"/>
  <c r="AZ77" i="8"/>
  <c r="AZ86" i="8"/>
  <c r="AZ11" i="8"/>
  <c r="BB154" i="8"/>
  <c r="BB34" i="8"/>
  <c r="BB40" i="8"/>
  <c r="BB24" i="8"/>
  <c r="BB173" i="8"/>
  <c r="BB75" i="8"/>
  <c r="BB82" i="8"/>
  <c r="BB90" i="8"/>
  <c r="BB87" i="8"/>
  <c r="BB78" i="8"/>
  <c r="BB26" i="8"/>
  <c r="BB25" i="8"/>
  <c r="AZ154" i="8"/>
  <c r="AZ121" i="8"/>
  <c r="AZ34" i="8"/>
  <c r="AZ44" i="8"/>
  <c r="AZ40" i="8"/>
  <c r="AZ24" i="8"/>
  <c r="BE181" i="8"/>
  <c r="AW147" i="8"/>
  <c r="BE91" i="8"/>
  <c r="AU179" i="8"/>
  <c r="AU162" i="8"/>
  <c r="BA162" i="8" s="1"/>
  <c r="AU92" i="8"/>
  <c r="AU116" i="8"/>
  <c r="AU94" i="8"/>
  <c r="AU25" i="8"/>
  <c r="BA25" i="8" s="1"/>
  <c r="AU17" i="8"/>
  <c r="BA17" i="8" s="1"/>
  <c r="AU11" i="8"/>
  <c r="AZ137" i="8"/>
  <c r="AZ115" i="8"/>
  <c r="AZ60" i="8"/>
  <c r="AZ170" i="8"/>
  <c r="AW81" i="8"/>
  <c r="AW58" i="8"/>
  <c r="AW12" i="8"/>
  <c r="BB163" i="8"/>
  <c r="BB167" i="8"/>
  <c r="BB134" i="8"/>
  <c r="BB42" i="8"/>
  <c r="AZ6" i="8"/>
  <c r="BB182" i="8"/>
  <c r="AU124" i="8"/>
  <c r="AU49" i="8"/>
  <c r="AZ163" i="8"/>
  <c r="AZ167" i="8"/>
  <c r="AZ134" i="8"/>
  <c r="BA134" i="8" s="1"/>
  <c r="AZ146" i="8"/>
  <c r="AZ72" i="8"/>
  <c r="AZ26" i="8"/>
  <c r="AZ42" i="8"/>
  <c r="AZ182" i="8"/>
  <c r="BF182" i="8" s="1"/>
  <c r="BE147" i="8"/>
  <c r="BA10" i="8"/>
  <c r="AW161" i="8"/>
  <c r="BB174" i="8"/>
  <c r="BB118" i="8"/>
  <c r="BB125" i="8"/>
  <c r="BB159" i="8"/>
  <c r="AZ174" i="8"/>
  <c r="AZ118" i="8"/>
  <c r="AZ125" i="8"/>
  <c r="AZ172" i="8"/>
  <c r="BE172" i="8"/>
  <c r="BE146" i="8"/>
  <c r="BE150" i="8"/>
  <c r="BE149" i="8"/>
  <c r="BE141" i="8"/>
  <c r="BE137" i="8"/>
  <c r="BE120" i="8"/>
  <c r="BE97" i="8"/>
  <c r="BE115" i="8"/>
  <c r="BE94" i="8"/>
  <c r="BE55" i="8"/>
  <c r="BE98" i="8"/>
  <c r="BE83" i="8"/>
  <c r="BE117" i="8"/>
  <c r="BE65" i="8"/>
  <c r="BE27" i="8"/>
  <c r="BE111" i="8"/>
  <c r="BE56" i="8"/>
  <c r="BE72" i="8"/>
  <c r="BE30" i="8"/>
  <c r="BE9" i="8"/>
  <c r="BE20" i="8"/>
  <c r="BB68" i="8"/>
  <c r="BB35" i="8"/>
  <c r="BB8" i="8"/>
  <c r="AZ109" i="8"/>
  <c r="BG169" i="8"/>
  <c r="BG179" i="8"/>
  <c r="BG178" i="8"/>
  <c r="BG158" i="8"/>
  <c r="BG103" i="8"/>
  <c r="BG138" i="8"/>
  <c r="BG80" i="8"/>
  <c r="BG139" i="8"/>
  <c r="BG84" i="8"/>
  <c r="BG113" i="8"/>
  <c r="BG88" i="8"/>
  <c r="BG39" i="8"/>
  <c r="BG76" i="8"/>
  <c r="BG52" i="8"/>
  <c r="BG63" i="8"/>
  <c r="BG33" i="8"/>
  <c r="BG13" i="8"/>
  <c r="BG16" i="8"/>
  <c r="AU139" i="8"/>
  <c r="AU144" i="8"/>
  <c r="BA144" i="8" s="1"/>
  <c r="AU82" i="8"/>
  <c r="BA82" i="8" s="1"/>
  <c r="AZ97" i="8"/>
  <c r="AZ35" i="8"/>
  <c r="BG173" i="8"/>
  <c r="AZ188" i="8"/>
  <c r="BF188" i="8" s="1"/>
  <c r="AZ99" i="8"/>
  <c r="BE86" i="8"/>
  <c r="BF173" i="8"/>
  <c r="AZ143" i="8"/>
  <c r="AZ142" i="8"/>
  <c r="BF142" i="8" s="1"/>
  <c r="BB131" i="8"/>
  <c r="BG159" i="8"/>
  <c r="BE151" i="8"/>
  <c r="BG87" i="8"/>
  <c r="BF25" i="8"/>
  <c r="BB187" i="8"/>
  <c r="BH204" i="8"/>
  <c r="AZ105" i="8"/>
  <c r="BB43" i="8"/>
  <c r="BE51" i="8"/>
  <c r="BG25" i="8"/>
  <c r="AZ71" i="8"/>
  <c r="BF71" i="8" s="1"/>
  <c r="BB148" i="8"/>
  <c r="BG75" i="8"/>
  <c r="BF132" i="8"/>
  <c r="AZ107" i="8"/>
  <c r="BB128" i="8"/>
  <c r="BF104" i="8"/>
  <c r="BG90" i="8"/>
  <c r="BF43" i="8"/>
  <c r="BE77" i="8"/>
  <c r="BF155" i="8"/>
  <c r="AZ135" i="8"/>
  <c r="AZ122" i="8"/>
  <c r="AZ66" i="8"/>
  <c r="AZ81" i="8"/>
  <c r="BB171" i="8"/>
  <c r="BE133" i="8"/>
  <c r="AZ136" i="8"/>
  <c r="AZ123" i="8"/>
  <c r="BB60" i="8"/>
  <c r="BE170" i="8"/>
  <c r="BE119" i="8"/>
  <c r="BG26" i="8"/>
  <c r="AZ184" i="8"/>
  <c r="AZ177" i="8"/>
  <c r="AZ164" i="8"/>
  <c r="AZ152" i="8"/>
  <c r="AZ124" i="8"/>
  <c r="AZ21" i="8"/>
  <c r="AZ38" i="8"/>
  <c r="AZ19" i="8"/>
  <c r="BA19" i="8" s="1"/>
  <c r="AZ64" i="8"/>
  <c r="AZ29" i="8"/>
  <c r="AZ12" i="8"/>
  <c r="BE70" i="8"/>
  <c r="BB172" i="8"/>
  <c r="BB181" i="8"/>
  <c r="BB147" i="8"/>
  <c r="BB146" i="8"/>
  <c r="BB149" i="8"/>
  <c r="BB141" i="8"/>
  <c r="BB137" i="8"/>
  <c r="BB120" i="8"/>
  <c r="BB97" i="8"/>
  <c r="BB115" i="8"/>
  <c r="BB94" i="8"/>
  <c r="BB98" i="8"/>
  <c r="BB83" i="8"/>
  <c r="BB117" i="8"/>
  <c r="BB65" i="8"/>
  <c r="BB27" i="8"/>
  <c r="BB111" i="8"/>
  <c r="BB56" i="8"/>
  <c r="BB72" i="8"/>
  <c r="BB9" i="8"/>
  <c r="BB176" i="8"/>
  <c r="BG182" i="8"/>
  <c r="BG82" i="8"/>
  <c r="BE11" i="8"/>
  <c r="AZ18" i="8"/>
  <c r="BF32" i="8"/>
  <c r="BF73" i="8"/>
  <c r="BB168" i="8"/>
  <c r="BB185" i="8"/>
  <c r="BB165" i="8"/>
  <c r="BF148" i="8"/>
  <c r="AZ168" i="8"/>
  <c r="AZ185" i="8"/>
  <c r="AZ160" i="8"/>
  <c r="BB15" i="8"/>
  <c r="BE129" i="8"/>
  <c r="BE93" i="8"/>
  <c r="BG184" i="8"/>
  <c r="BG177" i="8"/>
  <c r="BG164" i="8"/>
  <c r="BG152" i="8"/>
  <c r="BG156" i="8"/>
  <c r="BG126" i="8"/>
  <c r="BG175" i="8"/>
  <c r="BG145" i="8"/>
  <c r="BG116" i="8"/>
  <c r="BG58" i="8"/>
  <c r="BG124" i="8"/>
  <c r="BG101" i="8"/>
  <c r="BG95" i="8"/>
  <c r="BG47" i="8"/>
  <c r="BG28" i="8"/>
  <c r="BG22" i="8"/>
  <c r="BG38" i="8"/>
  <c r="BG19" i="8"/>
  <c r="BG64" i="8"/>
  <c r="BG29" i="8"/>
  <c r="BG12" i="8"/>
  <c r="BF15" i="8"/>
  <c r="BE177" i="8"/>
  <c r="BE124" i="8"/>
  <c r="BE38" i="8"/>
  <c r="BE19" i="8"/>
  <c r="BE166" i="8"/>
  <c r="BF166" i="8" s="1"/>
  <c r="BE156" i="8"/>
  <c r="BE126" i="8"/>
  <c r="BE175" i="8"/>
  <c r="BE145" i="8"/>
  <c r="BE116" i="8"/>
  <c r="BE58" i="8"/>
  <c r="BE101" i="8"/>
  <c r="BF101" i="8" s="1"/>
  <c r="BE96" i="8"/>
  <c r="BE95" i="8"/>
  <c r="BE47" i="8"/>
  <c r="BE28" i="8"/>
  <c r="BE22" i="8"/>
  <c r="BG97" i="8"/>
  <c r="BG83" i="8"/>
  <c r="BF46" i="8"/>
  <c r="BE184" i="8"/>
  <c r="AZ96" i="8"/>
  <c r="BG172" i="8"/>
  <c r="BE164" i="8"/>
  <c r="BF106" i="8"/>
  <c r="BE21" i="8"/>
  <c r="BE64" i="8"/>
  <c r="BF14" i="8"/>
  <c r="AZ126" i="8"/>
  <c r="AZ95" i="8"/>
  <c r="BG117" i="8"/>
  <c r="BG65" i="8"/>
  <c r="BG27" i="8"/>
  <c r="BG111" i="8"/>
  <c r="BG56" i="8"/>
  <c r="BG72" i="8"/>
  <c r="AZ156" i="8"/>
  <c r="BE152" i="8"/>
  <c r="AZ175" i="8"/>
  <c r="AZ127" i="8"/>
  <c r="AZ28" i="8"/>
  <c r="BG181" i="8"/>
  <c r="BG147" i="8"/>
  <c r="BG94" i="8"/>
  <c r="BG30" i="8"/>
  <c r="BF7" i="8"/>
  <c r="AZ22" i="8"/>
  <c r="BG168" i="8"/>
  <c r="AZ47" i="8"/>
  <c r="AZ145" i="8"/>
  <c r="BE168" i="8"/>
  <c r="BG146" i="8"/>
  <c r="BG55" i="8"/>
  <c r="BG9" i="8"/>
  <c r="BE12" i="8"/>
  <c r="AZ116" i="8"/>
  <c r="BG185" i="8"/>
  <c r="BG160" i="8"/>
  <c r="BE185" i="8"/>
  <c r="BG187" i="8"/>
  <c r="BE160" i="8"/>
  <c r="BG150" i="8"/>
  <c r="BG149" i="8"/>
  <c r="BG141" i="8"/>
  <c r="BE29" i="8"/>
  <c r="AZ58" i="8"/>
  <c r="BE187" i="8"/>
  <c r="BG165" i="8"/>
  <c r="BG20" i="8"/>
  <c r="BG137" i="8"/>
  <c r="BG98" i="8"/>
  <c r="BF31" i="8"/>
  <c r="BF112" i="8"/>
  <c r="BF131" i="8"/>
  <c r="BE169" i="8"/>
  <c r="BG120" i="8"/>
  <c r="BF61" i="8"/>
  <c r="BG6" i="8"/>
  <c r="BE6" i="8"/>
  <c r="BC204" i="8"/>
  <c r="AX204" i="8"/>
  <c r="AU161" i="8"/>
  <c r="AU102" i="8"/>
  <c r="AW166" i="8"/>
  <c r="AW132" i="8"/>
  <c r="AW127" i="8"/>
  <c r="AU166" i="8"/>
  <c r="BA166" i="8" s="1"/>
  <c r="AU132" i="8"/>
  <c r="BA132" i="8" s="1"/>
  <c r="AU127" i="8"/>
  <c r="AU103" i="8"/>
  <c r="AU91" i="8"/>
  <c r="AU27" i="8"/>
  <c r="AU38" i="8"/>
  <c r="AU174" i="8"/>
  <c r="AU96" i="8"/>
  <c r="AU141" i="8"/>
  <c r="BA141" i="8" s="1"/>
  <c r="AU145" i="8"/>
  <c r="AU85" i="8"/>
  <c r="AU125" i="8"/>
  <c r="AU69" i="8"/>
  <c r="AU81" i="8"/>
  <c r="AU79" i="8"/>
  <c r="BA79" i="8" s="1"/>
  <c r="AU57" i="8"/>
  <c r="AU58" i="8"/>
  <c r="AU30" i="8"/>
  <c r="AU12" i="8"/>
  <c r="AU39" i="8"/>
  <c r="BA39" i="8" s="1"/>
  <c r="AW118" i="8"/>
  <c r="AW164" i="8"/>
  <c r="AW75" i="8"/>
  <c r="AW28" i="8"/>
  <c r="AW123" i="8"/>
  <c r="AW9" i="8"/>
  <c r="AU147" i="8"/>
  <c r="AU98" i="8"/>
  <c r="AW174" i="8"/>
  <c r="AW141" i="8"/>
  <c r="AW145" i="8"/>
  <c r="AW125" i="8"/>
  <c r="AU142" i="8"/>
  <c r="AU181" i="8"/>
  <c r="AU118" i="8"/>
  <c r="AU164" i="8"/>
  <c r="AU104" i="8"/>
  <c r="BA104" i="8" s="1"/>
  <c r="AU75" i="8"/>
  <c r="AU113" i="8"/>
  <c r="BA113" i="8" s="1"/>
  <c r="AU28" i="8"/>
  <c r="AU126" i="8"/>
  <c r="AU123" i="8"/>
  <c r="AU15" i="8"/>
  <c r="BA15" i="8" s="1"/>
  <c r="AU9" i="8"/>
  <c r="AW176" i="8"/>
  <c r="AW133" i="8"/>
  <c r="AW99" i="8"/>
  <c r="AW112" i="8"/>
  <c r="AW131" i="8"/>
  <c r="AW136" i="8"/>
  <c r="AW93" i="8"/>
  <c r="AW103" i="8"/>
  <c r="AW91" i="8"/>
  <c r="AW27" i="8"/>
  <c r="AW23" i="8"/>
  <c r="AW38" i="8"/>
  <c r="AW97" i="8"/>
  <c r="AW20" i="8"/>
  <c r="AW102" i="8"/>
  <c r="AW138" i="8"/>
  <c r="AW66" i="8"/>
  <c r="AW69" i="8"/>
  <c r="AW77" i="8"/>
  <c r="AW68" i="8"/>
  <c r="AW129" i="8"/>
  <c r="AW65" i="8"/>
  <c r="AW98" i="8"/>
  <c r="AW39" i="8"/>
  <c r="AW142" i="8"/>
  <c r="AW181" i="8"/>
  <c r="AW104" i="8"/>
  <c r="AW113" i="8"/>
  <c r="AW33" i="8"/>
  <c r="AW126" i="8"/>
  <c r="AW15" i="8"/>
  <c r="AU150" i="8"/>
  <c r="AU70" i="8"/>
  <c r="AU60" i="8"/>
  <c r="BA60" i="8" s="1"/>
  <c r="AW115" i="8"/>
  <c r="AW13" i="8"/>
  <c r="AW37" i="8"/>
  <c r="AW151" i="8"/>
  <c r="AW45" i="8"/>
  <c r="AW100" i="8"/>
  <c r="AW60" i="8"/>
  <c r="AW122" i="8"/>
  <c r="AW80" i="8"/>
  <c r="AW88" i="8"/>
  <c r="AW41" i="8"/>
  <c r="AW135" i="8"/>
  <c r="AW22" i="8"/>
  <c r="AW110" i="8"/>
  <c r="AW137" i="8"/>
  <c r="AW70" i="8"/>
  <c r="AW108" i="8"/>
  <c r="AU177" i="8"/>
  <c r="AU122" i="8"/>
  <c r="AU80" i="8"/>
  <c r="AU88" i="8"/>
  <c r="AU41" i="8"/>
  <c r="AU135" i="8"/>
  <c r="AU22" i="8"/>
  <c r="AU110" i="8"/>
  <c r="BA110" i="8" s="1"/>
  <c r="AU137" i="8"/>
  <c r="AU108" i="8"/>
  <c r="AU176" i="8"/>
  <c r="BA176" i="8" s="1"/>
  <c r="AU133" i="8"/>
  <c r="AU99" i="8"/>
  <c r="AU175" i="8"/>
  <c r="AU115" i="8"/>
  <c r="AU13" i="8"/>
  <c r="BA13" i="8" s="1"/>
  <c r="AW157" i="8"/>
  <c r="AW61" i="8"/>
  <c r="AU33" i="8"/>
  <c r="AU37" i="8"/>
  <c r="AU169" i="8"/>
  <c r="AU105" i="8"/>
  <c r="AU151" i="8"/>
  <c r="AU45" i="8"/>
  <c r="AW183" i="8"/>
  <c r="AW187" i="8"/>
  <c r="AW182" i="8"/>
  <c r="AW170" i="8"/>
  <c r="AW165" i="8"/>
  <c r="AW155" i="8"/>
  <c r="AW154" i="8"/>
  <c r="AW159" i="8"/>
  <c r="AW121" i="8"/>
  <c r="AW111" i="8"/>
  <c r="AW130" i="8"/>
  <c r="AW114" i="8"/>
  <c r="AW101" i="8"/>
  <c r="AW76" i="8"/>
  <c r="AW71" i="8"/>
  <c r="AW83" i="8"/>
  <c r="AW34" i="8"/>
  <c r="AW48" i="8"/>
  <c r="AW44" i="8"/>
  <c r="AW40" i="8"/>
  <c r="AW29" i="8"/>
  <c r="AW24" i="8"/>
  <c r="AW14" i="8"/>
  <c r="AU100" i="8"/>
  <c r="AW185" i="8"/>
  <c r="AU112" i="8"/>
  <c r="AW105" i="8"/>
  <c r="AW73" i="8"/>
  <c r="AW7" i="8"/>
  <c r="AW168" i="8"/>
  <c r="AW106" i="8"/>
  <c r="AU168" i="8"/>
  <c r="AU158" i="8"/>
  <c r="AU77" i="8"/>
  <c r="AU106" i="8"/>
  <c r="BA106" i="8" s="1"/>
  <c r="AU129" i="8"/>
  <c r="AU73" i="8"/>
  <c r="BA73" i="8" s="1"/>
  <c r="AU7" i="8"/>
  <c r="BA7" i="8" s="1"/>
  <c r="AU61" i="8"/>
  <c r="BA61" i="8" s="1"/>
  <c r="AW169" i="8"/>
  <c r="AW148" i="8"/>
  <c r="AW149" i="8"/>
  <c r="AW64" i="8"/>
  <c r="AW67" i="8"/>
  <c r="AW62" i="8"/>
  <c r="AW59" i="8"/>
  <c r="AU180" i="8"/>
  <c r="AU148" i="8"/>
  <c r="BA148" i="8" s="1"/>
  <c r="AU149" i="8"/>
  <c r="AU64" i="8"/>
  <c r="AU67" i="8"/>
  <c r="AU62" i="8"/>
  <c r="AU59" i="8"/>
  <c r="BA59" i="8" s="1"/>
  <c r="AW172" i="8"/>
  <c r="AW117" i="8"/>
  <c r="AW107" i="8"/>
  <c r="AW95" i="8"/>
  <c r="AW63" i="8"/>
  <c r="AU172" i="8"/>
  <c r="AU157" i="8"/>
  <c r="AU117" i="8"/>
  <c r="AU107" i="8"/>
  <c r="AU95" i="8"/>
  <c r="AU63" i="8"/>
  <c r="BA63" i="8" s="1"/>
  <c r="AW173" i="8"/>
  <c r="AW178" i="8"/>
  <c r="AW124" i="8"/>
  <c r="AU185" i="8"/>
  <c r="AW160" i="8"/>
  <c r="AU173" i="8"/>
  <c r="BA173" i="8" s="1"/>
  <c r="AU160" i="8"/>
  <c r="AU136" i="8"/>
  <c r="AU156" i="8"/>
  <c r="AU20" i="8"/>
  <c r="AW128" i="8"/>
  <c r="AU128" i="8"/>
  <c r="BA128" i="8" s="1"/>
  <c r="AW186" i="8"/>
  <c r="AW184" i="8"/>
  <c r="AW171" i="8"/>
  <c r="AW152" i="8"/>
  <c r="AW55" i="8"/>
  <c r="AW119" i="8"/>
  <c r="AW50" i="8"/>
  <c r="AW46" i="8"/>
  <c r="AW16" i="8"/>
  <c r="AW8" i="8"/>
  <c r="AU171" i="8"/>
  <c r="BA171" i="8" s="1"/>
  <c r="AU138" i="8"/>
  <c r="AU152" i="8"/>
  <c r="AU55" i="8"/>
  <c r="AU52" i="8"/>
  <c r="AU119" i="8"/>
  <c r="AU34" i="8"/>
  <c r="AU50" i="8"/>
  <c r="AU46" i="8"/>
  <c r="BA46" i="8" s="1"/>
  <c r="AU66" i="8"/>
  <c r="AU16" i="8"/>
  <c r="AU8" i="8"/>
  <c r="AW86" i="8"/>
  <c r="AU183" i="8"/>
  <c r="BA183" i="8" s="1"/>
  <c r="AU187" i="8"/>
  <c r="AU182" i="8"/>
  <c r="AU165" i="8"/>
  <c r="AU155" i="8"/>
  <c r="BA155" i="8" s="1"/>
  <c r="AU154" i="8"/>
  <c r="AU159" i="8"/>
  <c r="AU121" i="8"/>
  <c r="AU111" i="8"/>
  <c r="AU130" i="8"/>
  <c r="AU101" i="8"/>
  <c r="BA101" i="8" s="1"/>
  <c r="AU86" i="8"/>
  <c r="AU76" i="8"/>
  <c r="BA76" i="8" s="1"/>
  <c r="AU71" i="8"/>
  <c r="AU83" i="8"/>
  <c r="BA83" i="8" s="1"/>
  <c r="AU48" i="8"/>
  <c r="AU44" i="8"/>
  <c r="BA44" i="8" s="1"/>
  <c r="AU40" i="8"/>
  <c r="AU29" i="8"/>
  <c r="AU24" i="8"/>
  <c r="AS204" i="8"/>
  <c r="AW175" i="8"/>
  <c r="AW177" i="8"/>
  <c r="AW188" i="8"/>
  <c r="AU188" i="8"/>
  <c r="AU186" i="8"/>
  <c r="AU167" i="8"/>
  <c r="AU140" i="8"/>
  <c r="AW179" i="8"/>
  <c r="AW153" i="8"/>
  <c r="AW162" i="8"/>
  <c r="AW144" i="8"/>
  <c r="AU153" i="8"/>
  <c r="AW158" i="8"/>
  <c r="AU184" i="8"/>
  <c r="AW180" i="8"/>
  <c r="AW156" i="8"/>
  <c r="AU14" i="8"/>
  <c r="BA14" i="8" s="1"/>
  <c r="AW6" i="8"/>
  <c r="AU6" i="8"/>
  <c r="AM176" i="8"/>
  <c r="AK188" i="8"/>
  <c r="AL188" i="8" s="1"/>
  <c r="AK13" i="8"/>
  <c r="AL13" i="8" s="1"/>
  <c r="AM99" i="8"/>
  <c r="AM47" i="8"/>
  <c r="AK165" i="8"/>
  <c r="AL165" i="8" s="1"/>
  <c r="AK164" i="8"/>
  <c r="AL164" i="8" s="1"/>
  <c r="AR147" i="8"/>
  <c r="AR151" i="8"/>
  <c r="AR92" i="8"/>
  <c r="AR98" i="8"/>
  <c r="AR107" i="8"/>
  <c r="AR94" i="8"/>
  <c r="AR63" i="8"/>
  <c r="AR26" i="8"/>
  <c r="AR17" i="8"/>
  <c r="AR183" i="8"/>
  <c r="AP14" i="8"/>
  <c r="AP54" i="8"/>
  <c r="AV54" i="8" s="1"/>
  <c r="AP176" i="8"/>
  <c r="AP165" i="8"/>
  <c r="AP150" i="8"/>
  <c r="AP133" i="8"/>
  <c r="AP52" i="8"/>
  <c r="AP34" i="8"/>
  <c r="AP74" i="8"/>
  <c r="AP50" i="8"/>
  <c r="AP66" i="8"/>
  <c r="AP16" i="8"/>
  <c r="AM75" i="8"/>
  <c r="AM136" i="8"/>
  <c r="AP158" i="8"/>
  <c r="AP175" i="8"/>
  <c r="AP163" i="8"/>
  <c r="AP68" i="8"/>
  <c r="AP105" i="8"/>
  <c r="AP129" i="8"/>
  <c r="AP101" i="8"/>
  <c r="AP73" i="8"/>
  <c r="AP65" i="8"/>
  <c r="AP19" i="8"/>
  <c r="AV19" i="8" s="1"/>
  <c r="AP13" i="8"/>
  <c r="AK147" i="8"/>
  <c r="AL147" i="8" s="1"/>
  <c r="AR182" i="8"/>
  <c r="AR180" i="8"/>
  <c r="AR179" i="8"/>
  <c r="AR169" i="8"/>
  <c r="AR154" i="8"/>
  <c r="AR143" i="8"/>
  <c r="AR148" i="8"/>
  <c r="AR149" i="8"/>
  <c r="AR64" i="8"/>
  <c r="AR71" i="8"/>
  <c r="AR89" i="8"/>
  <c r="AR120" i="8"/>
  <c r="AR67" i="8"/>
  <c r="AR87" i="8"/>
  <c r="AR62" i="8"/>
  <c r="AR72" i="8"/>
  <c r="AR37" i="8"/>
  <c r="AR59" i="8"/>
  <c r="AR53" i="8"/>
  <c r="AR24" i="8"/>
  <c r="AR35" i="8"/>
  <c r="AR29" i="8"/>
  <c r="AR14" i="8"/>
  <c r="AP182" i="8"/>
  <c r="AP180" i="8"/>
  <c r="AP179" i="8"/>
  <c r="AV179" i="8" s="1"/>
  <c r="AP169" i="8"/>
  <c r="AP154" i="8"/>
  <c r="AP143" i="8"/>
  <c r="AP148" i="8"/>
  <c r="AP149" i="8"/>
  <c r="AP64" i="8"/>
  <c r="AP71" i="8"/>
  <c r="AP89" i="8"/>
  <c r="AV89" i="8" s="1"/>
  <c r="AP120" i="8"/>
  <c r="AP67" i="8"/>
  <c r="AP87" i="8"/>
  <c r="AP62" i="8"/>
  <c r="AP72" i="8"/>
  <c r="AP37" i="8"/>
  <c r="AP59" i="8"/>
  <c r="AP53" i="8"/>
  <c r="AV53" i="8" s="1"/>
  <c r="AP24" i="8"/>
  <c r="AP35" i="8"/>
  <c r="AP29" i="8"/>
  <c r="AR161" i="8"/>
  <c r="AR172" i="8"/>
  <c r="AR162" i="8"/>
  <c r="AR157" i="8"/>
  <c r="AR117" i="8"/>
  <c r="AR116" i="8"/>
  <c r="AR102" i="8"/>
  <c r="AR95" i="8"/>
  <c r="AR45" i="8"/>
  <c r="AR25" i="8"/>
  <c r="AR32" i="8"/>
  <c r="AR11" i="8"/>
  <c r="AP161" i="8"/>
  <c r="AP172" i="8"/>
  <c r="AP183" i="8"/>
  <c r="AP162" i="8"/>
  <c r="AP147" i="8"/>
  <c r="AP157" i="8"/>
  <c r="AP151" i="8"/>
  <c r="AP117" i="8"/>
  <c r="AP92" i="8"/>
  <c r="AP116" i="8"/>
  <c r="AP98" i="8"/>
  <c r="AP102" i="8"/>
  <c r="AP107" i="8"/>
  <c r="AP95" i="8"/>
  <c r="AP94" i="8"/>
  <c r="AP45" i="8"/>
  <c r="AP63" i="8"/>
  <c r="AP25" i="8"/>
  <c r="AP26" i="8"/>
  <c r="AV26" i="8" s="1"/>
  <c r="AP32" i="8"/>
  <c r="AP17" i="8"/>
  <c r="AP11" i="8"/>
  <c r="AR188" i="8"/>
  <c r="AR174" i="8"/>
  <c r="AR178" i="8"/>
  <c r="AR96" i="8"/>
  <c r="AR141" i="8"/>
  <c r="AR145" i="8"/>
  <c r="AR85" i="8"/>
  <c r="AR153" i="8"/>
  <c r="AR121" i="8"/>
  <c r="AR125" i="8"/>
  <c r="AR100" i="8"/>
  <c r="AR124" i="8"/>
  <c r="AR69" i="8"/>
  <c r="AR81" i="8"/>
  <c r="AR86" i="8"/>
  <c r="AR79" i="8"/>
  <c r="AR60" i="8"/>
  <c r="AR57" i="8"/>
  <c r="AR58" i="8"/>
  <c r="AR49" i="8"/>
  <c r="AR30" i="8"/>
  <c r="AR12" i="8"/>
  <c r="AR39" i="8"/>
  <c r="AP188" i="8"/>
  <c r="AP174" i="8"/>
  <c r="AP178" i="8"/>
  <c r="AP96" i="8"/>
  <c r="AP141" i="8"/>
  <c r="AP145" i="8"/>
  <c r="AP85" i="8"/>
  <c r="AP153" i="8"/>
  <c r="AP121" i="8"/>
  <c r="AP125" i="8"/>
  <c r="AP100" i="8"/>
  <c r="AP124" i="8"/>
  <c r="AP69" i="8"/>
  <c r="AP81" i="8"/>
  <c r="AP86" i="8"/>
  <c r="AP79" i="8"/>
  <c r="AP60" i="8"/>
  <c r="AP57" i="8"/>
  <c r="AP58" i="8"/>
  <c r="AP49" i="8"/>
  <c r="AP30" i="8"/>
  <c r="AP12" i="8"/>
  <c r="AP39" i="8"/>
  <c r="AR185" i="8"/>
  <c r="AR142" i="8"/>
  <c r="AR170" i="8"/>
  <c r="AR177" i="8"/>
  <c r="AR181" i="8"/>
  <c r="AR118" i="8"/>
  <c r="AR164" i="8"/>
  <c r="AR122" i="8"/>
  <c r="AR155" i="8"/>
  <c r="AR104" i="8"/>
  <c r="AR75" i="8"/>
  <c r="AR114" i="8"/>
  <c r="AR113" i="8"/>
  <c r="AR76" i="8"/>
  <c r="AR80" i="8"/>
  <c r="AR33" i="8"/>
  <c r="AR28" i="8"/>
  <c r="AR88" i="8"/>
  <c r="AR126" i="8"/>
  <c r="AR123" i="8"/>
  <c r="AR41" i="8"/>
  <c r="AR15" i="8"/>
  <c r="AR9" i="8"/>
  <c r="AP185" i="8"/>
  <c r="AP142" i="8"/>
  <c r="AP170" i="8"/>
  <c r="AV170" i="8" s="1"/>
  <c r="AP177" i="8"/>
  <c r="AP181" i="8"/>
  <c r="AP118" i="8"/>
  <c r="AP164" i="8"/>
  <c r="AV164" i="8" s="1"/>
  <c r="AP122" i="8"/>
  <c r="AP155" i="8"/>
  <c r="AP104" i="8"/>
  <c r="AP75" i="8"/>
  <c r="AP114" i="8"/>
  <c r="AP113" i="8"/>
  <c r="AP76" i="8"/>
  <c r="AP80" i="8"/>
  <c r="AP33" i="8"/>
  <c r="AP28" i="8"/>
  <c r="AP88" i="8"/>
  <c r="AP126" i="8"/>
  <c r="AP123" i="8"/>
  <c r="AP41" i="8"/>
  <c r="AP15" i="8"/>
  <c r="AP9" i="8"/>
  <c r="AR173" i="8"/>
  <c r="AR160" i="8"/>
  <c r="AR166" i="8"/>
  <c r="AR112" i="8"/>
  <c r="AR131" i="8"/>
  <c r="AR132" i="8"/>
  <c r="AR135" i="8"/>
  <c r="AR136" i="8"/>
  <c r="AR159" i="8"/>
  <c r="AR127" i="8"/>
  <c r="AR93" i="8"/>
  <c r="AR103" i="8"/>
  <c r="AR90" i="8"/>
  <c r="AR48" i="8"/>
  <c r="AR91" i="8"/>
  <c r="AR27" i="8"/>
  <c r="AR23" i="8"/>
  <c r="AR22" i="8"/>
  <c r="AR110" i="8"/>
  <c r="AR36" i="8"/>
  <c r="AR38" i="8"/>
  <c r="AR10" i="8"/>
  <c r="AP173" i="8"/>
  <c r="AP160" i="8"/>
  <c r="AP166" i="8"/>
  <c r="AP112" i="8"/>
  <c r="AP131" i="8"/>
  <c r="AP132" i="8"/>
  <c r="AP135" i="8"/>
  <c r="AV135" i="8" s="1"/>
  <c r="AP136" i="8"/>
  <c r="AP159" i="8"/>
  <c r="AP127" i="8"/>
  <c r="AP93" i="8"/>
  <c r="AP103" i="8"/>
  <c r="AP90" i="8"/>
  <c r="AP48" i="8"/>
  <c r="AP91" i="8"/>
  <c r="AV91" i="8" s="1"/>
  <c r="AP27" i="8"/>
  <c r="AV27" i="8" s="1"/>
  <c r="AP23" i="8"/>
  <c r="AP22" i="8"/>
  <c r="AP110" i="8"/>
  <c r="AP36" i="8"/>
  <c r="AP38" i="8"/>
  <c r="AP10" i="8"/>
  <c r="AV10" i="8" s="1"/>
  <c r="AK142" i="8"/>
  <c r="AL142" i="8" s="1"/>
  <c r="AK150" i="8"/>
  <c r="AL150" i="8" s="1"/>
  <c r="AK29" i="8"/>
  <c r="AL29" i="8" s="1"/>
  <c r="AP6" i="8"/>
  <c r="AR187" i="8"/>
  <c r="AR128" i="8"/>
  <c r="AR111" i="8"/>
  <c r="AR167" i="8"/>
  <c r="AR156" i="8"/>
  <c r="AR97" i="8"/>
  <c r="AR146" i="8"/>
  <c r="AR137" i="8"/>
  <c r="AR139" i="8"/>
  <c r="AR144" i="8"/>
  <c r="AR109" i="8"/>
  <c r="AR82" i="8"/>
  <c r="AR44" i="8"/>
  <c r="AR20" i="8"/>
  <c r="AR61" i="8"/>
  <c r="AR70" i="8"/>
  <c r="AR31" i="8"/>
  <c r="AR108" i="8"/>
  <c r="AR40" i="8"/>
  <c r="AR21" i="8"/>
  <c r="AR51" i="8"/>
  <c r="AR42" i="8"/>
  <c r="AR6" i="8"/>
  <c r="AP187" i="8"/>
  <c r="AP128" i="8"/>
  <c r="AP111" i="8"/>
  <c r="AP167" i="8"/>
  <c r="AP156" i="8"/>
  <c r="AP97" i="8"/>
  <c r="AP146" i="8"/>
  <c r="AP137" i="8"/>
  <c r="AP139" i="8"/>
  <c r="AP144" i="8"/>
  <c r="AP109" i="8"/>
  <c r="AP82" i="8"/>
  <c r="AP44" i="8"/>
  <c r="AP20" i="8"/>
  <c r="AP61" i="8"/>
  <c r="AP70" i="8"/>
  <c r="AV70" i="8" s="1"/>
  <c r="AP31" i="8"/>
  <c r="AV31" i="8" s="1"/>
  <c r="AP108" i="8"/>
  <c r="AP40" i="8"/>
  <c r="AP21" i="8"/>
  <c r="AP51" i="8"/>
  <c r="AP42" i="8"/>
  <c r="AV42" i="8" s="1"/>
  <c r="AR186" i="8"/>
  <c r="AR184" i="8"/>
  <c r="AR176" i="8"/>
  <c r="AR171" i="8"/>
  <c r="AR165" i="8"/>
  <c r="AR138" i="8"/>
  <c r="AR150" i="8"/>
  <c r="AR152" i="8"/>
  <c r="AR133" i="8"/>
  <c r="AR55" i="8"/>
  <c r="AR52" i="8"/>
  <c r="AR119" i="8"/>
  <c r="AR34" i="8"/>
  <c r="AR84" i="8"/>
  <c r="AR74" i="8"/>
  <c r="AR99" i="8"/>
  <c r="AR54" i="8"/>
  <c r="AR83" i="8"/>
  <c r="AR50" i="8"/>
  <c r="AR46" i="8"/>
  <c r="AR66" i="8"/>
  <c r="AR56" i="8"/>
  <c r="AR16" i="8"/>
  <c r="AR8" i="8"/>
  <c r="AP184" i="8"/>
  <c r="AP171" i="8"/>
  <c r="AP138" i="8"/>
  <c r="AP152" i="8"/>
  <c r="AP55" i="8"/>
  <c r="AP119" i="8"/>
  <c r="AP84" i="8"/>
  <c r="AV84" i="8" s="1"/>
  <c r="AP99" i="8"/>
  <c r="AP83" i="8"/>
  <c r="AP46" i="8"/>
  <c r="AP56" i="8"/>
  <c r="AP8" i="8"/>
  <c r="AR168" i="8"/>
  <c r="AR158" i="8"/>
  <c r="AR140" i="8"/>
  <c r="AR175" i="8"/>
  <c r="AR134" i="8"/>
  <c r="AR163" i="8"/>
  <c r="AR77" i="8"/>
  <c r="AR68" i="8"/>
  <c r="AR78" i="8"/>
  <c r="AR105" i="8"/>
  <c r="AR106" i="8"/>
  <c r="AR129" i="8"/>
  <c r="AR130" i="8"/>
  <c r="AR101" i="8"/>
  <c r="AR43" i="8"/>
  <c r="AR73" i="8"/>
  <c r="AR115" i="8"/>
  <c r="AR65" i="8"/>
  <c r="AR47" i="8"/>
  <c r="AR19" i="8"/>
  <c r="AR18" i="8"/>
  <c r="AR13" i="8"/>
  <c r="AR7" i="8"/>
  <c r="AM147" i="8"/>
  <c r="AM185" i="8"/>
  <c r="AM72" i="8"/>
  <c r="AM27" i="8"/>
  <c r="AM23" i="8"/>
  <c r="AM22" i="8"/>
  <c r="AP168" i="8"/>
  <c r="AV168" i="8" s="1"/>
  <c r="AP140" i="8"/>
  <c r="AP134" i="8"/>
  <c r="AV134" i="8" s="1"/>
  <c r="AP77" i="8"/>
  <c r="AP78" i="8"/>
  <c r="AV78" i="8" s="1"/>
  <c r="AP106" i="8"/>
  <c r="AP130" i="8"/>
  <c r="AP43" i="8"/>
  <c r="AP115" i="8"/>
  <c r="AP47" i="8"/>
  <c r="AP18" i="8"/>
  <c r="AP7" i="8"/>
  <c r="AM131" i="8"/>
  <c r="AM110" i="8"/>
  <c r="AM43" i="8"/>
  <c r="AM115" i="8"/>
  <c r="AK12" i="8"/>
  <c r="AL12" i="8" s="1"/>
  <c r="AK16" i="8"/>
  <c r="AL16" i="8" s="1"/>
  <c r="AM133" i="8"/>
  <c r="AM108" i="8"/>
  <c r="AM13" i="8"/>
  <c r="AK31" i="8"/>
  <c r="AL31" i="8" s="1"/>
  <c r="AM175" i="8"/>
  <c r="AM160" i="8"/>
  <c r="AM123" i="8"/>
  <c r="AM150" i="8"/>
  <c r="AM79" i="8"/>
  <c r="AN204" i="8"/>
  <c r="AK116" i="8"/>
  <c r="AL116" i="8" s="1"/>
  <c r="AK143" i="8"/>
  <c r="AL143" i="8" s="1"/>
  <c r="AK68" i="8"/>
  <c r="AL68" i="8" s="1"/>
  <c r="AK93" i="8"/>
  <c r="AL93" i="8" s="1"/>
  <c r="AK102" i="8"/>
  <c r="AL102" i="8" s="1"/>
  <c r="AK84" i="8"/>
  <c r="AL84" i="8" s="1"/>
  <c r="AK95" i="8"/>
  <c r="AL95" i="8" s="1"/>
  <c r="AK25" i="8"/>
  <c r="AL25" i="8" s="1"/>
  <c r="AK40" i="8"/>
  <c r="AL40" i="8" s="1"/>
  <c r="AM26" i="8"/>
  <c r="AM19" i="8"/>
  <c r="AM18" i="8"/>
  <c r="AM15" i="8"/>
  <c r="AM46" i="8"/>
  <c r="AK64" i="8"/>
  <c r="AL64" i="8" s="1"/>
  <c r="AK119" i="8"/>
  <c r="AL119" i="8" s="1"/>
  <c r="AK82" i="8"/>
  <c r="AL82" i="8" s="1"/>
  <c r="AK20" i="8"/>
  <c r="AL20" i="8" s="1"/>
  <c r="AK86" i="8"/>
  <c r="AL86" i="8" s="1"/>
  <c r="AK99" i="8"/>
  <c r="AL99" i="8" s="1"/>
  <c r="AK50" i="8"/>
  <c r="AL50" i="8" s="1"/>
  <c r="AK58" i="8"/>
  <c r="AL58" i="8" s="1"/>
  <c r="AK46" i="8"/>
  <c r="AL46" i="8" s="1"/>
  <c r="AM35" i="8"/>
  <c r="AM153" i="8"/>
  <c r="AK14" i="8"/>
  <c r="AL14" i="8" s="1"/>
  <c r="AK90" i="8"/>
  <c r="AL90" i="8" s="1"/>
  <c r="AK131" i="8"/>
  <c r="AL131" i="8" s="1"/>
  <c r="AK34" i="8"/>
  <c r="AL34" i="8" s="1"/>
  <c r="AK43" i="8"/>
  <c r="AL43" i="8" s="1"/>
  <c r="AK33" i="8"/>
  <c r="AL33" i="8" s="1"/>
  <c r="AK28" i="8"/>
  <c r="AL28" i="8" s="1"/>
  <c r="AK65" i="8"/>
  <c r="AL65" i="8" s="1"/>
  <c r="AM34" i="8"/>
  <c r="AK138" i="8"/>
  <c r="AL138" i="8" s="1"/>
  <c r="AK75" i="8"/>
  <c r="AL75" i="8" s="1"/>
  <c r="AK104" i="8"/>
  <c r="AL104" i="8" s="1"/>
  <c r="AK100" i="8"/>
  <c r="AL100" i="8" s="1"/>
  <c r="AK98" i="8"/>
  <c r="AL98" i="8" s="1"/>
  <c r="AK67" i="8"/>
  <c r="AL67" i="8" s="1"/>
  <c r="AK44" i="8"/>
  <c r="AL44" i="8" s="1"/>
  <c r="AK62" i="8"/>
  <c r="AL62" i="8" s="1"/>
  <c r="AK91" i="8"/>
  <c r="AL91" i="8" s="1"/>
  <c r="AK37" i="8"/>
  <c r="AL37" i="8" s="1"/>
  <c r="AM155" i="8"/>
  <c r="AK30" i="8"/>
  <c r="AL30" i="8" s="1"/>
  <c r="AK39" i="8"/>
  <c r="AL39" i="8" s="1"/>
  <c r="AK8" i="8"/>
  <c r="AL8" i="8" s="1"/>
  <c r="AK183" i="8"/>
  <c r="AL183" i="8" s="1"/>
  <c r="AM45" i="8"/>
  <c r="AM31" i="8"/>
  <c r="AM25" i="8"/>
  <c r="AK144" i="8"/>
  <c r="AL144" i="8" s="1"/>
  <c r="AM170" i="8"/>
  <c r="AM151" i="8"/>
  <c r="AM169" i="8"/>
  <c r="AM101" i="8"/>
  <c r="AM180" i="8"/>
  <c r="AM85" i="8"/>
  <c r="AK78" i="8"/>
  <c r="AL78" i="8" s="1"/>
  <c r="AK83" i="8"/>
  <c r="AL83" i="8" s="1"/>
  <c r="AM41" i="8"/>
  <c r="AK114" i="8"/>
  <c r="AL114" i="8" s="1"/>
  <c r="AK132" i="8"/>
  <c r="AL132" i="8" s="1"/>
  <c r="AK124" i="8"/>
  <c r="AL124" i="8" s="1"/>
  <c r="AK118" i="8"/>
  <c r="AL118" i="8" s="1"/>
  <c r="AK140" i="8"/>
  <c r="AL140" i="8" s="1"/>
  <c r="AM92" i="8"/>
  <c r="AM83" i="8"/>
  <c r="AK41" i="8"/>
  <c r="AL41" i="8" s="1"/>
  <c r="AM9" i="8"/>
  <c r="AM7" i="8"/>
  <c r="AK176" i="8"/>
  <c r="AL176" i="8" s="1"/>
  <c r="AM188" i="8"/>
  <c r="AM177" i="8"/>
  <c r="AM171" i="8"/>
  <c r="AM152" i="8"/>
  <c r="AM168" i="8"/>
  <c r="AM125" i="8"/>
  <c r="AK107" i="8"/>
  <c r="AL107" i="8" s="1"/>
  <c r="AK115" i="8"/>
  <c r="AL115" i="8" s="1"/>
  <c r="AK88" i="8"/>
  <c r="AL88" i="8" s="1"/>
  <c r="AK49" i="8"/>
  <c r="AL49" i="8" s="1"/>
  <c r="AK171" i="8"/>
  <c r="AL171" i="8" s="1"/>
  <c r="AK152" i="8"/>
  <c r="AL152" i="8" s="1"/>
  <c r="AK133" i="8"/>
  <c r="AL133" i="8" s="1"/>
  <c r="AM163" i="8"/>
  <c r="AK77" i="8"/>
  <c r="AL77" i="8" s="1"/>
  <c r="AM100" i="8"/>
  <c r="AM98" i="8"/>
  <c r="AM44" i="8"/>
  <c r="AM179" i="8"/>
  <c r="AM157" i="8"/>
  <c r="AM116" i="8"/>
  <c r="AM129" i="8"/>
  <c r="AM137" i="8"/>
  <c r="AK146" i="8"/>
  <c r="AL146" i="8" s="1"/>
  <c r="AM128" i="8"/>
  <c r="AK47" i="8"/>
  <c r="AL47" i="8" s="1"/>
  <c r="AK32" i="8"/>
  <c r="AL32" i="8" s="1"/>
  <c r="AM51" i="8"/>
  <c r="AK157" i="8"/>
  <c r="AL157" i="8" s="1"/>
  <c r="AK167" i="8"/>
  <c r="AL167" i="8" s="1"/>
  <c r="AK153" i="8"/>
  <c r="AM149" i="8"/>
  <c r="AK129" i="8"/>
  <c r="AL129" i="8" s="1"/>
  <c r="AM71" i="8"/>
  <c r="AK128" i="8"/>
  <c r="AL128" i="8" s="1"/>
  <c r="AK112" i="8"/>
  <c r="AL112" i="8" s="1"/>
  <c r="AM68" i="8"/>
  <c r="AM52" i="8"/>
  <c r="AM102" i="8"/>
  <c r="AM84" i="8"/>
  <c r="AM76" i="8"/>
  <c r="AM61" i="8"/>
  <c r="AK11" i="8"/>
  <c r="AL11" i="8" s="1"/>
  <c r="AK178" i="8"/>
  <c r="AL178" i="8" s="1"/>
  <c r="AM87" i="8"/>
  <c r="AM178" i="8"/>
  <c r="AK182" i="8"/>
  <c r="AL182" i="8" s="1"/>
  <c r="AM173" i="8"/>
  <c r="AM97" i="8"/>
  <c r="AK24" i="8"/>
  <c r="AL24" i="8" s="1"/>
  <c r="AK66" i="8"/>
  <c r="AL66" i="8" s="1"/>
  <c r="AM30" i="8"/>
  <c r="AM16" i="8"/>
  <c r="AK173" i="8"/>
  <c r="AL173" i="8" s="1"/>
  <c r="AM90" i="8"/>
  <c r="AM64" i="8"/>
  <c r="AM78" i="8"/>
  <c r="AM105" i="8"/>
  <c r="AM82" i="8"/>
  <c r="AM69" i="8"/>
  <c r="AM130" i="8"/>
  <c r="AM39" i="8"/>
  <c r="AM8" i="8"/>
  <c r="AM187" i="8"/>
  <c r="AM162" i="8"/>
  <c r="AK169" i="8"/>
  <c r="AL169" i="8" s="1"/>
  <c r="AK160" i="8"/>
  <c r="AL160" i="8" s="1"/>
  <c r="AM141" i="8"/>
  <c r="AK87" i="8"/>
  <c r="AL87" i="8" s="1"/>
  <c r="AM111" i="8"/>
  <c r="AM55" i="8"/>
  <c r="AM81" i="8"/>
  <c r="AM33" i="8"/>
  <c r="AM40" i="8"/>
  <c r="AM56" i="8"/>
  <c r="AK187" i="8"/>
  <c r="AL187" i="8" s="1"/>
  <c r="AK175" i="8"/>
  <c r="AL175" i="8" s="1"/>
  <c r="AM132" i="8"/>
  <c r="AK113" i="8"/>
  <c r="AL113" i="8" s="1"/>
  <c r="AK111" i="8"/>
  <c r="AL111" i="8" s="1"/>
  <c r="AM93" i="8"/>
  <c r="AM62" i="8"/>
  <c r="AM48" i="8"/>
  <c r="AK73" i="8"/>
  <c r="AL73" i="8" s="1"/>
  <c r="AM50" i="8"/>
  <c r="AK26" i="8"/>
  <c r="AL26" i="8" s="1"/>
  <c r="AK56" i="8"/>
  <c r="AL56" i="8" s="1"/>
  <c r="AM67" i="8"/>
  <c r="AK185" i="8"/>
  <c r="AL185" i="8" s="1"/>
  <c r="AK156" i="8"/>
  <c r="AL156" i="8" s="1"/>
  <c r="AM138" i="8"/>
  <c r="AK180" i="8"/>
  <c r="AL180" i="8" s="1"/>
  <c r="AM118" i="8"/>
  <c r="AK97" i="8"/>
  <c r="AL97" i="8" s="1"/>
  <c r="AK76" i="8"/>
  <c r="AL76" i="8" s="1"/>
  <c r="AK48" i="8"/>
  <c r="AL48" i="8" s="1"/>
  <c r="AM91" i="8"/>
  <c r="AK18" i="8"/>
  <c r="AL18" i="8" s="1"/>
  <c r="AK72" i="8"/>
  <c r="AL72" i="8" s="1"/>
  <c r="AK74" i="8"/>
  <c r="AL74" i="8" s="1"/>
  <c r="AK155" i="8"/>
  <c r="AL155" i="8" s="1"/>
  <c r="AK159" i="8"/>
  <c r="AL159" i="8" s="1"/>
  <c r="AM122" i="8"/>
  <c r="AK145" i="8"/>
  <c r="AL145" i="8" s="1"/>
  <c r="AK136" i="8"/>
  <c r="AL136" i="8" s="1"/>
  <c r="AK69" i="8"/>
  <c r="AL69" i="8" s="1"/>
  <c r="AK45" i="8"/>
  <c r="AL45" i="8" s="1"/>
  <c r="AK59" i="8"/>
  <c r="AL59" i="8" s="1"/>
  <c r="AK23" i="8"/>
  <c r="AL23" i="8" s="1"/>
  <c r="AK126" i="8"/>
  <c r="AL126" i="8" s="1"/>
  <c r="AM29" i="8"/>
  <c r="AK9" i="8"/>
  <c r="AL9" i="8" s="1"/>
  <c r="AK184" i="8"/>
  <c r="AL184" i="8" s="1"/>
  <c r="AM166" i="8"/>
  <c r="AM159" i="8"/>
  <c r="AK122" i="8"/>
  <c r="AL122" i="8" s="1"/>
  <c r="AM142" i="8"/>
  <c r="AK168" i="8"/>
  <c r="AL168" i="8" s="1"/>
  <c r="AM161" i="8"/>
  <c r="AM96" i="8"/>
  <c r="AM20" i="8"/>
  <c r="AM94" i="8"/>
  <c r="AK172" i="8"/>
  <c r="AL172" i="8" s="1"/>
  <c r="AM144" i="8"/>
  <c r="AK166" i="8"/>
  <c r="AL166" i="8" s="1"/>
  <c r="AM121" i="8"/>
  <c r="AK134" i="8"/>
  <c r="AL134" i="8" s="1"/>
  <c r="AK161" i="8"/>
  <c r="AL161" i="8" s="1"/>
  <c r="AM77" i="8"/>
  <c r="AK92" i="8"/>
  <c r="AL92" i="8" s="1"/>
  <c r="AM86" i="8"/>
  <c r="AM32" i="8"/>
  <c r="AM14" i="8"/>
  <c r="AM181" i="8"/>
  <c r="AK170" i="8"/>
  <c r="AL170" i="8" s="1"/>
  <c r="AM114" i="8"/>
  <c r="AK181" i="8"/>
  <c r="AL181" i="8" s="1"/>
  <c r="AK149" i="8"/>
  <c r="AL149" i="8" s="1"/>
  <c r="AM143" i="8"/>
  <c r="AK139" i="8"/>
  <c r="AL139" i="8" s="1"/>
  <c r="AK103" i="8"/>
  <c r="AL103" i="8" s="1"/>
  <c r="AK79" i="8"/>
  <c r="AL79" i="8" s="1"/>
  <c r="AK54" i="8"/>
  <c r="AL54" i="8" s="1"/>
  <c r="AK60" i="8"/>
  <c r="AL60" i="8" s="1"/>
  <c r="AK63" i="8"/>
  <c r="AL63" i="8" s="1"/>
  <c r="AK53" i="8"/>
  <c r="AL53" i="8" s="1"/>
  <c r="AM17" i="8"/>
  <c r="AM154" i="8"/>
  <c r="AM148" i="8"/>
  <c r="AM112" i="8"/>
  <c r="AM139" i="8"/>
  <c r="AK89" i="8"/>
  <c r="AL89" i="8" s="1"/>
  <c r="AM54" i="8"/>
  <c r="AM24" i="8"/>
  <c r="AM66" i="8"/>
  <c r="AK17" i="8"/>
  <c r="AL17" i="8" s="1"/>
  <c r="AK42" i="8"/>
  <c r="AL42" i="8" s="1"/>
  <c r="AM186" i="8"/>
  <c r="AM119" i="8"/>
  <c r="AK186" i="8"/>
  <c r="AL186" i="8" s="1"/>
  <c r="AM174" i="8"/>
  <c r="AM165" i="8"/>
  <c r="AK121" i="8"/>
  <c r="AL121" i="8" s="1"/>
  <c r="AK123" i="8"/>
  <c r="AL123" i="8" s="1"/>
  <c r="AM89" i="8"/>
  <c r="AM74" i="8"/>
  <c r="AK108" i="8"/>
  <c r="AL108" i="8" s="1"/>
  <c r="AK19" i="8"/>
  <c r="AL19" i="8" s="1"/>
  <c r="AK38" i="8"/>
  <c r="AL38" i="8" s="1"/>
  <c r="AK174" i="8"/>
  <c r="AL174" i="8" s="1"/>
  <c r="AM158" i="8"/>
  <c r="AK101" i="8"/>
  <c r="AL101" i="8" s="1"/>
  <c r="AK154" i="8"/>
  <c r="AL154" i="8" s="1"/>
  <c r="AK125" i="8"/>
  <c r="AL125" i="8" s="1"/>
  <c r="AK141" i="8"/>
  <c r="AL141" i="8" s="1"/>
  <c r="AM106" i="8"/>
  <c r="AK81" i="8"/>
  <c r="AL81" i="8" s="1"/>
  <c r="AM80" i="8"/>
  <c r="AK94" i="8"/>
  <c r="AL94" i="8" s="1"/>
  <c r="AM70" i="8"/>
  <c r="AM37" i="8"/>
  <c r="AM57" i="8"/>
  <c r="AM53" i="8"/>
  <c r="AM38" i="8"/>
  <c r="AK158" i="8"/>
  <c r="AL158" i="8" s="1"/>
  <c r="AM156" i="8"/>
  <c r="AM134" i="8"/>
  <c r="AK71" i="8"/>
  <c r="AL71" i="8" s="1"/>
  <c r="AM140" i="8"/>
  <c r="AK55" i="8"/>
  <c r="AL55" i="8" s="1"/>
  <c r="AM104" i="8"/>
  <c r="AK106" i="8"/>
  <c r="AL106" i="8" s="1"/>
  <c r="AK80" i="8"/>
  <c r="AL80" i="8" s="1"/>
  <c r="AK70" i="8"/>
  <c r="AL70" i="8" s="1"/>
  <c r="AK57" i="8"/>
  <c r="AL57" i="8" s="1"/>
  <c r="AM49" i="8"/>
  <c r="AK27" i="8"/>
  <c r="AL27" i="8" s="1"/>
  <c r="AK22" i="8"/>
  <c r="AL22" i="8" s="1"/>
  <c r="AK35" i="8"/>
  <c r="AL35" i="8" s="1"/>
  <c r="AM42" i="8"/>
  <c r="AK85" i="8"/>
  <c r="AL85" i="8" s="1"/>
  <c r="AM146" i="8"/>
  <c r="AM113" i="8"/>
  <c r="AK148" i="8"/>
  <c r="AL148" i="8" s="1"/>
  <c r="AM127" i="8"/>
  <c r="AK110" i="8"/>
  <c r="AL110" i="8" s="1"/>
  <c r="AM120" i="8"/>
  <c r="AK96" i="8"/>
  <c r="AL96" i="8" s="1"/>
  <c r="AM117" i="8"/>
  <c r="AK130" i="8"/>
  <c r="AL130" i="8" s="1"/>
  <c r="AM88" i="8"/>
  <c r="AK21" i="8"/>
  <c r="AL21" i="8" s="1"/>
  <c r="AM36" i="8"/>
  <c r="AM12" i="8"/>
  <c r="AM10" i="8"/>
  <c r="AK7" i="8"/>
  <c r="AL7" i="8" s="1"/>
  <c r="AK177" i="8"/>
  <c r="AL177" i="8" s="1"/>
  <c r="AM135" i="8"/>
  <c r="AK127" i="8"/>
  <c r="AL127" i="8" s="1"/>
  <c r="AK120" i="8"/>
  <c r="AL120" i="8" s="1"/>
  <c r="AK117" i="8"/>
  <c r="AL117" i="8" s="1"/>
  <c r="AK52" i="8"/>
  <c r="AL52" i="8" s="1"/>
  <c r="AM109" i="8"/>
  <c r="AM103" i="8"/>
  <c r="AM21" i="8"/>
  <c r="AK36" i="8"/>
  <c r="AL36" i="8" s="1"/>
  <c r="AK10" i="8"/>
  <c r="AL10" i="8" s="1"/>
  <c r="AM184" i="8"/>
  <c r="AM182" i="8"/>
  <c r="AM167" i="8"/>
  <c r="AK135" i="8"/>
  <c r="AL135" i="8" s="1"/>
  <c r="AK109" i="8"/>
  <c r="AL109" i="8" s="1"/>
  <c r="AM95" i="8"/>
  <c r="AM60" i="8"/>
  <c r="AM59" i="8"/>
  <c r="AM58" i="8"/>
  <c r="AM11" i="8"/>
  <c r="AM183" i="8"/>
  <c r="AK162" i="8"/>
  <c r="AL162" i="8" s="1"/>
  <c r="AK179" i="8"/>
  <c r="AL179" i="8" s="1"/>
  <c r="AM172" i="8"/>
  <c r="AM145" i="8"/>
  <c r="AK137" i="8"/>
  <c r="AL137" i="8" s="1"/>
  <c r="AK105" i="8"/>
  <c r="AL105" i="8" s="1"/>
  <c r="AK61" i="8"/>
  <c r="AL61" i="8" s="1"/>
  <c r="AM73" i="8"/>
  <c r="AM65" i="8"/>
  <c r="AK51" i="8"/>
  <c r="AL51" i="8" s="1"/>
  <c r="AK15" i="8"/>
  <c r="AL15" i="8" s="1"/>
  <c r="AK151" i="8"/>
  <c r="AL151" i="8" s="1"/>
  <c r="AM164" i="8"/>
  <c r="AM124" i="8"/>
  <c r="AK163" i="8"/>
  <c r="AL163" i="8" s="1"/>
  <c r="AM107" i="8"/>
  <c r="AM28" i="8"/>
  <c r="AM63" i="8"/>
  <c r="AM126" i="8"/>
  <c r="AG2" i="8"/>
  <c r="AI204" i="8"/>
  <c r="AK6" i="8"/>
  <c r="AH204" i="8"/>
  <c r="AM6" i="8"/>
  <c r="AG204" i="8"/>
  <c r="AD2" i="8"/>
  <c r="AD204" i="8"/>
  <c r="Y10" i="8"/>
  <c r="Z10" i="8"/>
  <c r="Y8" i="8"/>
  <c r="Z8" i="8"/>
  <c r="Y7" i="8"/>
  <c r="Z7" i="8"/>
  <c r="Y9" i="8"/>
  <c r="Z9" i="8"/>
  <c r="Y11" i="8"/>
  <c r="Z11" i="8"/>
  <c r="Y12" i="8"/>
  <c r="Z12" i="8"/>
  <c r="Y13" i="8"/>
  <c r="Z13" i="8"/>
  <c r="Y14" i="8"/>
  <c r="Z14" i="8"/>
  <c r="Y17" i="8"/>
  <c r="Z17" i="8"/>
  <c r="Y16" i="8"/>
  <c r="Z16" i="8"/>
  <c r="Y15" i="8"/>
  <c r="Z15" i="8"/>
  <c r="Y19" i="8"/>
  <c r="Z19" i="8"/>
  <c r="Y18" i="8"/>
  <c r="Z18" i="8"/>
  <c r="Y23" i="8"/>
  <c r="Z23" i="8"/>
  <c r="Y20" i="8"/>
  <c r="Z20" i="8"/>
  <c r="Y21" i="8"/>
  <c r="Z21" i="8"/>
  <c r="Y22" i="8"/>
  <c r="Z22" i="8"/>
  <c r="Y24" i="8"/>
  <c r="Z24" i="8"/>
  <c r="Y25" i="8"/>
  <c r="Z25" i="8"/>
  <c r="Y31" i="8"/>
  <c r="Z31" i="8"/>
  <c r="Y38" i="8"/>
  <c r="Z38" i="8"/>
  <c r="Y30" i="8"/>
  <c r="Z30" i="8"/>
  <c r="Y29" i="8"/>
  <c r="Z29" i="8"/>
  <c r="Y33" i="8"/>
  <c r="Z33" i="8"/>
  <c r="Y35" i="8"/>
  <c r="Z35" i="8"/>
  <c r="Y43" i="8"/>
  <c r="Z43" i="8"/>
  <c r="Y28" i="8"/>
  <c r="Z28" i="8"/>
  <c r="Y39" i="8"/>
  <c r="Z39" i="8"/>
  <c r="Y36" i="8"/>
  <c r="Z36" i="8"/>
  <c r="Y26" i="8"/>
  <c r="Z26" i="8"/>
  <c r="Y27" i="8"/>
  <c r="Z27" i="8"/>
  <c r="Y46" i="8"/>
  <c r="Z46" i="8"/>
  <c r="Y41" i="8"/>
  <c r="Z41" i="8"/>
  <c r="Y32" i="8"/>
  <c r="Z32" i="8"/>
  <c r="Y40" i="8"/>
  <c r="Z40" i="8"/>
  <c r="Y37" i="8"/>
  <c r="Z37" i="8"/>
  <c r="Y52" i="8"/>
  <c r="Z52" i="8"/>
  <c r="Y44" i="8"/>
  <c r="Z44" i="8"/>
  <c r="Y45" i="8"/>
  <c r="Z45" i="8"/>
  <c r="Y48" i="8"/>
  <c r="Z48" i="8"/>
  <c r="Y34" i="8"/>
  <c r="Z34" i="8"/>
  <c r="Y42" i="8"/>
  <c r="Z42" i="8"/>
  <c r="Y54" i="8"/>
  <c r="Z54" i="8"/>
  <c r="Y50" i="8"/>
  <c r="Z50" i="8"/>
  <c r="Y47" i="8"/>
  <c r="Z47" i="8"/>
  <c r="Y57" i="8"/>
  <c r="Z57" i="8"/>
  <c r="Y56" i="8"/>
  <c r="Z56" i="8"/>
  <c r="Y53" i="8"/>
  <c r="Z53" i="8"/>
  <c r="Y51" i="8"/>
  <c r="Z51" i="8"/>
  <c r="Y59" i="8"/>
  <c r="Z59" i="8"/>
  <c r="Y60" i="8"/>
  <c r="Z60" i="8"/>
  <c r="Y49" i="8"/>
  <c r="Z49" i="8"/>
  <c r="Y62" i="8"/>
  <c r="Z62" i="8"/>
  <c r="Y68" i="8"/>
  <c r="Z68" i="8"/>
  <c r="Y55" i="8"/>
  <c r="Z55" i="8"/>
  <c r="Y64" i="8"/>
  <c r="Z64" i="8"/>
  <c r="Y63" i="8"/>
  <c r="Z63" i="8"/>
  <c r="Y58" i="8"/>
  <c r="Z58" i="8"/>
  <c r="Y69" i="8"/>
  <c r="Z69" i="8"/>
  <c r="Y70" i="8"/>
  <c r="Z70" i="8"/>
  <c r="Y61" i="8"/>
  <c r="Z61" i="8"/>
  <c r="Y66" i="8"/>
  <c r="Z66" i="8"/>
  <c r="Y77" i="8"/>
  <c r="Z77" i="8"/>
  <c r="Y74" i="8"/>
  <c r="Z74" i="8"/>
  <c r="Y65" i="8"/>
  <c r="Z65" i="8"/>
  <c r="Y67" i="8"/>
  <c r="Z67" i="8"/>
  <c r="Y73" i="8"/>
  <c r="Z73" i="8"/>
  <c r="Y78" i="8"/>
  <c r="Z78" i="8"/>
  <c r="Y82" i="8"/>
  <c r="Z82" i="8"/>
  <c r="Y80" i="8"/>
  <c r="Z80" i="8"/>
  <c r="Y75" i="8"/>
  <c r="Z75" i="8"/>
  <c r="Y76" i="8"/>
  <c r="Z76" i="8"/>
  <c r="Y72" i="8"/>
  <c r="Z72" i="8"/>
  <c r="Y71" i="8"/>
  <c r="Z71" i="8"/>
  <c r="Y79" i="8"/>
  <c r="Z79" i="8"/>
  <c r="Y81" i="8"/>
  <c r="Z81" i="8"/>
  <c r="Y94" i="8"/>
  <c r="Z94" i="8"/>
  <c r="Y87" i="8"/>
  <c r="Z87" i="8"/>
  <c r="Y89" i="8"/>
  <c r="Z89" i="8"/>
  <c r="Y83" i="8"/>
  <c r="Z83" i="8"/>
  <c r="Y90" i="8"/>
  <c r="Z90" i="8"/>
  <c r="Y86" i="8"/>
  <c r="Z86" i="8"/>
  <c r="Y93" i="8"/>
  <c r="Z93" i="8"/>
  <c r="Y88" i="8"/>
  <c r="Z88" i="8"/>
  <c r="Y92" i="8"/>
  <c r="Z92" i="8"/>
  <c r="Y91" i="8"/>
  <c r="Z91" i="8"/>
  <c r="Y101" i="8"/>
  <c r="Z101" i="8"/>
  <c r="Y96" i="8"/>
  <c r="Z96" i="8"/>
  <c r="Y85" i="8"/>
  <c r="Z85" i="8"/>
  <c r="Y84" i="8"/>
  <c r="Z84" i="8"/>
  <c r="Y95" i="8"/>
  <c r="Z95" i="8"/>
  <c r="Y97" i="8"/>
  <c r="Z97" i="8"/>
  <c r="Y98" i="8"/>
  <c r="Z98" i="8"/>
  <c r="Y103" i="8"/>
  <c r="Z103" i="8"/>
  <c r="Y102" i="8"/>
  <c r="Z102" i="8"/>
  <c r="Y99" i="8"/>
  <c r="Z99" i="8"/>
  <c r="Y100" i="8"/>
  <c r="Z100" i="8"/>
  <c r="Y108" i="8"/>
  <c r="Z108" i="8"/>
  <c r="Y105" i="8"/>
  <c r="Z105" i="8"/>
  <c r="Y104" i="8"/>
  <c r="Z104" i="8"/>
  <c r="Y111" i="8"/>
  <c r="Z111" i="8"/>
  <c r="Y110" i="8"/>
  <c r="Z110" i="8"/>
  <c r="Y107" i="8"/>
  <c r="Z107" i="8"/>
  <c r="Y106" i="8"/>
  <c r="Z106" i="8"/>
  <c r="Y112" i="8"/>
  <c r="Z112" i="8"/>
  <c r="Y115" i="8"/>
  <c r="Z115" i="8"/>
  <c r="Y116" i="8"/>
  <c r="Z116" i="8"/>
  <c r="Y113" i="8"/>
  <c r="Z113" i="8"/>
  <c r="Y123" i="8"/>
  <c r="Z123" i="8"/>
  <c r="Y117" i="8"/>
  <c r="Z117" i="8"/>
  <c r="Y109" i="8"/>
  <c r="Z109" i="8"/>
  <c r="Y114" i="8"/>
  <c r="Z114" i="8"/>
  <c r="Y120" i="8"/>
  <c r="Z120" i="8"/>
  <c r="Y121" i="8"/>
  <c r="Z121" i="8"/>
  <c r="Y127" i="8"/>
  <c r="Z127" i="8"/>
  <c r="Y122" i="8"/>
  <c r="Z122" i="8"/>
  <c r="Y118" i="8"/>
  <c r="Z118" i="8"/>
  <c r="Y129" i="8"/>
  <c r="Z129" i="8"/>
  <c r="Y126" i="8"/>
  <c r="Z126" i="8"/>
  <c r="Y124" i="8"/>
  <c r="Z124" i="8"/>
  <c r="Y119" i="8"/>
  <c r="Z119" i="8"/>
  <c r="Y128" i="8"/>
  <c r="Z128" i="8"/>
  <c r="Y125" i="8"/>
  <c r="Z125" i="8"/>
  <c r="Y137" i="8"/>
  <c r="Z137" i="8"/>
  <c r="Y139" i="8"/>
  <c r="Z139" i="8"/>
  <c r="Y138" i="8"/>
  <c r="Z138" i="8"/>
  <c r="Y131" i="8"/>
  <c r="Z131" i="8"/>
  <c r="Y134" i="8"/>
  <c r="Z134" i="8"/>
  <c r="Y133" i="8"/>
  <c r="Z133" i="8"/>
  <c r="Y135" i="8"/>
  <c r="Z135" i="8"/>
  <c r="Y153" i="8"/>
  <c r="Z153" i="8"/>
  <c r="Y136" i="8"/>
  <c r="Z136" i="8"/>
  <c r="Y130" i="8"/>
  <c r="Z130" i="8"/>
  <c r="Y132" i="8"/>
  <c r="Z132" i="8"/>
  <c r="Y144" i="8"/>
  <c r="Z144" i="8"/>
  <c r="Y147" i="8"/>
  <c r="Z147" i="8"/>
  <c r="Y140" i="8"/>
  <c r="Z140" i="8"/>
  <c r="Y149" i="8"/>
  <c r="Z149" i="8"/>
  <c r="Y151" i="8"/>
  <c r="Z151" i="8"/>
  <c r="Y141" i="8"/>
  <c r="Z141" i="8"/>
  <c r="Y143" i="8"/>
  <c r="Z143" i="8"/>
  <c r="Y146" i="8"/>
  <c r="Z146" i="8"/>
  <c r="Y142" i="8"/>
  <c r="Z142" i="8"/>
  <c r="Y150" i="8"/>
  <c r="Z150" i="8"/>
  <c r="Y145" i="8"/>
  <c r="Z145" i="8"/>
  <c r="Y155" i="8"/>
  <c r="Z155" i="8"/>
  <c r="Y157" i="8"/>
  <c r="Z157" i="8"/>
  <c r="Y156" i="8"/>
  <c r="Z156" i="8"/>
  <c r="Y152" i="8"/>
  <c r="Z152" i="8"/>
  <c r="Y154" i="8"/>
  <c r="Z154" i="8"/>
  <c r="Y148" i="8"/>
  <c r="Z148" i="8"/>
  <c r="Y159" i="8"/>
  <c r="Z159" i="8"/>
  <c r="Y161" i="8"/>
  <c r="Z161" i="8"/>
  <c r="Y162" i="8"/>
  <c r="Z162" i="8"/>
  <c r="Y166" i="8"/>
  <c r="Z166" i="8"/>
  <c r="Y160" i="8"/>
  <c r="Z160" i="8"/>
  <c r="Y165" i="8"/>
  <c r="Z165" i="8"/>
  <c r="Y163" i="8"/>
  <c r="Z163" i="8"/>
  <c r="Y158" i="8"/>
  <c r="Z158" i="8"/>
  <c r="Y164" i="8"/>
  <c r="Z164" i="8"/>
  <c r="Y171" i="8"/>
  <c r="Z171" i="8"/>
  <c r="Y169" i="8"/>
  <c r="Z169" i="8"/>
  <c r="Y167" i="8"/>
  <c r="Z167" i="8"/>
  <c r="Y172" i="8"/>
  <c r="Z172" i="8"/>
  <c r="Y173" i="8"/>
  <c r="Z173" i="8"/>
  <c r="Y170" i="8"/>
  <c r="Z170" i="8"/>
  <c r="Y175" i="8"/>
  <c r="Z175" i="8"/>
  <c r="Y176" i="8"/>
  <c r="Z176" i="8"/>
  <c r="Y178" i="8"/>
  <c r="Z178" i="8"/>
  <c r="Y177" i="8"/>
  <c r="Z177" i="8"/>
  <c r="Y174" i="8"/>
  <c r="Z174" i="8"/>
  <c r="Y168" i="8"/>
  <c r="Z168" i="8"/>
  <c r="Y180" i="8"/>
  <c r="Z180" i="8"/>
  <c r="Y179" i="8"/>
  <c r="Z179" i="8"/>
  <c r="Y183" i="8"/>
  <c r="Z183" i="8"/>
  <c r="Y182" i="8"/>
  <c r="Z182" i="8"/>
  <c r="Y184" i="8"/>
  <c r="Z184" i="8"/>
  <c r="Y181" i="8"/>
  <c r="Z181" i="8"/>
  <c r="Y187" i="8"/>
  <c r="Z187" i="8"/>
  <c r="Y185" i="8"/>
  <c r="Z185" i="8"/>
  <c r="Y188" i="8"/>
  <c r="Z188" i="8"/>
  <c r="Y189" i="8"/>
  <c r="Z189" i="8"/>
  <c r="Y186" i="8"/>
  <c r="Z186" i="8"/>
  <c r="Y190" i="8"/>
  <c r="Z190" i="8"/>
  <c r="Y199" i="8"/>
  <c r="Z199" i="8"/>
  <c r="Y191" i="8"/>
  <c r="Z191" i="8"/>
  <c r="Y192" i="8"/>
  <c r="Z192" i="8"/>
  <c r="Y195" i="8"/>
  <c r="Z195" i="8"/>
  <c r="Y193" i="8"/>
  <c r="Z193" i="8"/>
  <c r="Y194" i="8"/>
  <c r="Z194" i="8"/>
  <c r="Y196" i="8"/>
  <c r="Z196" i="8"/>
  <c r="Y197" i="8"/>
  <c r="Z197" i="8"/>
  <c r="Y198" i="8"/>
  <c r="Z198" i="8"/>
  <c r="Y200" i="8"/>
  <c r="Z200" i="8"/>
  <c r="Z6" i="8"/>
  <c r="Y6" i="8"/>
  <c r="C12" i="8"/>
  <c r="D12" i="8"/>
  <c r="E12" i="8"/>
  <c r="F12" i="8"/>
  <c r="J12" i="8"/>
  <c r="K12" i="8"/>
  <c r="O12" i="8"/>
  <c r="P12" i="8"/>
  <c r="T12" i="8"/>
  <c r="U12" i="8"/>
  <c r="C55" i="8"/>
  <c r="D55" i="8"/>
  <c r="E55" i="8"/>
  <c r="F55" i="8"/>
  <c r="J55" i="8"/>
  <c r="K55" i="8"/>
  <c r="O55" i="8"/>
  <c r="P55" i="8"/>
  <c r="T55" i="8"/>
  <c r="U55" i="8"/>
  <c r="C166" i="8"/>
  <c r="D166" i="8"/>
  <c r="E166" i="8"/>
  <c r="F166" i="8"/>
  <c r="J166" i="8"/>
  <c r="K166" i="8"/>
  <c r="O166" i="8"/>
  <c r="P166" i="8"/>
  <c r="T166" i="8"/>
  <c r="U166" i="8"/>
  <c r="C101" i="8"/>
  <c r="D101" i="8"/>
  <c r="E101" i="8"/>
  <c r="F101" i="8"/>
  <c r="J101" i="8"/>
  <c r="K101" i="8"/>
  <c r="O101" i="8"/>
  <c r="P101" i="8"/>
  <c r="T101" i="8"/>
  <c r="U101" i="8"/>
  <c r="C60" i="8"/>
  <c r="D60" i="8"/>
  <c r="E60" i="8"/>
  <c r="F60" i="8"/>
  <c r="J60" i="8"/>
  <c r="K60" i="8"/>
  <c r="O60" i="8"/>
  <c r="P60" i="8"/>
  <c r="T60" i="8"/>
  <c r="U60" i="8"/>
  <c r="C157" i="8"/>
  <c r="D157" i="8"/>
  <c r="E157" i="8"/>
  <c r="F157" i="8"/>
  <c r="J157" i="8"/>
  <c r="K157" i="8"/>
  <c r="O157" i="8"/>
  <c r="P157" i="8"/>
  <c r="T157" i="8"/>
  <c r="U157" i="8"/>
  <c r="C28" i="8"/>
  <c r="D28" i="8"/>
  <c r="E28" i="8"/>
  <c r="F28" i="8"/>
  <c r="J28" i="8"/>
  <c r="K28" i="8"/>
  <c r="O28" i="8"/>
  <c r="P28" i="8"/>
  <c r="T28" i="8"/>
  <c r="U28" i="8"/>
  <c r="C30" i="8"/>
  <c r="D30" i="8"/>
  <c r="E30" i="8"/>
  <c r="F30" i="8"/>
  <c r="J30" i="8"/>
  <c r="K30" i="8"/>
  <c r="O30" i="8"/>
  <c r="P30" i="8"/>
  <c r="T30" i="8"/>
  <c r="U30" i="8"/>
  <c r="C129" i="8"/>
  <c r="D129" i="8"/>
  <c r="E129" i="8"/>
  <c r="F129" i="8"/>
  <c r="J129" i="8"/>
  <c r="K129" i="8"/>
  <c r="O129" i="8"/>
  <c r="P129" i="8"/>
  <c r="T129" i="8"/>
  <c r="U129" i="8"/>
  <c r="C54" i="8"/>
  <c r="D54" i="8"/>
  <c r="E54" i="8"/>
  <c r="F54" i="8"/>
  <c r="J54" i="8"/>
  <c r="K54" i="8"/>
  <c r="O54" i="8"/>
  <c r="P54" i="8"/>
  <c r="T54" i="8"/>
  <c r="U54" i="8"/>
  <c r="C88" i="8"/>
  <c r="D88" i="8"/>
  <c r="E88" i="8"/>
  <c r="F88" i="8"/>
  <c r="J88" i="8"/>
  <c r="K88" i="8"/>
  <c r="O88" i="8"/>
  <c r="P88" i="8"/>
  <c r="T88" i="8"/>
  <c r="U88" i="8"/>
  <c r="C13" i="8"/>
  <c r="D13" i="8"/>
  <c r="E13" i="8"/>
  <c r="F13" i="8"/>
  <c r="J13" i="8"/>
  <c r="K13" i="8"/>
  <c r="O13" i="8"/>
  <c r="P13" i="8"/>
  <c r="T13" i="8"/>
  <c r="U13" i="8"/>
  <c r="C150" i="8"/>
  <c r="D150" i="8"/>
  <c r="E150" i="8"/>
  <c r="F150" i="8"/>
  <c r="J150" i="8"/>
  <c r="K150" i="8"/>
  <c r="O150" i="8"/>
  <c r="P150" i="8"/>
  <c r="T150" i="8"/>
  <c r="U150" i="8"/>
  <c r="C77" i="8"/>
  <c r="D77" i="8"/>
  <c r="E77" i="8"/>
  <c r="F77" i="8"/>
  <c r="J77" i="8"/>
  <c r="K77" i="8"/>
  <c r="O77" i="8"/>
  <c r="P77" i="8"/>
  <c r="T77" i="8"/>
  <c r="U77" i="8"/>
  <c r="T10" i="8"/>
  <c r="AA10" i="8" s="1"/>
  <c r="U10" i="8"/>
  <c r="T6" i="8"/>
  <c r="U6" i="8"/>
  <c r="T7" i="8"/>
  <c r="U7" i="8"/>
  <c r="T19" i="8"/>
  <c r="U19" i="8"/>
  <c r="T9" i="8"/>
  <c r="U9" i="8"/>
  <c r="T14" i="8"/>
  <c r="U14" i="8"/>
  <c r="T15" i="8"/>
  <c r="U15" i="8"/>
  <c r="T18" i="8"/>
  <c r="U18" i="8"/>
  <c r="AC18" i="8" s="1"/>
  <c r="T16" i="8"/>
  <c r="U16" i="8"/>
  <c r="T49" i="8"/>
  <c r="U49" i="8"/>
  <c r="T20" i="8"/>
  <c r="U20" i="8"/>
  <c r="T11" i="8"/>
  <c r="U11" i="8"/>
  <c r="T83" i="8"/>
  <c r="U83" i="8"/>
  <c r="T37" i="8"/>
  <c r="U37" i="8"/>
  <c r="T17" i="8"/>
  <c r="AA17" i="8" s="1"/>
  <c r="U17" i="8"/>
  <c r="T22" i="8"/>
  <c r="AA22" i="8" s="1"/>
  <c r="U22" i="8"/>
  <c r="T78" i="8"/>
  <c r="U78" i="8"/>
  <c r="T43" i="8"/>
  <c r="U43" i="8"/>
  <c r="T38" i="8"/>
  <c r="U38" i="8"/>
  <c r="T25" i="8"/>
  <c r="U25" i="8"/>
  <c r="T41" i="8"/>
  <c r="AA41" i="8" s="1"/>
  <c r="U41" i="8"/>
  <c r="T103" i="8"/>
  <c r="U103" i="8"/>
  <c r="T125" i="8"/>
  <c r="U125" i="8"/>
  <c r="T65" i="8"/>
  <c r="AA65" i="8" s="1"/>
  <c r="U65" i="8"/>
  <c r="T111" i="8"/>
  <c r="U111" i="8"/>
  <c r="T112" i="8"/>
  <c r="U112" i="8"/>
  <c r="T48" i="8"/>
  <c r="U48" i="8"/>
  <c r="T57" i="8"/>
  <c r="U57" i="8"/>
  <c r="T67" i="8"/>
  <c r="U67" i="8"/>
  <c r="T51" i="8"/>
  <c r="U51" i="8"/>
  <c r="T29" i="8"/>
  <c r="U29" i="8"/>
  <c r="T21" i="8"/>
  <c r="U21" i="8"/>
  <c r="T33" i="8"/>
  <c r="U33" i="8"/>
  <c r="T24" i="8"/>
  <c r="U24" i="8"/>
  <c r="T36" i="8"/>
  <c r="U36" i="8"/>
  <c r="T95" i="8"/>
  <c r="U95" i="8"/>
  <c r="T39" i="8"/>
  <c r="U39" i="8"/>
  <c r="T94" i="8"/>
  <c r="U94" i="8"/>
  <c r="T42" i="8"/>
  <c r="U42" i="8"/>
  <c r="T113" i="8"/>
  <c r="U113" i="8"/>
  <c r="T35" i="8"/>
  <c r="AA35" i="8" s="1"/>
  <c r="U35" i="8"/>
  <c r="T26" i="8"/>
  <c r="U26" i="8"/>
  <c r="T27" i="8"/>
  <c r="U27" i="8"/>
  <c r="T104" i="8"/>
  <c r="U104" i="8"/>
  <c r="T72" i="8"/>
  <c r="AA72" i="8" s="1"/>
  <c r="U72" i="8"/>
  <c r="T68" i="8"/>
  <c r="U68" i="8"/>
  <c r="T58" i="8"/>
  <c r="U58" i="8"/>
  <c r="T90" i="8"/>
  <c r="AA90" i="8" s="1"/>
  <c r="U90" i="8"/>
  <c r="T64" i="8"/>
  <c r="U64" i="8"/>
  <c r="T59" i="8"/>
  <c r="U59" i="8"/>
  <c r="T34" i="8"/>
  <c r="AA34" i="8" s="1"/>
  <c r="U34" i="8"/>
  <c r="T80" i="8"/>
  <c r="U80" i="8"/>
  <c r="T44" i="8"/>
  <c r="AA44" i="8" s="1"/>
  <c r="U44" i="8"/>
  <c r="T81" i="8"/>
  <c r="U81" i="8"/>
  <c r="T31" i="8"/>
  <c r="U31" i="8"/>
  <c r="T50" i="8"/>
  <c r="U50" i="8"/>
  <c r="T63" i="8"/>
  <c r="U63" i="8"/>
  <c r="T87" i="8"/>
  <c r="U87" i="8"/>
  <c r="T85" i="8"/>
  <c r="AA85" i="8" s="1"/>
  <c r="U85" i="8"/>
  <c r="T52" i="8"/>
  <c r="U52" i="8"/>
  <c r="T71" i="8"/>
  <c r="U71" i="8"/>
  <c r="T47" i="8"/>
  <c r="U47" i="8"/>
  <c r="T82" i="8"/>
  <c r="U82" i="8"/>
  <c r="T76" i="8"/>
  <c r="U76" i="8"/>
  <c r="T79" i="8"/>
  <c r="U79" i="8"/>
  <c r="T70" i="8"/>
  <c r="U70" i="8"/>
  <c r="T56" i="8"/>
  <c r="U56" i="8"/>
  <c r="T132" i="8"/>
  <c r="U132" i="8"/>
  <c r="T91" i="8"/>
  <c r="AA91" i="8" s="1"/>
  <c r="U91" i="8"/>
  <c r="T23" i="8"/>
  <c r="U23" i="8"/>
  <c r="T75" i="8"/>
  <c r="U75" i="8"/>
  <c r="T53" i="8"/>
  <c r="U53" i="8"/>
  <c r="T40" i="8"/>
  <c r="U40" i="8"/>
  <c r="T92" i="8"/>
  <c r="U92" i="8"/>
  <c r="T62" i="8"/>
  <c r="U62" i="8"/>
  <c r="T61" i="8"/>
  <c r="U61" i="8"/>
  <c r="T96" i="8"/>
  <c r="U96" i="8"/>
  <c r="T66" i="8"/>
  <c r="U66" i="8"/>
  <c r="T45" i="8"/>
  <c r="U45" i="8"/>
  <c r="T99" i="8"/>
  <c r="U99" i="8"/>
  <c r="T109" i="8"/>
  <c r="U109" i="8"/>
  <c r="T152" i="8"/>
  <c r="AA152" i="8" s="1"/>
  <c r="U152" i="8"/>
  <c r="T32" i="8"/>
  <c r="U32" i="8"/>
  <c r="T86" i="8"/>
  <c r="U86" i="8"/>
  <c r="T46" i="8"/>
  <c r="U46" i="8"/>
  <c r="T97" i="8"/>
  <c r="U97" i="8"/>
  <c r="T116" i="8"/>
  <c r="U116" i="8"/>
  <c r="T73" i="8"/>
  <c r="U73" i="8"/>
  <c r="T93" i="8"/>
  <c r="U93" i="8"/>
  <c r="T135" i="8"/>
  <c r="U135" i="8"/>
  <c r="T84" i="8"/>
  <c r="U84" i="8"/>
  <c r="T100" i="8"/>
  <c r="AA100" i="8" s="1"/>
  <c r="U100" i="8"/>
  <c r="T106" i="8"/>
  <c r="U106" i="8"/>
  <c r="T115" i="8"/>
  <c r="U115" i="8"/>
  <c r="T128" i="8"/>
  <c r="U128" i="8"/>
  <c r="T74" i="8"/>
  <c r="U74" i="8"/>
  <c r="T144" i="8"/>
  <c r="U144" i="8"/>
  <c r="T102" i="8"/>
  <c r="U102" i="8"/>
  <c r="T117" i="8"/>
  <c r="U117" i="8"/>
  <c r="T119" i="8"/>
  <c r="U119" i="8"/>
  <c r="T148" i="8"/>
  <c r="U148" i="8"/>
  <c r="T105" i="8"/>
  <c r="U105" i="8"/>
  <c r="T107" i="8"/>
  <c r="U107" i="8"/>
  <c r="T114" i="8"/>
  <c r="U114" i="8"/>
  <c r="T89" i="8"/>
  <c r="U89" i="8"/>
  <c r="T120" i="8"/>
  <c r="AA120" i="8" s="1"/>
  <c r="U120" i="8"/>
  <c r="T110" i="8"/>
  <c r="U110" i="8"/>
  <c r="T141" i="8"/>
  <c r="U141" i="8"/>
  <c r="T145" i="8"/>
  <c r="U145" i="8"/>
  <c r="T137" i="8"/>
  <c r="U137" i="8"/>
  <c r="T118" i="8"/>
  <c r="U118" i="8"/>
  <c r="AC118" i="8" s="1"/>
  <c r="T151" i="8"/>
  <c r="U151" i="8"/>
  <c r="T126" i="8"/>
  <c r="U126" i="8"/>
  <c r="T175" i="8"/>
  <c r="U175" i="8"/>
  <c r="T134" i="8"/>
  <c r="U134" i="8"/>
  <c r="T155" i="8"/>
  <c r="U155" i="8"/>
  <c r="T163" i="8"/>
  <c r="U163" i="8"/>
  <c r="T123" i="8"/>
  <c r="U123" i="8"/>
  <c r="T131" i="8"/>
  <c r="U131" i="8"/>
  <c r="T127" i="8"/>
  <c r="U127" i="8"/>
  <c r="T130" i="8"/>
  <c r="AA130" i="8" s="1"/>
  <c r="U130" i="8"/>
  <c r="T136" i="8"/>
  <c r="U136" i="8"/>
  <c r="T147" i="8"/>
  <c r="U147" i="8"/>
  <c r="T108" i="8"/>
  <c r="U108" i="8"/>
  <c r="T146" i="8"/>
  <c r="U146" i="8"/>
  <c r="T98" i="8"/>
  <c r="U98" i="8"/>
  <c r="T124" i="8"/>
  <c r="AA124" i="8" s="1"/>
  <c r="U124" i="8"/>
  <c r="T162" i="8"/>
  <c r="U162" i="8"/>
  <c r="T139" i="8"/>
  <c r="AA139" i="8" s="1"/>
  <c r="U139" i="8"/>
  <c r="T133" i="8"/>
  <c r="U133" i="8"/>
  <c r="T153" i="8"/>
  <c r="U153" i="8"/>
  <c r="T142" i="8"/>
  <c r="U142" i="8"/>
  <c r="T140" i="8"/>
  <c r="U140" i="8"/>
  <c r="T177" i="8"/>
  <c r="U177" i="8"/>
  <c r="T165" i="8"/>
  <c r="AA165" i="8" s="1"/>
  <c r="U165" i="8"/>
  <c r="T167" i="8"/>
  <c r="U167" i="8"/>
  <c r="T161" i="8"/>
  <c r="U161" i="8"/>
  <c r="T173" i="8"/>
  <c r="U173" i="8"/>
  <c r="T121" i="8"/>
  <c r="U121" i="8"/>
  <c r="T170" i="8"/>
  <c r="U170" i="8"/>
  <c r="T191" i="8"/>
  <c r="U191" i="8"/>
  <c r="T149" i="8"/>
  <c r="U149" i="8"/>
  <c r="T159" i="8"/>
  <c r="AA159" i="8" s="1"/>
  <c r="U159" i="8"/>
  <c r="T174" i="8"/>
  <c r="U174" i="8"/>
  <c r="T143" i="8"/>
  <c r="AA143" i="8" s="1"/>
  <c r="U143" i="8"/>
  <c r="T169" i="8"/>
  <c r="U169" i="8"/>
  <c r="T190" i="8"/>
  <c r="U190" i="8"/>
  <c r="T178" i="8"/>
  <c r="U178" i="8"/>
  <c r="T182" i="8"/>
  <c r="U182" i="8"/>
  <c r="T138" i="8"/>
  <c r="U138" i="8"/>
  <c r="T180" i="8"/>
  <c r="U180" i="8"/>
  <c r="T69" i="8"/>
  <c r="U69" i="8"/>
  <c r="T164" i="8"/>
  <c r="U164" i="8"/>
  <c r="T176" i="8"/>
  <c r="U176" i="8"/>
  <c r="T156" i="8"/>
  <c r="U156" i="8"/>
  <c r="T160" i="8"/>
  <c r="U160" i="8"/>
  <c r="T168" i="8"/>
  <c r="U168" i="8"/>
  <c r="T154" i="8"/>
  <c r="U154" i="8"/>
  <c r="T179" i="8"/>
  <c r="U179" i="8"/>
  <c r="T158" i="8"/>
  <c r="U158" i="8"/>
  <c r="T171" i="8"/>
  <c r="U171" i="8"/>
  <c r="T189" i="8"/>
  <c r="U189" i="8"/>
  <c r="T185" i="8"/>
  <c r="U185" i="8"/>
  <c r="T187" i="8"/>
  <c r="U187" i="8"/>
  <c r="T186" i="8"/>
  <c r="U186" i="8"/>
  <c r="T192" i="8"/>
  <c r="U192" i="8"/>
  <c r="T183" i="8"/>
  <c r="U183" i="8"/>
  <c r="T122" i="8"/>
  <c r="U122" i="8"/>
  <c r="T181" i="8"/>
  <c r="U181" i="8"/>
  <c r="T195" i="8"/>
  <c r="U195" i="8"/>
  <c r="T184" i="8"/>
  <c r="U184" i="8"/>
  <c r="T194" i="8"/>
  <c r="U194" i="8"/>
  <c r="T172" i="8"/>
  <c r="U172" i="8"/>
  <c r="T193" i="8"/>
  <c r="U193" i="8"/>
  <c r="T196" i="8"/>
  <c r="U196" i="8"/>
  <c r="T197" i="8"/>
  <c r="U197" i="8"/>
  <c r="T188" i="8"/>
  <c r="U188" i="8"/>
  <c r="T198" i="8"/>
  <c r="U198" i="8"/>
  <c r="T200" i="8"/>
  <c r="U200" i="8"/>
  <c r="X200" i="8" s="1"/>
  <c r="T199" i="8"/>
  <c r="U199" i="8"/>
  <c r="U8" i="8"/>
  <c r="T8" i="8"/>
  <c r="S200" i="8"/>
  <c r="S199" i="8"/>
  <c r="N199" i="8"/>
  <c r="O6" i="8"/>
  <c r="P6" i="8"/>
  <c r="O15" i="8"/>
  <c r="P15" i="8"/>
  <c r="O10" i="8"/>
  <c r="P10" i="8"/>
  <c r="O9" i="8"/>
  <c r="P9" i="8"/>
  <c r="O14" i="8"/>
  <c r="P14" i="8"/>
  <c r="O17" i="8"/>
  <c r="P17" i="8"/>
  <c r="O56" i="8"/>
  <c r="P56" i="8"/>
  <c r="O11" i="8"/>
  <c r="P11" i="8"/>
  <c r="O8" i="8"/>
  <c r="P8" i="8"/>
  <c r="O19" i="8"/>
  <c r="P19" i="8"/>
  <c r="O20" i="8"/>
  <c r="P20" i="8"/>
  <c r="O24" i="8"/>
  <c r="P24" i="8"/>
  <c r="O37" i="8"/>
  <c r="P37" i="8"/>
  <c r="O35" i="8"/>
  <c r="P35" i="8"/>
  <c r="O45" i="8"/>
  <c r="P45" i="8"/>
  <c r="O18" i="8"/>
  <c r="P18" i="8"/>
  <c r="O22" i="8"/>
  <c r="P22" i="8"/>
  <c r="O39" i="8"/>
  <c r="P39" i="8"/>
  <c r="O69" i="8"/>
  <c r="P69" i="8"/>
  <c r="O21" i="8"/>
  <c r="P21" i="8"/>
  <c r="O53" i="8"/>
  <c r="P53" i="8"/>
  <c r="O23" i="8"/>
  <c r="P23" i="8"/>
  <c r="O16" i="8"/>
  <c r="P16" i="8"/>
  <c r="O33" i="8"/>
  <c r="P33" i="8"/>
  <c r="O29" i="8"/>
  <c r="P29" i="8"/>
  <c r="O32" i="8"/>
  <c r="P32" i="8"/>
  <c r="O34" i="8"/>
  <c r="P34" i="8"/>
  <c r="O59" i="8"/>
  <c r="P59" i="8"/>
  <c r="O26" i="8"/>
  <c r="P26" i="8"/>
  <c r="O27" i="8"/>
  <c r="P27" i="8"/>
  <c r="O41" i="8"/>
  <c r="P41" i="8"/>
  <c r="O73" i="8"/>
  <c r="P73" i="8"/>
  <c r="O68" i="8"/>
  <c r="P68" i="8"/>
  <c r="O48" i="8"/>
  <c r="P48" i="8"/>
  <c r="O25" i="8"/>
  <c r="P25" i="8"/>
  <c r="O36" i="8"/>
  <c r="P36" i="8"/>
  <c r="O74" i="8"/>
  <c r="P74" i="8"/>
  <c r="O40" i="8"/>
  <c r="P40" i="8"/>
  <c r="O46" i="8"/>
  <c r="P46" i="8"/>
  <c r="O106" i="8"/>
  <c r="P106" i="8"/>
  <c r="O47" i="8"/>
  <c r="P47" i="8"/>
  <c r="O49" i="8"/>
  <c r="P49" i="8"/>
  <c r="O70" i="8"/>
  <c r="P70" i="8"/>
  <c r="O85" i="8"/>
  <c r="P85" i="8"/>
  <c r="O31" i="8"/>
  <c r="P31" i="8"/>
  <c r="O82" i="8"/>
  <c r="P82" i="8"/>
  <c r="O52" i="8"/>
  <c r="P52" i="8"/>
  <c r="O44" i="8"/>
  <c r="P44" i="8"/>
  <c r="O58" i="8"/>
  <c r="P58" i="8"/>
  <c r="O110" i="8"/>
  <c r="P110" i="8"/>
  <c r="O89" i="8"/>
  <c r="P89" i="8"/>
  <c r="O57" i="8"/>
  <c r="V57" i="8" s="1"/>
  <c r="P57" i="8"/>
  <c r="O38" i="8"/>
  <c r="P38" i="8"/>
  <c r="O43" i="8"/>
  <c r="P43" i="8"/>
  <c r="O64" i="8"/>
  <c r="P64" i="8"/>
  <c r="O51" i="8"/>
  <c r="P51" i="8"/>
  <c r="O61" i="8"/>
  <c r="P61" i="8"/>
  <c r="O63" i="8"/>
  <c r="P63" i="8"/>
  <c r="O67" i="8"/>
  <c r="P67" i="8"/>
  <c r="O100" i="8"/>
  <c r="P100" i="8"/>
  <c r="O91" i="8"/>
  <c r="P91" i="8"/>
  <c r="O72" i="8"/>
  <c r="P72" i="8"/>
  <c r="O50" i="8"/>
  <c r="P50" i="8"/>
  <c r="O80" i="8"/>
  <c r="P80" i="8"/>
  <c r="O78" i="8"/>
  <c r="P78" i="8"/>
  <c r="O81" i="8"/>
  <c r="P81" i="8"/>
  <c r="O76" i="8"/>
  <c r="P76" i="8"/>
  <c r="O42" i="8"/>
  <c r="P42" i="8"/>
  <c r="O71" i="8"/>
  <c r="P71" i="8"/>
  <c r="O62" i="8"/>
  <c r="P62" i="8"/>
  <c r="O84" i="8"/>
  <c r="P84" i="8"/>
  <c r="O116" i="8"/>
  <c r="P116" i="8"/>
  <c r="O79" i="8"/>
  <c r="P79" i="8"/>
  <c r="O75" i="8"/>
  <c r="P75" i="8"/>
  <c r="O66" i="8"/>
  <c r="P66" i="8"/>
  <c r="O124" i="8"/>
  <c r="P124" i="8"/>
  <c r="O103" i="8"/>
  <c r="P103" i="8"/>
  <c r="O141" i="8"/>
  <c r="P141" i="8"/>
  <c r="O98" i="8"/>
  <c r="P98" i="8"/>
  <c r="O109" i="8"/>
  <c r="P109" i="8"/>
  <c r="O94" i="8"/>
  <c r="P94" i="8"/>
  <c r="O86" i="8"/>
  <c r="P86" i="8"/>
  <c r="O118" i="8"/>
  <c r="P118" i="8"/>
  <c r="O104" i="8"/>
  <c r="V104" i="8" s="1"/>
  <c r="P104" i="8"/>
  <c r="O93" i="8"/>
  <c r="P93" i="8"/>
  <c r="O114" i="8"/>
  <c r="P114" i="8"/>
  <c r="O115" i="8"/>
  <c r="P115" i="8"/>
  <c r="O92" i="8"/>
  <c r="P92" i="8"/>
  <c r="O96" i="8"/>
  <c r="P96" i="8"/>
  <c r="O83" i="8"/>
  <c r="P83" i="8"/>
  <c r="O65" i="8"/>
  <c r="P65" i="8"/>
  <c r="O135" i="8"/>
  <c r="V135" i="8" s="1"/>
  <c r="P135" i="8"/>
  <c r="O95" i="8"/>
  <c r="P95" i="8"/>
  <c r="O102" i="8"/>
  <c r="P102" i="8"/>
  <c r="O90" i="8"/>
  <c r="P90" i="8"/>
  <c r="O134" i="8"/>
  <c r="P134" i="8"/>
  <c r="O122" i="8"/>
  <c r="P122" i="8"/>
  <c r="O107" i="8"/>
  <c r="P107" i="8"/>
  <c r="O123" i="8"/>
  <c r="P123" i="8"/>
  <c r="O130" i="8"/>
  <c r="P130" i="8"/>
  <c r="O154" i="8"/>
  <c r="P154" i="8"/>
  <c r="O97" i="8"/>
  <c r="P97" i="8"/>
  <c r="O131" i="8"/>
  <c r="P131" i="8"/>
  <c r="O126" i="8"/>
  <c r="P126" i="8"/>
  <c r="O137" i="8"/>
  <c r="P137" i="8"/>
  <c r="O99" i="8"/>
  <c r="P99" i="8"/>
  <c r="O144" i="8"/>
  <c r="P144" i="8"/>
  <c r="O111" i="8"/>
  <c r="P111" i="8"/>
  <c r="O125" i="8"/>
  <c r="P125" i="8"/>
  <c r="O156" i="8"/>
  <c r="P156" i="8"/>
  <c r="O136" i="8"/>
  <c r="P136" i="8"/>
  <c r="O140" i="8"/>
  <c r="P140" i="8"/>
  <c r="O113" i="8"/>
  <c r="P113" i="8"/>
  <c r="O87" i="8"/>
  <c r="P87" i="8"/>
  <c r="O149" i="8"/>
  <c r="P149" i="8"/>
  <c r="O143" i="8"/>
  <c r="P143" i="8"/>
  <c r="O121" i="8"/>
  <c r="P121" i="8"/>
  <c r="O120" i="8"/>
  <c r="P120" i="8"/>
  <c r="O108" i="8"/>
  <c r="P108" i="8"/>
  <c r="O173" i="8"/>
  <c r="P173" i="8"/>
  <c r="O105" i="8"/>
  <c r="P105" i="8"/>
  <c r="O128" i="8"/>
  <c r="P128" i="8"/>
  <c r="O112" i="8"/>
  <c r="P112" i="8"/>
  <c r="O127" i="8"/>
  <c r="P127" i="8"/>
  <c r="O139" i="8"/>
  <c r="P139" i="8"/>
  <c r="O119" i="8"/>
  <c r="P119" i="8"/>
  <c r="O147" i="8"/>
  <c r="P147" i="8"/>
  <c r="O151" i="8"/>
  <c r="P151" i="8"/>
  <c r="O161" i="8"/>
  <c r="P161" i="8"/>
  <c r="O138" i="8"/>
  <c r="P138" i="8"/>
  <c r="O160" i="8"/>
  <c r="P160" i="8"/>
  <c r="O155" i="8"/>
  <c r="P155" i="8"/>
  <c r="O117" i="8"/>
  <c r="P117" i="8"/>
  <c r="O146" i="8"/>
  <c r="P146" i="8"/>
  <c r="O133" i="8"/>
  <c r="P133" i="8"/>
  <c r="O159" i="8"/>
  <c r="P159" i="8"/>
  <c r="O142" i="8"/>
  <c r="P142" i="8"/>
  <c r="O183" i="8"/>
  <c r="P183" i="8"/>
  <c r="O132" i="8"/>
  <c r="P132" i="8"/>
  <c r="O167" i="8"/>
  <c r="P167" i="8"/>
  <c r="O171" i="8"/>
  <c r="P171" i="8"/>
  <c r="O162" i="8"/>
  <c r="P162" i="8"/>
  <c r="O184" i="8"/>
  <c r="P184" i="8"/>
  <c r="O174" i="8"/>
  <c r="P174" i="8"/>
  <c r="O165" i="8"/>
  <c r="P165" i="8"/>
  <c r="O176" i="8"/>
  <c r="P176" i="8"/>
  <c r="O145" i="8"/>
  <c r="P145" i="8"/>
  <c r="O170" i="8"/>
  <c r="P170" i="8"/>
  <c r="O179" i="8"/>
  <c r="P179" i="8"/>
  <c r="O153" i="8"/>
  <c r="P153" i="8"/>
  <c r="O169" i="8"/>
  <c r="P169" i="8"/>
  <c r="O188" i="8"/>
  <c r="P188" i="8"/>
  <c r="O180" i="8"/>
  <c r="P180" i="8"/>
  <c r="O158" i="8"/>
  <c r="P158" i="8"/>
  <c r="O164" i="8"/>
  <c r="P164" i="8"/>
  <c r="O178" i="8"/>
  <c r="P178" i="8"/>
  <c r="O163" i="8"/>
  <c r="P163" i="8"/>
  <c r="O177" i="8"/>
  <c r="P177" i="8"/>
  <c r="O181" i="8"/>
  <c r="P181" i="8"/>
  <c r="O172" i="8"/>
  <c r="P172" i="8"/>
  <c r="O195" i="8"/>
  <c r="P195" i="8"/>
  <c r="O187" i="8"/>
  <c r="P187" i="8"/>
  <c r="O148" i="8"/>
  <c r="P148" i="8"/>
  <c r="O190" i="8"/>
  <c r="P190" i="8"/>
  <c r="O186" i="8"/>
  <c r="P186" i="8"/>
  <c r="O192" i="8"/>
  <c r="P192" i="8"/>
  <c r="O182" i="8"/>
  <c r="P182" i="8"/>
  <c r="O185" i="8"/>
  <c r="P185" i="8"/>
  <c r="O189" i="8"/>
  <c r="P189" i="8"/>
  <c r="O194" i="8"/>
  <c r="P194" i="8"/>
  <c r="O193" i="8"/>
  <c r="P193" i="8"/>
  <c r="O175" i="8"/>
  <c r="P175" i="8"/>
  <c r="O197" i="8"/>
  <c r="V197" i="8" s="1"/>
  <c r="P197" i="8"/>
  <c r="O196" i="8"/>
  <c r="P196" i="8"/>
  <c r="O191" i="8"/>
  <c r="P191" i="8"/>
  <c r="O168" i="8"/>
  <c r="P168" i="8"/>
  <c r="O152" i="8"/>
  <c r="P152" i="8"/>
  <c r="O198" i="8"/>
  <c r="P198" i="8"/>
  <c r="P7" i="8"/>
  <c r="O7" i="8"/>
  <c r="BF141" i="8" l="1"/>
  <c r="AV82" i="8"/>
  <c r="AV36" i="8"/>
  <c r="AV87" i="8"/>
  <c r="BA6" i="8"/>
  <c r="BA36" i="8"/>
  <c r="BA69" i="8"/>
  <c r="BA179" i="8"/>
  <c r="BA129" i="8"/>
  <c r="BA161" i="8"/>
  <c r="BF50" i="8"/>
  <c r="AV56" i="8"/>
  <c r="BA140" i="8"/>
  <c r="BA151" i="8"/>
  <c r="BA169" i="8"/>
  <c r="BF169" i="8"/>
  <c r="BA111" i="8"/>
  <c r="BF63" i="8"/>
  <c r="BA37" i="8"/>
  <c r="BA47" i="8"/>
  <c r="BA157" i="8"/>
  <c r="BF138" i="8"/>
  <c r="BA181" i="8"/>
  <c r="BA55" i="8"/>
  <c r="AV47" i="8"/>
  <c r="BF51" i="8"/>
  <c r="BA138" i="8"/>
  <c r="AV43" i="8"/>
  <c r="BF186" i="8"/>
  <c r="BF179" i="8"/>
  <c r="BF54" i="8"/>
  <c r="BA187" i="8"/>
  <c r="BA85" i="8"/>
  <c r="AV35" i="8"/>
  <c r="BA108" i="8"/>
  <c r="BF187" i="8"/>
  <c r="BF161" i="8"/>
  <c r="BF108" i="8"/>
  <c r="BF39" i="8"/>
  <c r="BF80" i="8"/>
  <c r="BF139" i="8"/>
  <c r="AV109" i="8"/>
  <c r="BA67" i="8"/>
  <c r="BF75" i="8"/>
  <c r="AV144" i="8"/>
  <c r="BA16" i="8"/>
  <c r="BA45" i="8"/>
  <c r="AV146" i="8"/>
  <c r="BF16" i="8"/>
  <c r="BA139" i="8"/>
  <c r="BA88" i="8"/>
  <c r="BF111" i="8"/>
  <c r="BF36" i="8"/>
  <c r="BA52" i="8"/>
  <c r="BA80" i="8"/>
  <c r="BF52" i="8"/>
  <c r="BA112" i="8"/>
  <c r="BA57" i="8"/>
  <c r="BA165" i="8"/>
  <c r="BF60" i="8"/>
  <c r="AV114" i="8"/>
  <c r="BA98" i="8"/>
  <c r="BA62" i="8"/>
  <c r="BA8" i="8"/>
  <c r="BF178" i="8"/>
  <c r="BA75" i="8"/>
  <c r="AV68" i="8"/>
  <c r="BA41" i="8"/>
  <c r="BA178" i="8"/>
  <c r="BA65" i="8"/>
  <c r="BF40" i="8"/>
  <c r="BF66" i="8"/>
  <c r="AV120" i="8"/>
  <c r="BF122" i="8"/>
  <c r="BA182" i="8"/>
  <c r="BA49" i="8"/>
  <c r="AV74" i="8"/>
  <c r="AV90" i="8"/>
  <c r="BA147" i="8"/>
  <c r="AV32" i="8"/>
  <c r="AV162" i="8"/>
  <c r="AV65" i="8"/>
  <c r="BA48" i="8"/>
  <c r="BF158" i="8"/>
  <c r="AV125" i="8"/>
  <c r="BF98" i="8"/>
  <c r="BF62" i="8"/>
  <c r="BF165" i="8"/>
  <c r="BF33" i="8"/>
  <c r="AV85" i="8"/>
  <c r="BA163" i="8"/>
  <c r="BF76" i="8"/>
  <c r="BA77" i="8"/>
  <c r="BA93" i="8"/>
  <c r="AV139" i="8"/>
  <c r="AV9" i="8"/>
  <c r="BA158" i="8"/>
  <c r="BA137" i="8"/>
  <c r="BA86" i="8"/>
  <c r="BA167" i="8"/>
  <c r="AV72" i="8"/>
  <c r="AV163" i="8"/>
  <c r="BA103" i="8"/>
  <c r="BA116" i="8"/>
  <c r="BA18" i="8"/>
  <c r="BA35" i="8"/>
  <c r="AV102" i="8"/>
  <c r="BA33" i="8"/>
  <c r="BA30" i="8"/>
  <c r="AV18" i="8"/>
  <c r="AV81" i="8"/>
  <c r="AV69" i="8"/>
  <c r="BF129" i="8"/>
  <c r="BF181" i="8"/>
  <c r="BF23" i="8"/>
  <c r="BF103" i="8"/>
  <c r="BA24" i="8"/>
  <c r="BA40" i="8"/>
  <c r="BF120" i="8"/>
  <c r="BA74" i="8"/>
  <c r="BA89" i="8"/>
  <c r="AV15" i="8"/>
  <c r="AV161" i="8"/>
  <c r="BA174" i="8"/>
  <c r="AV178" i="8"/>
  <c r="BF56" i="8"/>
  <c r="BA92" i="8"/>
  <c r="BA50" i="8"/>
  <c r="BA27" i="8"/>
  <c r="BA120" i="8"/>
  <c r="AV186" i="8"/>
  <c r="BA130" i="8"/>
  <c r="BF135" i="8"/>
  <c r="BF27" i="8"/>
  <c r="BA56" i="8"/>
  <c r="BF177" i="8"/>
  <c r="BF65" i="8"/>
  <c r="BA94" i="8"/>
  <c r="AV97" i="8"/>
  <c r="BF133" i="8"/>
  <c r="AV131" i="8"/>
  <c r="BA97" i="8"/>
  <c r="AV106" i="8"/>
  <c r="BF163" i="8"/>
  <c r="BA68" i="8"/>
  <c r="BA23" i="8"/>
  <c r="AV80" i="8"/>
  <c r="BA20" i="8"/>
  <c r="BF30" i="8"/>
  <c r="AV23" i="8"/>
  <c r="AV124" i="8"/>
  <c r="BF9" i="8"/>
  <c r="BA9" i="8"/>
  <c r="BA153" i="8"/>
  <c r="BF152" i="8"/>
  <c r="BF119" i="8"/>
  <c r="BF117" i="8"/>
  <c r="BF118" i="8"/>
  <c r="BF42" i="8"/>
  <c r="AV143" i="8"/>
  <c r="BF174" i="8"/>
  <c r="AV93" i="8"/>
  <c r="AV122" i="8"/>
  <c r="BF184" i="8"/>
  <c r="BF68" i="8"/>
  <c r="AV25" i="8"/>
  <c r="BA143" i="8"/>
  <c r="AV49" i="8"/>
  <c r="BA109" i="8"/>
  <c r="BF94" i="8"/>
  <c r="BA170" i="8"/>
  <c r="AV58" i="8"/>
  <c r="BF44" i="8"/>
  <c r="BA135" i="8"/>
  <c r="AV51" i="8"/>
  <c r="AV132" i="8"/>
  <c r="BA117" i="8"/>
  <c r="BA21" i="8"/>
  <c r="AV21" i="8"/>
  <c r="BA119" i="8"/>
  <c r="BA118" i="8"/>
  <c r="BF20" i="8"/>
  <c r="BF137" i="8"/>
  <c r="BF172" i="8"/>
  <c r="AC17" i="8"/>
  <c r="AV38" i="8"/>
  <c r="BA172" i="8"/>
  <c r="BF78" i="8"/>
  <c r="AV92" i="8"/>
  <c r="BA146" i="8"/>
  <c r="BF34" i="8"/>
  <c r="BA125" i="8"/>
  <c r="BF121" i="8"/>
  <c r="BF167" i="8"/>
  <c r="BF8" i="8"/>
  <c r="BA133" i="8"/>
  <c r="BF154" i="8"/>
  <c r="BF24" i="8"/>
  <c r="BF143" i="8"/>
  <c r="BF72" i="8"/>
  <c r="BF146" i="8"/>
  <c r="BF70" i="8"/>
  <c r="BA11" i="8"/>
  <c r="BF11" i="8"/>
  <c r="BA114" i="8"/>
  <c r="BF185" i="8"/>
  <c r="BF77" i="8"/>
  <c r="BA34" i="8"/>
  <c r="AV108" i="8"/>
  <c r="BA121" i="8"/>
  <c r="BA159" i="8"/>
  <c r="BA124" i="8"/>
  <c r="BF125" i="8"/>
  <c r="BF149" i="8"/>
  <c r="AV61" i="8"/>
  <c r="BA154" i="8"/>
  <c r="BF86" i="8"/>
  <c r="BF83" i="8"/>
  <c r="BF150" i="8"/>
  <c r="BF91" i="8"/>
  <c r="BA42" i="8"/>
  <c r="BF180" i="8"/>
  <c r="AV75" i="8"/>
  <c r="BA115" i="8"/>
  <c r="BF29" i="8"/>
  <c r="BF55" i="8"/>
  <c r="BA26" i="8"/>
  <c r="BA51" i="8"/>
  <c r="AV104" i="8"/>
  <c r="BA70" i="8"/>
  <c r="BF35" i="8"/>
  <c r="AV39" i="8"/>
  <c r="AV11" i="8"/>
  <c r="BA102" i="8"/>
  <c r="BA72" i="8"/>
  <c r="AV17" i="8"/>
  <c r="BF93" i="8"/>
  <c r="BF97" i="8"/>
  <c r="BA150" i="8"/>
  <c r="BA149" i="8"/>
  <c r="AV177" i="8"/>
  <c r="AV57" i="8"/>
  <c r="AV60" i="8"/>
  <c r="BA180" i="8"/>
  <c r="BA91" i="8"/>
  <c r="AV166" i="8"/>
  <c r="AV175" i="8"/>
  <c r="BF147" i="8"/>
  <c r="BF38" i="8"/>
  <c r="BF170" i="8"/>
  <c r="BF151" i="8"/>
  <c r="BF134" i="8"/>
  <c r="BF21" i="8"/>
  <c r="BF124" i="8"/>
  <c r="BF115" i="8"/>
  <c r="AV98" i="8"/>
  <c r="AV116" i="8"/>
  <c r="BF109" i="8"/>
  <c r="BA100" i="8"/>
  <c r="BA12" i="8"/>
  <c r="AV103" i="8"/>
  <c r="BB204" i="8"/>
  <c r="AV12" i="8"/>
  <c r="BA38" i="8"/>
  <c r="AV127" i="8"/>
  <c r="AV30" i="8"/>
  <c r="BA175" i="8"/>
  <c r="AV118" i="8"/>
  <c r="AV96" i="8"/>
  <c r="AV181" i="8"/>
  <c r="BF26" i="8"/>
  <c r="AV99" i="8"/>
  <c r="BA66" i="8"/>
  <c r="BF6" i="8"/>
  <c r="AV156" i="8"/>
  <c r="BF19" i="8"/>
  <c r="AV142" i="8"/>
  <c r="AV94" i="8"/>
  <c r="AV112" i="8"/>
  <c r="BF160" i="8"/>
  <c r="BF164" i="8"/>
  <c r="BA81" i="8"/>
  <c r="BA29" i="8"/>
  <c r="BA64" i="8"/>
  <c r="BA123" i="8"/>
  <c r="BF123" i="8"/>
  <c r="BA156" i="8"/>
  <c r="BA136" i="8"/>
  <c r="BA122" i="8"/>
  <c r="BA105" i="8"/>
  <c r="BF136" i="8"/>
  <c r="BF116" i="8"/>
  <c r="BA99" i="8"/>
  <c r="BF18" i="8"/>
  <c r="BA22" i="8"/>
  <c r="BF175" i="8"/>
  <c r="BA188" i="8"/>
  <c r="BF12" i="8"/>
  <c r="BA152" i="8"/>
  <c r="BA107" i="8"/>
  <c r="BA96" i="8"/>
  <c r="BA160" i="8"/>
  <c r="BA164" i="8"/>
  <c r="BA71" i="8"/>
  <c r="AV147" i="8"/>
  <c r="BA58" i="8"/>
  <c r="BF22" i="8"/>
  <c r="BA185" i="8"/>
  <c r="BA177" i="8"/>
  <c r="BA142" i="8"/>
  <c r="BA186" i="8"/>
  <c r="BF99" i="8"/>
  <c r="BF81" i="8"/>
  <c r="BA168" i="8"/>
  <c r="BA184" i="8"/>
  <c r="BF105" i="8"/>
  <c r="BF156" i="8"/>
  <c r="BF107" i="8"/>
  <c r="BA95" i="8"/>
  <c r="BF168" i="8"/>
  <c r="BA126" i="8"/>
  <c r="AV173" i="8"/>
  <c r="AV28" i="8"/>
  <c r="AV45" i="8"/>
  <c r="BA145" i="8"/>
  <c r="BA28" i="8"/>
  <c r="AV79" i="8"/>
  <c r="BA127" i="8"/>
  <c r="BF64" i="8"/>
  <c r="BG204" i="8"/>
  <c r="BE2" i="8"/>
  <c r="BF58" i="8"/>
  <c r="BF126" i="8"/>
  <c r="AZ2" i="8"/>
  <c r="BF28" i="8"/>
  <c r="BF95" i="8"/>
  <c r="AY204" i="8"/>
  <c r="BF96" i="8"/>
  <c r="BF127" i="8"/>
  <c r="BF47" i="8"/>
  <c r="BF145" i="8"/>
  <c r="BD204" i="8"/>
  <c r="AV171" i="8"/>
  <c r="AV136" i="8"/>
  <c r="AV145" i="8"/>
  <c r="AV123" i="8"/>
  <c r="AV22" i="8"/>
  <c r="AV100" i="8"/>
  <c r="AV41" i="8"/>
  <c r="AV141" i="8"/>
  <c r="AV126" i="8"/>
  <c r="AV174" i="8"/>
  <c r="AV59" i="8"/>
  <c r="AV113" i="8"/>
  <c r="AV169" i="8"/>
  <c r="AV110" i="8"/>
  <c r="AV88" i="8"/>
  <c r="AV185" i="8"/>
  <c r="AV33" i="8"/>
  <c r="AV7" i="8"/>
  <c r="AV37" i="8"/>
  <c r="AV52" i="8"/>
  <c r="AV62" i="8"/>
  <c r="AQ165" i="8"/>
  <c r="AV119" i="8"/>
  <c r="AV150" i="8"/>
  <c r="AV152" i="8"/>
  <c r="AV138" i="8"/>
  <c r="AV117" i="8"/>
  <c r="AV151" i="8"/>
  <c r="AV20" i="8"/>
  <c r="AV160" i="8"/>
  <c r="AV172" i="8"/>
  <c r="AV157" i="8"/>
  <c r="AV128" i="8"/>
  <c r="AV137" i="8"/>
  <c r="AV105" i="8"/>
  <c r="AV55" i="8"/>
  <c r="AV176" i="8"/>
  <c r="AV133" i="8"/>
  <c r="AV115" i="8"/>
  <c r="AV158" i="8"/>
  <c r="AQ13" i="8"/>
  <c r="AV167" i="8"/>
  <c r="AV83" i="8"/>
  <c r="AV71" i="8"/>
  <c r="AV73" i="8"/>
  <c r="AV188" i="8"/>
  <c r="AV76" i="8"/>
  <c r="AV64" i="8"/>
  <c r="AV129" i="8"/>
  <c r="AV86" i="8"/>
  <c r="AV101" i="8"/>
  <c r="AV67" i="8"/>
  <c r="AV77" i="8"/>
  <c r="AV149" i="8"/>
  <c r="AV148" i="8"/>
  <c r="AV16" i="8"/>
  <c r="AV66" i="8"/>
  <c r="AV8" i="8"/>
  <c r="AV63" i="8"/>
  <c r="AV50" i="8"/>
  <c r="AV46" i="8"/>
  <c r="AV34" i="8"/>
  <c r="AV95" i="8"/>
  <c r="AV180" i="8"/>
  <c r="AV107" i="8"/>
  <c r="AV184" i="8"/>
  <c r="AV130" i="8"/>
  <c r="AV111" i="8"/>
  <c r="AV121" i="8"/>
  <c r="AW204" i="8"/>
  <c r="AV153" i="8"/>
  <c r="AV159" i="8"/>
  <c r="AV154" i="8"/>
  <c r="AV155" i="8"/>
  <c r="AV13" i="8"/>
  <c r="AV14" i="8"/>
  <c r="AV24" i="8"/>
  <c r="AV165" i="8"/>
  <c r="AQ188" i="8"/>
  <c r="AV29" i="8"/>
  <c r="AV182" i="8"/>
  <c r="AV40" i="8"/>
  <c r="AV187" i="8"/>
  <c r="AV44" i="8"/>
  <c r="AV183" i="8"/>
  <c r="AV140" i="8"/>
  <c r="AV48" i="8"/>
  <c r="AU2" i="8"/>
  <c r="AV6" i="8"/>
  <c r="AT204" i="8"/>
  <c r="AQ164" i="8"/>
  <c r="AQ82" i="8"/>
  <c r="X112" i="8"/>
  <c r="AQ108" i="8"/>
  <c r="AQ31" i="8"/>
  <c r="AQ147" i="8"/>
  <c r="AQ20" i="8"/>
  <c r="AQ152" i="8"/>
  <c r="AQ51" i="8"/>
  <c r="AQ156" i="8"/>
  <c r="AQ138" i="8"/>
  <c r="AQ21" i="8"/>
  <c r="AQ167" i="8"/>
  <c r="AQ40" i="8"/>
  <c r="AQ160" i="8"/>
  <c r="AQ171" i="8"/>
  <c r="AQ111" i="8"/>
  <c r="AQ39" i="8"/>
  <c r="AQ95" i="8"/>
  <c r="AQ28" i="8"/>
  <c r="AQ112" i="8"/>
  <c r="AQ114" i="8"/>
  <c r="AQ166" i="8"/>
  <c r="AQ81" i="8"/>
  <c r="AQ92" i="8"/>
  <c r="AQ124" i="8"/>
  <c r="AQ65" i="8"/>
  <c r="AQ98" i="8"/>
  <c r="AQ153" i="8"/>
  <c r="AQ183" i="8"/>
  <c r="AQ18" i="8"/>
  <c r="AQ115" i="8"/>
  <c r="AR204" i="8"/>
  <c r="AQ55" i="8"/>
  <c r="AQ116" i="8"/>
  <c r="AQ123" i="8"/>
  <c r="AQ134" i="8"/>
  <c r="AQ126" i="8"/>
  <c r="AQ151" i="8"/>
  <c r="AQ140" i="8"/>
  <c r="AQ88" i="8"/>
  <c r="AQ168" i="8"/>
  <c r="AQ66" i="8"/>
  <c r="AQ6" i="8"/>
  <c r="AQ154" i="8"/>
  <c r="AQ170" i="8"/>
  <c r="AQ53" i="8"/>
  <c r="AQ29" i="8"/>
  <c r="AQ8" i="8"/>
  <c r="AQ110" i="8"/>
  <c r="AQ185" i="8"/>
  <c r="AQ186" i="8"/>
  <c r="AQ142" i="8"/>
  <c r="AQ22" i="8"/>
  <c r="AQ50" i="8"/>
  <c r="AQ23" i="8"/>
  <c r="AQ176" i="8"/>
  <c r="AQ48" i="8"/>
  <c r="AQ16" i="8"/>
  <c r="AQ73" i="8"/>
  <c r="AQ93" i="8"/>
  <c r="AQ79" i="8"/>
  <c r="AQ86" i="8"/>
  <c r="AQ150" i="8"/>
  <c r="AQ119" i="8"/>
  <c r="AQ36" i="8"/>
  <c r="V87" i="8"/>
  <c r="AC73" i="8"/>
  <c r="AQ45" i="8"/>
  <c r="AQ128" i="8"/>
  <c r="AQ27" i="8"/>
  <c r="AQ33" i="8"/>
  <c r="AA73" i="8"/>
  <c r="AQ184" i="8"/>
  <c r="AQ70" i="8"/>
  <c r="AQ187" i="8"/>
  <c r="AQ91" i="8"/>
  <c r="AQ80" i="8"/>
  <c r="AQ63" i="8"/>
  <c r="AQ100" i="8"/>
  <c r="AQ59" i="8"/>
  <c r="AQ101" i="8"/>
  <c r="AQ74" i="8"/>
  <c r="AQ61" i="8"/>
  <c r="AQ25" i="8"/>
  <c r="AQ120" i="8"/>
  <c r="AQ76" i="8"/>
  <c r="AQ148" i="8"/>
  <c r="AQ125" i="8"/>
  <c r="AQ35" i="8"/>
  <c r="AQ7" i="8"/>
  <c r="AQ11" i="8"/>
  <c r="AQ32" i="8"/>
  <c r="AQ149" i="8"/>
  <c r="AQ90" i="8"/>
  <c r="AQ133" i="8"/>
  <c r="AQ113" i="8"/>
  <c r="AQ19" i="8"/>
  <c r="AQ121" i="8"/>
  <c r="AQ94" i="8"/>
  <c r="AQ24" i="8"/>
  <c r="V92" i="8"/>
  <c r="AQ62" i="8"/>
  <c r="AQ89" i="8"/>
  <c r="AQ44" i="8"/>
  <c r="AQ52" i="8"/>
  <c r="AQ103" i="8"/>
  <c r="AQ14" i="8"/>
  <c r="AQ175" i="8"/>
  <c r="AQ107" i="8"/>
  <c r="AQ37" i="8"/>
  <c r="V112" i="8"/>
  <c r="X87" i="8"/>
  <c r="AQ47" i="8"/>
  <c r="AQ129" i="8"/>
  <c r="AQ34" i="8"/>
  <c r="AQ26" i="8"/>
  <c r="AQ75" i="8"/>
  <c r="AQ85" i="8"/>
  <c r="AQ102" i="8"/>
  <c r="AQ87" i="8"/>
  <c r="V133" i="8"/>
  <c r="V136" i="8"/>
  <c r="AQ158" i="8"/>
  <c r="AQ109" i="8"/>
  <c r="AQ173" i="8"/>
  <c r="AQ127" i="8"/>
  <c r="AQ72" i="8"/>
  <c r="AQ104" i="8"/>
  <c r="AQ12" i="8"/>
  <c r="AQ145" i="8"/>
  <c r="AQ64" i="8"/>
  <c r="AQ69" i="8"/>
  <c r="AQ43" i="8"/>
  <c r="AQ56" i="8"/>
  <c r="AQ144" i="8"/>
  <c r="AQ17" i="8"/>
  <c r="AQ159" i="8"/>
  <c r="AQ54" i="8"/>
  <c r="AQ155" i="8"/>
  <c r="AQ30" i="8"/>
  <c r="AQ141" i="8"/>
  <c r="AQ117" i="8"/>
  <c r="AQ143" i="8"/>
  <c r="V102" i="8"/>
  <c r="V43" i="8"/>
  <c r="AQ130" i="8"/>
  <c r="AQ46" i="8"/>
  <c r="AQ71" i="8"/>
  <c r="AQ139" i="8"/>
  <c r="AQ67" i="8"/>
  <c r="AQ136" i="8"/>
  <c r="AQ163" i="8"/>
  <c r="AQ122" i="8"/>
  <c r="AQ49" i="8"/>
  <c r="AQ96" i="8"/>
  <c r="AQ157" i="8"/>
  <c r="AQ169" i="8"/>
  <c r="V152" i="8"/>
  <c r="AQ106" i="8"/>
  <c r="AQ83" i="8"/>
  <c r="AQ105" i="8"/>
  <c r="AQ137" i="8"/>
  <c r="AQ68" i="8"/>
  <c r="AQ135" i="8"/>
  <c r="AQ9" i="8"/>
  <c r="AQ118" i="8"/>
  <c r="AQ58" i="8"/>
  <c r="AQ178" i="8"/>
  <c r="AQ162" i="8"/>
  <c r="AQ179" i="8"/>
  <c r="V171" i="8"/>
  <c r="V26" i="8"/>
  <c r="AQ78" i="8"/>
  <c r="AQ99" i="8"/>
  <c r="AQ146" i="8"/>
  <c r="AQ10" i="8"/>
  <c r="AQ132" i="8"/>
  <c r="AQ15" i="8"/>
  <c r="AQ181" i="8"/>
  <c r="AQ57" i="8"/>
  <c r="AQ174" i="8"/>
  <c r="AQ172" i="8"/>
  <c r="AQ180" i="8"/>
  <c r="AQ77" i="8"/>
  <c r="AQ84" i="8"/>
  <c r="AQ42" i="8"/>
  <c r="AQ97" i="8"/>
  <c r="AQ38" i="8"/>
  <c r="AQ131" i="8"/>
  <c r="AQ41" i="8"/>
  <c r="AQ177" i="8"/>
  <c r="AQ60" i="8"/>
  <c r="AQ161" i="8"/>
  <c r="AQ182" i="8"/>
  <c r="AP2" i="8"/>
  <c r="AO204" i="8"/>
  <c r="V85" i="8"/>
  <c r="AB85" i="8" s="1"/>
  <c r="V36" i="8"/>
  <c r="V34" i="8"/>
  <c r="AB34" i="8" s="1"/>
  <c r="V20" i="8"/>
  <c r="V56" i="8"/>
  <c r="V62" i="8"/>
  <c r="V27" i="8"/>
  <c r="AA186" i="8"/>
  <c r="AA55" i="8"/>
  <c r="AL153" i="8"/>
  <c r="AA129" i="8"/>
  <c r="AA66" i="8"/>
  <c r="AA23" i="8"/>
  <c r="AA68" i="8"/>
  <c r="AA103" i="8"/>
  <c r="AC80" i="8"/>
  <c r="AC57" i="8"/>
  <c r="AA132" i="8"/>
  <c r="AA80" i="8"/>
  <c r="AA57" i="8"/>
  <c r="AB57" i="8" s="1"/>
  <c r="AC110" i="8"/>
  <c r="AC117" i="8"/>
  <c r="AA110" i="8"/>
  <c r="AA117" i="8"/>
  <c r="AA87" i="8"/>
  <c r="AA26" i="8"/>
  <c r="AB26" i="8" s="1"/>
  <c r="AA30" i="8"/>
  <c r="AC128" i="8"/>
  <c r="AC58" i="8"/>
  <c r="AC42" i="8"/>
  <c r="AA42" i="8"/>
  <c r="AC51" i="8"/>
  <c r="AA115" i="8"/>
  <c r="X89" i="8"/>
  <c r="AA58" i="8"/>
  <c r="AK2" i="8"/>
  <c r="AL6" i="8"/>
  <c r="AM204" i="8"/>
  <c r="AJ204" i="8"/>
  <c r="AA128" i="8"/>
  <c r="AC115" i="8"/>
  <c r="AA108" i="8"/>
  <c r="AA121" i="8"/>
  <c r="AA32" i="8"/>
  <c r="AA16" i="8"/>
  <c r="T204" i="8"/>
  <c r="X199" i="8"/>
  <c r="AC100" i="8"/>
  <c r="AC72" i="8"/>
  <c r="AC41" i="8"/>
  <c r="AC147" i="8"/>
  <c r="AC134" i="8"/>
  <c r="AC120" i="8"/>
  <c r="AC85" i="8"/>
  <c r="AC34" i="8"/>
  <c r="AC150" i="8"/>
  <c r="AC112" i="8"/>
  <c r="O204" i="8"/>
  <c r="AC63" i="8"/>
  <c r="AC35" i="8"/>
  <c r="AC10" i="8"/>
  <c r="AC124" i="8"/>
  <c r="AC90" i="8"/>
  <c r="AC65" i="8"/>
  <c r="AC22" i="8"/>
  <c r="Y204" i="8"/>
  <c r="AA8" i="8"/>
  <c r="T2" i="8"/>
  <c r="Z2" i="8"/>
  <c r="Y2" i="8"/>
  <c r="U2" i="8"/>
  <c r="AA119" i="8"/>
  <c r="AA71" i="8"/>
  <c r="AA67" i="8"/>
  <c r="AA84" i="8"/>
  <c r="AA86" i="8"/>
  <c r="AA133" i="8"/>
  <c r="P2" i="8"/>
  <c r="AA59" i="8"/>
  <c r="AA24" i="8"/>
  <c r="AA43" i="8"/>
  <c r="O2" i="8"/>
  <c r="V59" i="8"/>
  <c r="V144" i="8"/>
  <c r="V70" i="8"/>
  <c r="V49" i="8"/>
  <c r="AC16" i="8"/>
  <c r="V79" i="8"/>
  <c r="V78" i="8"/>
  <c r="AC159" i="8"/>
  <c r="AC8" i="8"/>
  <c r="AC108" i="8"/>
  <c r="AC121" i="8"/>
  <c r="AC84" i="8"/>
  <c r="AC86" i="8"/>
  <c r="AC145" i="8"/>
  <c r="AC71" i="8"/>
  <c r="AC67" i="8"/>
  <c r="AC171" i="8"/>
  <c r="AC133" i="8"/>
  <c r="AC32" i="8"/>
  <c r="AC140" i="8"/>
  <c r="AC119" i="8"/>
  <c r="AC161" i="8"/>
  <c r="AC59" i="8"/>
  <c r="AC24" i="8"/>
  <c r="AC43" i="8"/>
  <c r="AA69" i="8"/>
  <c r="AA162" i="8"/>
  <c r="AA127" i="8"/>
  <c r="AA93" i="8"/>
  <c r="AA40" i="8"/>
  <c r="AA79" i="8"/>
  <c r="AC176" i="8"/>
  <c r="V117" i="8"/>
  <c r="V121" i="8"/>
  <c r="V95" i="8"/>
  <c r="V32" i="8"/>
  <c r="V93" i="8"/>
  <c r="V74" i="8"/>
  <c r="V53" i="8"/>
  <c r="AC178" i="8"/>
  <c r="AC155" i="8"/>
  <c r="AC39" i="8"/>
  <c r="AC28" i="8"/>
  <c r="AC157" i="8"/>
  <c r="X64" i="8"/>
  <c r="X127" i="8"/>
  <c r="X111" i="8"/>
  <c r="AA178" i="8"/>
  <c r="AA155" i="8"/>
  <c r="AA28" i="8"/>
  <c r="V109" i="8"/>
  <c r="V111" i="8"/>
  <c r="V124" i="8"/>
  <c r="AB124" i="8" s="1"/>
  <c r="V21" i="8"/>
  <c r="AC95" i="8"/>
  <c r="AC25" i="8"/>
  <c r="AC19" i="8"/>
  <c r="AC54" i="8"/>
  <c r="X10" i="8"/>
  <c r="AA95" i="8"/>
  <c r="AA25" i="8"/>
  <c r="AA54" i="8"/>
  <c r="V10" i="8"/>
  <c r="AB10" i="8" s="1"/>
  <c r="X63" i="8"/>
  <c r="AA169" i="8"/>
  <c r="AA135" i="8"/>
  <c r="AB135" i="8" s="1"/>
  <c r="AA7" i="8"/>
  <c r="AA60" i="8"/>
  <c r="X151" i="8"/>
  <c r="V128" i="8"/>
  <c r="AB128" i="8" s="1"/>
  <c r="V63" i="8"/>
  <c r="V64" i="8"/>
  <c r="V151" i="8"/>
  <c r="AC113" i="8"/>
  <c r="X179" i="8"/>
  <c r="X162" i="8"/>
  <c r="X114" i="8"/>
  <c r="AA149" i="8"/>
  <c r="AA105" i="8"/>
  <c r="AA116" i="8"/>
  <c r="AA31" i="8"/>
  <c r="AC50" i="8"/>
  <c r="V114" i="8"/>
  <c r="V35" i="8"/>
  <c r="AB35" i="8" s="1"/>
  <c r="X93" i="8"/>
  <c r="X74" i="8"/>
  <c r="X49" i="8"/>
  <c r="X126" i="8"/>
  <c r="X92" i="8"/>
  <c r="X43" i="8"/>
  <c r="X26" i="8"/>
  <c r="V176" i="8"/>
  <c r="V132" i="8"/>
  <c r="V25" i="8"/>
  <c r="AA188" i="8"/>
  <c r="AA173" i="8"/>
  <c r="AA102" i="8"/>
  <c r="AA56" i="8"/>
  <c r="AA27" i="8"/>
  <c r="AB27" i="8" s="1"/>
  <c r="AA20" i="8"/>
  <c r="AB20" i="8" s="1"/>
  <c r="V86" i="8"/>
  <c r="V110" i="8"/>
  <c r="V19" i="8"/>
  <c r="V189" i="8"/>
  <c r="AA89" i="8"/>
  <c r="V61" i="8"/>
  <c r="AA109" i="8"/>
  <c r="V134" i="8"/>
  <c r="V80" i="8"/>
  <c r="AA193" i="8"/>
  <c r="AA154" i="8"/>
  <c r="AA180" i="8"/>
  <c r="AA107" i="8"/>
  <c r="AA77" i="8"/>
  <c r="V153" i="8"/>
  <c r="V147" i="8"/>
  <c r="V52" i="8"/>
  <c r="AA138" i="8"/>
  <c r="AA45" i="8"/>
  <c r="AA75" i="8"/>
  <c r="AA29" i="8"/>
  <c r="V190" i="8"/>
  <c r="AA146" i="8"/>
  <c r="AA163" i="8"/>
  <c r="AA101" i="8"/>
  <c r="S28" i="8"/>
  <c r="AA76" i="8"/>
  <c r="G54" i="8"/>
  <c r="H54" i="8" s="1"/>
  <c r="X178" i="8"/>
  <c r="X91" i="8"/>
  <c r="AC91" i="8"/>
  <c r="AC44" i="8"/>
  <c r="AC143" i="8"/>
  <c r="AC139" i="8"/>
  <c r="AC130" i="8"/>
  <c r="AC152" i="8"/>
  <c r="AC87" i="8"/>
  <c r="AC26" i="8"/>
  <c r="AC30" i="8"/>
  <c r="AC165" i="8"/>
  <c r="S30" i="8"/>
  <c r="AC129" i="8"/>
  <c r="AC66" i="8"/>
  <c r="AC23" i="8"/>
  <c r="AC68" i="8"/>
  <c r="AC103" i="8"/>
  <c r="X24" i="8"/>
  <c r="V24" i="8"/>
  <c r="X6" i="8"/>
  <c r="V11" i="8"/>
  <c r="V16" i="8"/>
  <c r="AC12" i="8"/>
  <c r="X40" i="8"/>
  <c r="AA15" i="8"/>
  <c r="AA12" i="8"/>
  <c r="V6" i="8"/>
  <c r="V40" i="8"/>
  <c r="V7" i="8"/>
  <c r="AA13" i="8"/>
  <c r="AC82" i="8"/>
  <c r="X169" i="8"/>
  <c r="X173" i="8"/>
  <c r="AC60" i="8"/>
  <c r="X27" i="8"/>
  <c r="X171" i="8"/>
  <c r="X7" i="8"/>
  <c r="X85" i="8"/>
  <c r="X36" i="8"/>
  <c r="AC198" i="8"/>
  <c r="AC153" i="8"/>
  <c r="AA176" i="8"/>
  <c r="AA147" i="8"/>
  <c r="AA134" i="8"/>
  <c r="AA61" i="8"/>
  <c r="AA52" i="8"/>
  <c r="AA11" i="8"/>
  <c r="AA118" i="8"/>
  <c r="AC169" i="8"/>
  <c r="AC175" i="8"/>
  <c r="AC135" i="8"/>
  <c r="AC7" i="8"/>
  <c r="AA18" i="8"/>
  <c r="AA171" i="8"/>
  <c r="AB171" i="8" s="1"/>
  <c r="AA175" i="8"/>
  <c r="AC122" i="8"/>
  <c r="AC164" i="8"/>
  <c r="AC89" i="8"/>
  <c r="AC70" i="8"/>
  <c r="AC49" i="8"/>
  <c r="AA136" i="8"/>
  <c r="AA62" i="8"/>
  <c r="AB62" i="8" s="1"/>
  <c r="AA36" i="8"/>
  <c r="AB36" i="8" s="1"/>
  <c r="AA161" i="8"/>
  <c r="AA112" i="8"/>
  <c r="AC9" i="8"/>
  <c r="AA164" i="8"/>
  <c r="AA92" i="8"/>
  <c r="AC183" i="8"/>
  <c r="AC69" i="8"/>
  <c r="AC167" i="8"/>
  <c r="AC162" i="8"/>
  <c r="AC127" i="8"/>
  <c r="AC151" i="8"/>
  <c r="AC93" i="8"/>
  <c r="AC40" i="8"/>
  <c r="AC79" i="8"/>
  <c r="AC78" i="8"/>
  <c r="AC88" i="8"/>
  <c r="AC166" i="8"/>
  <c r="AA156" i="8"/>
  <c r="AA141" i="8"/>
  <c r="AC104" i="8"/>
  <c r="AA38" i="8"/>
  <c r="AA150" i="8"/>
  <c r="AA196" i="8"/>
  <c r="AA183" i="8"/>
  <c r="AA174" i="8"/>
  <c r="AA63" i="8"/>
  <c r="AA111" i="8"/>
  <c r="AC186" i="8"/>
  <c r="AC149" i="8"/>
  <c r="AC177" i="8"/>
  <c r="AC105" i="8"/>
  <c r="AC116" i="8"/>
  <c r="AC31" i="8"/>
  <c r="AC125" i="8"/>
  <c r="AC15" i="8"/>
  <c r="AA98" i="8"/>
  <c r="AA137" i="8"/>
  <c r="AA82" i="8"/>
  <c r="AC97" i="8"/>
  <c r="AC81" i="8"/>
  <c r="AC37" i="8"/>
  <c r="AC101" i="8"/>
  <c r="AA172" i="8"/>
  <c r="AA123" i="8"/>
  <c r="AA187" i="8"/>
  <c r="AA160" i="8"/>
  <c r="AA182" i="8"/>
  <c r="AA140" i="8"/>
  <c r="AA145" i="8"/>
  <c r="AA47" i="8"/>
  <c r="AA94" i="8"/>
  <c r="AA51" i="8"/>
  <c r="AC172" i="8"/>
  <c r="AC98" i="8"/>
  <c r="AC123" i="8"/>
  <c r="AC137" i="8"/>
  <c r="AA181" i="8"/>
  <c r="AA70" i="8"/>
  <c r="AC187" i="8"/>
  <c r="AC160" i="8"/>
  <c r="AC47" i="8"/>
  <c r="AC94" i="8"/>
  <c r="AC184" i="8"/>
  <c r="AC192" i="8"/>
  <c r="X53" i="8"/>
  <c r="AC156" i="8"/>
  <c r="AC141" i="8"/>
  <c r="AC197" i="8"/>
  <c r="X124" i="8"/>
  <c r="X21" i="8"/>
  <c r="AA197" i="8"/>
  <c r="AB197" i="8" s="1"/>
  <c r="AC61" i="8"/>
  <c r="AC52" i="8"/>
  <c r="AC11" i="8"/>
  <c r="AC136" i="8"/>
  <c r="AC62" i="8"/>
  <c r="AC36" i="8"/>
  <c r="AC38" i="8"/>
  <c r="AC194" i="8"/>
  <c r="AC189" i="8"/>
  <c r="AC179" i="8"/>
  <c r="AC170" i="8"/>
  <c r="AC158" i="8"/>
  <c r="AC148" i="8"/>
  <c r="AC142" i="8"/>
  <c r="AC144" i="8"/>
  <c r="AC131" i="8"/>
  <c r="AC126" i="8"/>
  <c r="AC114" i="8"/>
  <c r="AC106" i="8"/>
  <c r="AC99" i="8"/>
  <c r="AC96" i="8"/>
  <c r="AC83" i="8"/>
  <c r="AC76" i="8"/>
  <c r="AC74" i="8"/>
  <c r="AC64" i="8"/>
  <c r="AC53" i="8"/>
  <c r="AC48" i="8"/>
  <c r="AC46" i="8"/>
  <c r="AC33" i="8"/>
  <c r="AC21" i="8"/>
  <c r="AC14" i="8"/>
  <c r="AC92" i="8"/>
  <c r="X22" i="8"/>
  <c r="AB152" i="8"/>
  <c r="AC174" i="8"/>
  <c r="AC111" i="8"/>
  <c r="X159" i="8"/>
  <c r="AA192" i="8"/>
  <c r="AA50" i="8"/>
  <c r="AA113" i="8"/>
  <c r="AA157" i="8"/>
  <c r="AA151" i="8"/>
  <c r="AA78" i="8"/>
  <c r="AA88" i="8"/>
  <c r="AA167" i="8"/>
  <c r="AA177" i="8"/>
  <c r="AA125" i="8"/>
  <c r="AA191" i="8"/>
  <c r="AA97" i="8"/>
  <c r="AA81" i="8"/>
  <c r="AA37" i="8"/>
  <c r="AA184" i="8"/>
  <c r="AA39" i="8"/>
  <c r="AA9" i="8"/>
  <c r="AA190" i="8"/>
  <c r="AA153" i="8"/>
  <c r="AA104" i="8"/>
  <c r="AB104" i="8" s="1"/>
  <c r="AA19" i="8"/>
  <c r="AC6" i="8"/>
  <c r="AA122" i="8"/>
  <c r="AA49" i="8"/>
  <c r="AA6" i="8"/>
  <c r="AC196" i="8"/>
  <c r="AA194" i="8"/>
  <c r="AA189" i="8"/>
  <c r="AA179" i="8"/>
  <c r="AA170" i="8"/>
  <c r="AA158" i="8"/>
  <c r="AA148" i="8"/>
  <c r="AA142" i="8"/>
  <c r="AA144" i="8"/>
  <c r="AA131" i="8"/>
  <c r="AA126" i="8"/>
  <c r="AA114" i="8"/>
  <c r="AA106" i="8"/>
  <c r="AA99" i="8"/>
  <c r="AA96" i="8"/>
  <c r="AA83" i="8"/>
  <c r="AA74" i="8"/>
  <c r="AA64" i="8"/>
  <c r="AA53" i="8"/>
  <c r="AA48" i="8"/>
  <c r="AA46" i="8"/>
  <c r="AA33" i="8"/>
  <c r="AA21" i="8"/>
  <c r="AA14" i="8"/>
  <c r="S54" i="8"/>
  <c r="AC193" i="8"/>
  <c r="AC188" i="8"/>
  <c r="AC180" i="8"/>
  <c r="AC173" i="8"/>
  <c r="AC163" i="8"/>
  <c r="AC154" i="8"/>
  <c r="AC146" i="8"/>
  <c r="AC132" i="8"/>
  <c r="AC138" i="8"/>
  <c r="AC109" i="8"/>
  <c r="AC107" i="8"/>
  <c r="AC102" i="8"/>
  <c r="AC75" i="8"/>
  <c r="AC77" i="8"/>
  <c r="AC55" i="8"/>
  <c r="AC56" i="8"/>
  <c r="AC45" i="8"/>
  <c r="AC27" i="8"/>
  <c r="AC29" i="8"/>
  <c r="AC20" i="8"/>
  <c r="AC13" i="8"/>
  <c r="Q54" i="8"/>
  <c r="AC195" i="8"/>
  <c r="AC185" i="8"/>
  <c r="AC168" i="8"/>
  <c r="AC200" i="8"/>
  <c r="AA195" i="8"/>
  <c r="AA185" i="8"/>
  <c r="AA168" i="8"/>
  <c r="V166" i="8"/>
  <c r="AC191" i="8"/>
  <c r="AC181" i="8"/>
  <c r="X190" i="8"/>
  <c r="G150" i="8"/>
  <c r="H150" i="8" s="1"/>
  <c r="AC199" i="8"/>
  <c r="AA198" i="8"/>
  <c r="AC190" i="8"/>
  <c r="AC182" i="8"/>
  <c r="AA166" i="8"/>
  <c r="S13" i="8"/>
  <c r="X28" i="8"/>
  <c r="S101" i="8"/>
  <c r="N12" i="8"/>
  <c r="L129" i="8"/>
  <c r="Y202" i="8"/>
  <c r="V108" i="8"/>
  <c r="V41" i="8"/>
  <c r="AB41" i="8" s="1"/>
  <c r="N28" i="8"/>
  <c r="V169" i="8"/>
  <c r="V173" i="8"/>
  <c r="X34" i="8"/>
  <c r="X20" i="8"/>
  <c r="I55" i="8"/>
  <c r="X56" i="8"/>
  <c r="V119" i="8"/>
  <c r="V141" i="8"/>
  <c r="V72" i="8"/>
  <c r="AB72" i="8" s="1"/>
  <c r="Q12" i="8"/>
  <c r="V178" i="8"/>
  <c r="V170" i="8"/>
  <c r="V71" i="8"/>
  <c r="V91" i="8"/>
  <c r="AB91" i="8" s="1"/>
  <c r="V155" i="8"/>
  <c r="V9" i="8"/>
  <c r="N101" i="8"/>
  <c r="X55" i="8"/>
  <c r="V55" i="8"/>
  <c r="V67" i="8"/>
  <c r="V185" i="8"/>
  <c r="V83" i="8"/>
  <c r="V39" i="8"/>
  <c r="T202" i="8"/>
  <c r="V142" i="8"/>
  <c r="V44" i="8"/>
  <c r="AB44" i="8" s="1"/>
  <c r="V198" i="8"/>
  <c r="V181" i="8"/>
  <c r="V188" i="8"/>
  <c r="V156" i="8"/>
  <c r="X117" i="8"/>
  <c r="X121" i="8"/>
  <c r="X25" i="8"/>
  <c r="X86" i="8"/>
  <c r="X176" i="8"/>
  <c r="X189" i="8"/>
  <c r="X134" i="8"/>
  <c r="X11" i="8"/>
  <c r="X153" i="8"/>
  <c r="X52" i="8"/>
  <c r="L55" i="8"/>
  <c r="G30" i="8"/>
  <c r="H30" i="8" s="1"/>
  <c r="L166" i="8"/>
  <c r="G77" i="8"/>
  <c r="H77" i="8" s="1"/>
  <c r="X42" i="8"/>
  <c r="X148" i="8"/>
  <c r="V163" i="8"/>
  <c r="V146" i="8"/>
  <c r="I30" i="8"/>
  <c r="V148" i="8"/>
  <c r="V103" i="8"/>
  <c r="V37" i="8"/>
  <c r="V187" i="8"/>
  <c r="V145" i="8"/>
  <c r="X19" i="8"/>
  <c r="L101" i="8"/>
  <c r="G12" i="8"/>
  <c r="H12" i="8" s="1"/>
  <c r="V160" i="8"/>
  <c r="V194" i="8"/>
  <c r="V81" i="8"/>
  <c r="V191" i="8"/>
  <c r="V182" i="8"/>
  <c r="V94" i="8"/>
  <c r="V47" i="8"/>
  <c r="V68" i="8"/>
  <c r="L150" i="8"/>
  <c r="G55" i="8"/>
  <c r="H55" i="8" s="1"/>
  <c r="V140" i="8"/>
  <c r="V51" i="8"/>
  <c r="V106" i="8"/>
  <c r="N157" i="8"/>
  <c r="S12" i="8"/>
  <c r="X155" i="8"/>
  <c r="X9" i="8"/>
  <c r="V13" i="8"/>
  <c r="G88" i="8"/>
  <c r="H88" i="8" s="1"/>
  <c r="X67" i="8"/>
  <c r="X83" i="8"/>
  <c r="X39" i="8"/>
  <c r="V125" i="8"/>
  <c r="X185" i="8"/>
  <c r="N13" i="8"/>
  <c r="X142" i="8"/>
  <c r="L13" i="8"/>
  <c r="X150" i="8"/>
  <c r="N54" i="8"/>
  <c r="I28" i="8"/>
  <c r="S60" i="8"/>
  <c r="L54" i="8"/>
  <c r="G28" i="8"/>
  <c r="H28" i="8" s="1"/>
  <c r="Q60" i="8"/>
  <c r="X46" i="8"/>
  <c r="I150" i="8"/>
  <c r="S166" i="8"/>
  <c r="X119" i="8"/>
  <c r="X156" i="8"/>
  <c r="V88" i="8"/>
  <c r="G60" i="8"/>
  <c r="H60" i="8" s="1"/>
  <c r="Q166" i="8"/>
  <c r="V177" i="8"/>
  <c r="N88" i="8"/>
  <c r="X37" i="8"/>
  <c r="X145" i="8"/>
  <c r="L88" i="8"/>
  <c r="I77" i="8"/>
  <c r="X160" i="8"/>
  <c r="Q13" i="8"/>
  <c r="W13" i="8" s="1"/>
  <c r="S129" i="8"/>
  <c r="X157" i="8"/>
  <c r="N60" i="8"/>
  <c r="V149" i="8"/>
  <c r="V123" i="8"/>
  <c r="Q129" i="8"/>
  <c r="V157" i="8"/>
  <c r="X81" i="8"/>
  <c r="S157" i="8"/>
  <c r="N166" i="8"/>
  <c r="V138" i="8"/>
  <c r="V15" i="8"/>
  <c r="X54" i="8"/>
  <c r="N129" i="8"/>
  <c r="V12" i="8"/>
  <c r="W12" i="8" s="1"/>
  <c r="X94" i="8"/>
  <c r="X68" i="8"/>
  <c r="X101" i="8"/>
  <c r="V105" i="8"/>
  <c r="V137" i="8"/>
  <c r="V29" i="8"/>
  <c r="I129" i="8"/>
  <c r="L157" i="8"/>
  <c r="V101" i="8"/>
  <c r="X51" i="8"/>
  <c r="V116" i="8"/>
  <c r="I157" i="8"/>
  <c r="V115" i="8"/>
  <c r="V98" i="8"/>
  <c r="V45" i="8"/>
  <c r="X73" i="8"/>
  <c r="X146" i="8"/>
  <c r="X23" i="8"/>
  <c r="V77" i="8"/>
  <c r="I54" i="8"/>
  <c r="L28" i="8"/>
  <c r="X60" i="8"/>
  <c r="V82" i="8"/>
  <c r="V17" i="8"/>
  <c r="AB17" i="8" s="1"/>
  <c r="X15" i="8"/>
  <c r="S77" i="8"/>
  <c r="X30" i="8"/>
  <c r="G101" i="8"/>
  <c r="H101" i="8" s="1"/>
  <c r="Q55" i="8"/>
  <c r="X65" i="8"/>
  <c r="X76" i="8"/>
  <c r="X69" i="8"/>
  <c r="Q77" i="8"/>
  <c r="X88" i="8"/>
  <c r="V65" i="8"/>
  <c r="AB65" i="8" s="1"/>
  <c r="V118" i="8"/>
  <c r="V76" i="8"/>
  <c r="N77" i="8"/>
  <c r="X128" i="8"/>
  <c r="X99" i="8"/>
  <c r="S88" i="8"/>
  <c r="N30" i="8"/>
  <c r="V60" i="8"/>
  <c r="Q101" i="8"/>
  <c r="I166" i="8"/>
  <c r="X12" i="8"/>
  <c r="V99" i="8"/>
  <c r="V107" i="8"/>
  <c r="L77" i="8"/>
  <c r="X13" i="8"/>
  <c r="Q88" i="8"/>
  <c r="L30" i="8"/>
  <c r="G166" i="8"/>
  <c r="H166" i="8" s="1"/>
  <c r="X137" i="8"/>
  <c r="X58" i="8"/>
  <c r="X29" i="8"/>
  <c r="V22" i="8"/>
  <c r="AB22" i="8" s="1"/>
  <c r="V165" i="8"/>
  <c r="AB165" i="8" s="1"/>
  <c r="X116" i="8"/>
  <c r="I88" i="8"/>
  <c r="V73" i="8"/>
  <c r="V18" i="8"/>
  <c r="G129" i="8"/>
  <c r="H129" i="8" s="1"/>
  <c r="L60" i="8"/>
  <c r="X115" i="8"/>
  <c r="X45" i="8"/>
  <c r="V28" i="8"/>
  <c r="Q157" i="8"/>
  <c r="I60" i="8"/>
  <c r="I101" i="8"/>
  <c r="V131" i="8"/>
  <c r="X129" i="8"/>
  <c r="L12" i="8"/>
  <c r="X17" i="8"/>
  <c r="V150" i="8"/>
  <c r="V129" i="8"/>
  <c r="V30" i="8"/>
  <c r="I12" i="8"/>
  <c r="V54" i="8"/>
  <c r="Q28" i="8"/>
  <c r="X166" i="8"/>
  <c r="N55" i="8"/>
  <c r="X125" i="8"/>
  <c r="X31" i="8"/>
  <c r="Q150" i="8"/>
  <c r="G13" i="8"/>
  <c r="H13" i="8" s="1"/>
  <c r="X77" i="8"/>
  <c r="N150" i="8"/>
  <c r="I13" i="8"/>
  <c r="Q30" i="8"/>
  <c r="G157" i="8"/>
  <c r="H157" i="8" s="1"/>
  <c r="S150" i="8"/>
  <c r="S55" i="8"/>
  <c r="V50" i="8"/>
  <c r="V193" i="8"/>
  <c r="V192" i="8"/>
  <c r="V175" i="8"/>
  <c r="V159" i="8"/>
  <c r="AB159" i="8" s="1"/>
  <c r="V161" i="8"/>
  <c r="X122" i="8"/>
  <c r="V113" i="8"/>
  <c r="V122" i="8"/>
  <c r="X193" i="8"/>
  <c r="V164" i="8"/>
  <c r="V66" i="8"/>
  <c r="X90" i="8"/>
  <c r="X75" i="8"/>
  <c r="V158" i="8"/>
  <c r="V90" i="8"/>
  <c r="AB90" i="8" s="1"/>
  <c r="V75" i="8"/>
  <c r="V100" i="8"/>
  <c r="AB100" i="8" s="1"/>
  <c r="X161" i="8"/>
  <c r="X139" i="8"/>
  <c r="X97" i="8"/>
  <c r="X33" i="8"/>
  <c r="V139" i="8"/>
  <c r="AB139" i="8" s="1"/>
  <c r="V120" i="8"/>
  <c r="AB120" i="8" s="1"/>
  <c r="V97" i="8"/>
  <c r="V184" i="8"/>
  <c r="X48" i="8"/>
  <c r="X198" i="8"/>
  <c r="X195" i="8"/>
  <c r="X143" i="8"/>
  <c r="X130" i="8"/>
  <c r="V195" i="8"/>
  <c r="V143" i="8"/>
  <c r="AB143" i="8" s="1"/>
  <c r="V130" i="8"/>
  <c r="AB130" i="8" s="1"/>
  <c r="X188" i="8"/>
  <c r="X181" i="8"/>
  <c r="X197" i="8"/>
  <c r="X50" i="8"/>
  <c r="X38" i="8"/>
  <c r="X113" i="8"/>
  <c r="X79" i="8"/>
  <c r="X109" i="8"/>
  <c r="X102" i="8"/>
  <c r="X133" i="8"/>
  <c r="X182" i="8"/>
  <c r="X158" i="8"/>
  <c r="X196" i="8"/>
  <c r="X183" i="8"/>
  <c r="X174" i="8"/>
  <c r="X167" i="8"/>
  <c r="X57" i="8"/>
  <c r="X35" i="8"/>
  <c r="X175" i="8"/>
  <c r="X170" i="8"/>
  <c r="V196" i="8"/>
  <c r="V183" i="8"/>
  <c r="V179" i="8"/>
  <c r="V69" i="8"/>
  <c r="V174" i="8"/>
  <c r="V167" i="8"/>
  <c r="V162" i="8"/>
  <c r="V127" i="8"/>
  <c r="V126" i="8"/>
  <c r="V89" i="8"/>
  <c r="V84" i="8"/>
  <c r="V46" i="8"/>
  <c r="V96" i="8"/>
  <c r="V23" i="8"/>
  <c r="V31" i="8"/>
  <c r="V58" i="8"/>
  <c r="V42" i="8"/>
  <c r="V33" i="8"/>
  <c r="V48" i="8"/>
  <c r="V38" i="8"/>
  <c r="V14" i="8"/>
  <c r="X14" i="8"/>
  <c r="X59" i="8"/>
  <c r="X70" i="8"/>
  <c r="X152" i="8"/>
  <c r="X135" i="8"/>
  <c r="X136" i="8"/>
  <c r="X180" i="8"/>
  <c r="X184" i="8"/>
  <c r="X192" i="8"/>
  <c r="X154" i="8"/>
  <c r="X62" i="8"/>
  <c r="X120" i="8"/>
  <c r="X191" i="8"/>
  <c r="V154" i="8"/>
  <c r="V180" i="8"/>
  <c r="X41" i="8"/>
  <c r="X84" i="8"/>
  <c r="X147" i="8"/>
  <c r="X194" i="8"/>
  <c r="X172" i="8"/>
  <c r="X186" i="8"/>
  <c r="X168" i="8"/>
  <c r="X138" i="8"/>
  <c r="X149" i="8"/>
  <c r="X177" i="8"/>
  <c r="X98" i="8"/>
  <c r="X123" i="8"/>
  <c r="X118" i="8"/>
  <c r="X107" i="8"/>
  <c r="X144" i="8"/>
  <c r="X32" i="8"/>
  <c r="X61" i="8"/>
  <c r="X132" i="8"/>
  <c r="X71" i="8"/>
  <c r="X44" i="8"/>
  <c r="X72" i="8"/>
  <c r="X110" i="8"/>
  <c r="X164" i="8"/>
  <c r="V172" i="8"/>
  <c r="V186" i="8"/>
  <c r="AB186" i="8" s="1"/>
  <c r="V168" i="8"/>
  <c r="X18" i="8"/>
  <c r="X103" i="8"/>
  <c r="X95" i="8"/>
  <c r="X80" i="8"/>
  <c r="X47" i="8"/>
  <c r="X100" i="8"/>
  <c r="X108" i="8"/>
  <c r="X140" i="8"/>
  <c r="X96" i="8"/>
  <c r="X141" i="8"/>
  <c r="X16" i="8"/>
  <c r="X104" i="8"/>
  <c r="X106" i="8"/>
  <c r="X165" i="8"/>
  <c r="X187" i="8"/>
  <c r="X66" i="8"/>
  <c r="X163" i="8"/>
  <c r="X82" i="8"/>
  <c r="X131" i="8"/>
  <c r="X105" i="8"/>
  <c r="X78" i="8"/>
  <c r="V8" i="8"/>
  <c r="X8" i="8"/>
  <c r="J8" i="8"/>
  <c r="K8" i="8"/>
  <c r="J7" i="8"/>
  <c r="Q7" i="8" s="1"/>
  <c r="K7" i="8"/>
  <c r="S7" i="8" s="1"/>
  <c r="J19" i="8"/>
  <c r="Q19" i="8" s="1"/>
  <c r="K19" i="8"/>
  <c r="S19" i="8" s="1"/>
  <c r="J10" i="8"/>
  <c r="Q10" i="8" s="1"/>
  <c r="K10" i="8"/>
  <c r="J11" i="8"/>
  <c r="Q11" i="8" s="1"/>
  <c r="K11" i="8"/>
  <c r="S11" i="8" s="1"/>
  <c r="J17" i="8"/>
  <c r="Q17" i="8" s="1"/>
  <c r="K17" i="8"/>
  <c r="J37" i="8"/>
  <c r="Q37" i="8" s="1"/>
  <c r="K37" i="8"/>
  <c r="J23" i="8"/>
  <c r="Q23" i="8" s="1"/>
  <c r="K23" i="8"/>
  <c r="J14" i="8"/>
  <c r="Q14" i="8" s="1"/>
  <c r="K14" i="8"/>
  <c r="S14" i="8" s="1"/>
  <c r="J62" i="8"/>
  <c r="Q62" i="8" s="1"/>
  <c r="W62" i="8" s="1"/>
  <c r="K62" i="8"/>
  <c r="J46" i="8"/>
  <c r="Q46" i="8" s="1"/>
  <c r="K46" i="8"/>
  <c r="S46" i="8" s="1"/>
  <c r="J69" i="8"/>
  <c r="Q69" i="8" s="1"/>
  <c r="K69" i="8"/>
  <c r="J16" i="8"/>
  <c r="Q16" i="8" s="1"/>
  <c r="K16" i="8"/>
  <c r="J43" i="8"/>
  <c r="Q43" i="8" s="1"/>
  <c r="W43" i="8" s="1"/>
  <c r="K43" i="8"/>
  <c r="J24" i="8"/>
  <c r="Q24" i="8" s="1"/>
  <c r="K24" i="8"/>
  <c r="J9" i="8"/>
  <c r="Q9" i="8" s="1"/>
  <c r="K9" i="8"/>
  <c r="J21" i="8"/>
  <c r="Q21" i="8" s="1"/>
  <c r="K21" i="8"/>
  <c r="J45" i="8"/>
  <c r="Q45" i="8" s="1"/>
  <c r="K45" i="8"/>
  <c r="J18" i="8"/>
  <c r="Q18" i="8" s="1"/>
  <c r="K18" i="8"/>
  <c r="J31" i="8"/>
  <c r="Q31" i="8" s="1"/>
  <c r="K31" i="8"/>
  <c r="J34" i="8"/>
  <c r="Q34" i="8" s="1"/>
  <c r="K34" i="8"/>
  <c r="J22" i="8"/>
  <c r="Q22" i="8" s="1"/>
  <c r="K22" i="8"/>
  <c r="J52" i="8"/>
  <c r="Q52" i="8" s="1"/>
  <c r="K52" i="8"/>
  <c r="S52" i="8" s="1"/>
  <c r="J29" i="8"/>
  <c r="Q29" i="8" s="1"/>
  <c r="K29" i="8"/>
  <c r="S29" i="8" s="1"/>
  <c r="J95" i="8"/>
  <c r="Q95" i="8" s="1"/>
  <c r="K95" i="8"/>
  <c r="S95" i="8" s="1"/>
  <c r="J57" i="8"/>
  <c r="Q57" i="8" s="1"/>
  <c r="W57" i="8" s="1"/>
  <c r="K57" i="8"/>
  <c r="J44" i="8"/>
  <c r="Q44" i="8" s="1"/>
  <c r="K44" i="8"/>
  <c r="J50" i="8"/>
  <c r="Q50" i="8" s="1"/>
  <c r="K50" i="8"/>
  <c r="J25" i="8"/>
  <c r="Q25" i="8" s="1"/>
  <c r="K25" i="8"/>
  <c r="J40" i="8"/>
  <c r="Q40" i="8" s="1"/>
  <c r="K40" i="8"/>
  <c r="J33" i="8"/>
  <c r="Q33" i="8" s="1"/>
  <c r="K33" i="8"/>
  <c r="S33" i="8" s="1"/>
  <c r="J42" i="8"/>
  <c r="Q42" i="8" s="1"/>
  <c r="K42" i="8"/>
  <c r="J63" i="8"/>
  <c r="Q63" i="8" s="1"/>
  <c r="K63" i="8"/>
  <c r="J20" i="8"/>
  <c r="Q20" i="8" s="1"/>
  <c r="W20" i="8" s="1"/>
  <c r="K20" i="8"/>
  <c r="J35" i="8"/>
  <c r="Q35" i="8" s="1"/>
  <c r="K35" i="8"/>
  <c r="J38" i="8"/>
  <c r="Q38" i="8" s="1"/>
  <c r="K38" i="8"/>
  <c r="J49" i="8"/>
  <c r="Q49" i="8" s="1"/>
  <c r="K49" i="8"/>
  <c r="J47" i="8"/>
  <c r="Q47" i="8" s="1"/>
  <c r="K47" i="8"/>
  <c r="S47" i="8" s="1"/>
  <c r="J51" i="8"/>
  <c r="Q51" i="8" s="1"/>
  <c r="K51" i="8"/>
  <c r="J26" i="8"/>
  <c r="Q26" i="8" s="1"/>
  <c r="W26" i="8" s="1"/>
  <c r="K26" i="8"/>
  <c r="J27" i="8"/>
  <c r="Q27" i="8" s="1"/>
  <c r="W27" i="8" s="1"/>
  <c r="K27" i="8"/>
  <c r="J68" i="8"/>
  <c r="Q68" i="8" s="1"/>
  <c r="K68" i="8"/>
  <c r="S68" i="8" s="1"/>
  <c r="J93" i="8"/>
  <c r="Q93" i="8" s="1"/>
  <c r="K93" i="8"/>
  <c r="J108" i="8"/>
  <c r="Q108" i="8" s="1"/>
  <c r="K108" i="8"/>
  <c r="J64" i="8"/>
  <c r="Q64" i="8" s="1"/>
  <c r="K64" i="8"/>
  <c r="J138" i="8"/>
  <c r="Q138" i="8" s="1"/>
  <c r="K138" i="8"/>
  <c r="J75" i="8"/>
  <c r="Q75" i="8" s="1"/>
  <c r="K75" i="8"/>
  <c r="S75" i="8" s="1"/>
  <c r="J48" i="8"/>
  <c r="Q48" i="8" s="1"/>
  <c r="K48" i="8"/>
  <c r="J53" i="8"/>
  <c r="Q53" i="8" s="1"/>
  <c r="K53" i="8"/>
  <c r="J86" i="8"/>
  <c r="Q86" i="8" s="1"/>
  <c r="K86" i="8"/>
  <c r="J61" i="8"/>
  <c r="Q61" i="8" s="1"/>
  <c r="K61" i="8"/>
  <c r="S61" i="8" s="1"/>
  <c r="J80" i="8"/>
  <c r="Q80" i="8" s="1"/>
  <c r="K80" i="8"/>
  <c r="S80" i="8" s="1"/>
  <c r="J70" i="8"/>
  <c r="Q70" i="8" s="1"/>
  <c r="K70" i="8"/>
  <c r="S70" i="8" s="1"/>
  <c r="J105" i="8"/>
  <c r="Q105" i="8" s="1"/>
  <c r="K105" i="8"/>
  <c r="S105" i="8" s="1"/>
  <c r="J106" i="8"/>
  <c r="Q106" i="8" s="1"/>
  <c r="K106" i="8"/>
  <c r="S106" i="8" s="1"/>
  <c r="J39" i="8"/>
  <c r="Q39" i="8" s="1"/>
  <c r="K39" i="8"/>
  <c r="J58" i="8"/>
  <c r="Q58" i="8" s="1"/>
  <c r="K58" i="8"/>
  <c r="J81" i="8"/>
  <c r="Q81" i="8" s="1"/>
  <c r="K81" i="8"/>
  <c r="J71" i="8"/>
  <c r="Q71" i="8" s="1"/>
  <c r="K71" i="8"/>
  <c r="S71" i="8" s="1"/>
  <c r="J67" i="8"/>
  <c r="Q67" i="8" s="1"/>
  <c r="K67" i="8"/>
  <c r="S67" i="8" s="1"/>
  <c r="J72" i="8"/>
  <c r="Q72" i="8" s="1"/>
  <c r="K72" i="8"/>
  <c r="S72" i="8" s="1"/>
  <c r="J59" i="8"/>
  <c r="Q59" i="8" s="1"/>
  <c r="K59" i="8"/>
  <c r="J36" i="8"/>
  <c r="Q36" i="8" s="1"/>
  <c r="W36" i="8" s="1"/>
  <c r="K36" i="8"/>
  <c r="J110" i="8"/>
  <c r="Q110" i="8" s="1"/>
  <c r="K110" i="8"/>
  <c r="S110" i="8" s="1"/>
  <c r="J96" i="8"/>
  <c r="Q96" i="8" s="1"/>
  <c r="K96" i="8"/>
  <c r="J131" i="8"/>
  <c r="Q131" i="8" s="1"/>
  <c r="K131" i="8"/>
  <c r="S131" i="8" s="1"/>
  <c r="J134" i="8"/>
  <c r="Q134" i="8" s="1"/>
  <c r="K134" i="8"/>
  <c r="J87" i="8"/>
  <c r="Q87" i="8" s="1"/>
  <c r="W87" i="8" s="1"/>
  <c r="K87" i="8"/>
  <c r="S87" i="8" s="1"/>
  <c r="J66" i="8"/>
  <c r="Q66" i="8" s="1"/>
  <c r="K66" i="8"/>
  <c r="S66" i="8" s="1"/>
  <c r="J118" i="8"/>
  <c r="Q118" i="8" s="1"/>
  <c r="K118" i="8"/>
  <c r="S118" i="8" s="1"/>
  <c r="J83" i="8"/>
  <c r="Q83" i="8" s="1"/>
  <c r="K83" i="8"/>
  <c r="J98" i="8"/>
  <c r="Q98" i="8" s="1"/>
  <c r="K98" i="8"/>
  <c r="S98" i="8" s="1"/>
  <c r="J84" i="8"/>
  <c r="Q84" i="8" s="1"/>
  <c r="K84" i="8"/>
  <c r="S84" i="8" s="1"/>
  <c r="J79" i="8"/>
  <c r="Q79" i="8" s="1"/>
  <c r="K79" i="8"/>
  <c r="J82" i="8"/>
  <c r="Q82" i="8" s="1"/>
  <c r="K82" i="8"/>
  <c r="S82" i="8" s="1"/>
  <c r="J74" i="8"/>
  <c r="Q74" i="8" s="1"/>
  <c r="K74" i="8"/>
  <c r="J117" i="8"/>
  <c r="Q117" i="8" s="1"/>
  <c r="K117" i="8"/>
  <c r="J89" i="8"/>
  <c r="Q89" i="8" s="1"/>
  <c r="K89" i="8"/>
  <c r="J90" i="8"/>
  <c r="Q90" i="8" s="1"/>
  <c r="K90" i="8"/>
  <c r="S90" i="8" s="1"/>
  <c r="J97" i="8"/>
  <c r="Q97" i="8" s="1"/>
  <c r="K97" i="8"/>
  <c r="S97" i="8" s="1"/>
  <c r="J120" i="8"/>
  <c r="Q120" i="8" s="1"/>
  <c r="K120" i="8"/>
  <c r="S120" i="8" s="1"/>
  <c r="J113" i="8"/>
  <c r="Q113" i="8" s="1"/>
  <c r="K113" i="8"/>
  <c r="S113" i="8" s="1"/>
  <c r="J91" i="8"/>
  <c r="Q91" i="8" s="1"/>
  <c r="K91" i="8"/>
  <c r="J119" i="8"/>
  <c r="Q119" i="8" s="1"/>
  <c r="K119" i="8"/>
  <c r="S119" i="8" s="1"/>
  <c r="J32" i="8"/>
  <c r="Q32" i="8" s="1"/>
  <c r="K32" i="8"/>
  <c r="J123" i="8"/>
  <c r="Q123" i="8" s="1"/>
  <c r="K123" i="8"/>
  <c r="J140" i="8"/>
  <c r="Q140" i="8" s="1"/>
  <c r="K140" i="8"/>
  <c r="S140" i="8" s="1"/>
  <c r="J111" i="8"/>
  <c r="Q111" i="8" s="1"/>
  <c r="K111" i="8"/>
  <c r="S111" i="8" s="1"/>
  <c r="J78" i="8"/>
  <c r="Q78" i="8" s="1"/>
  <c r="K78" i="8"/>
  <c r="S78" i="8" s="1"/>
  <c r="J73" i="8"/>
  <c r="Q73" i="8" s="1"/>
  <c r="K73" i="8"/>
  <c r="S73" i="8" s="1"/>
  <c r="J76" i="8"/>
  <c r="Q76" i="8" s="1"/>
  <c r="K76" i="8"/>
  <c r="J137" i="8"/>
  <c r="Q137" i="8" s="1"/>
  <c r="K137" i="8"/>
  <c r="J94" i="8"/>
  <c r="Q94" i="8" s="1"/>
  <c r="K94" i="8"/>
  <c r="J115" i="8"/>
  <c r="Q115" i="8" s="1"/>
  <c r="K115" i="8"/>
  <c r="S115" i="8" s="1"/>
  <c r="J102" i="8"/>
  <c r="Q102" i="8" s="1"/>
  <c r="K102" i="8"/>
  <c r="S102" i="8" s="1"/>
  <c r="J107" i="8"/>
  <c r="Q107" i="8" s="1"/>
  <c r="K107" i="8"/>
  <c r="S107" i="8" s="1"/>
  <c r="J139" i="8"/>
  <c r="Q139" i="8" s="1"/>
  <c r="K139" i="8"/>
  <c r="J142" i="8"/>
  <c r="Q142" i="8" s="1"/>
  <c r="K142" i="8"/>
  <c r="J99" i="8"/>
  <c r="Q99" i="8" s="1"/>
  <c r="K99" i="8"/>
  <c r="S99" i="8" s="1"/>
  <c r="J109" i="8"/>
  <c r="Q109" i="8" s="1"/>
  <c r="K109" i="8"/>
  <c r="J92" i="8"/>
  <c r="Q92" i="8" s="1"/>
  <c r="K92" i="8"/>
  <c r="S92" i="8" s="1"/>
  <c r="J103" i="8"/>
  <c r="Q103" i="8" s="1"/>
  <c r="K103" i="8"/>
  <c r="J65" i="8"/>
  <c r="Q65" i="8" s="1"/>
  <c r="K65" i="8"/>
  <c r="S65" i="8" s="1"/>
  <c r="J15" i="8"/>
  <c r="Q15" i="8" s="1"/>
  <c r="K15" i="8"/>
  <c r="J104" i="8"/>
  <c r="Q104" i="8" s="1"/>
  <c r="W104" i="8" s="1"/>
  <c r="K104" i="8"/>
  <c r="J153" i="8"/>
  <c r="Q153" i="8" s="1"/>
  <c r="K153" i="8"/>
  <c r="J148" i="8"/>
  <c r="Q148" i="8" s="1"/>
  <c r="K148" i="8"/>
  <c r="J143" i="8"/>
  <c r="Q143" i="8" s="1"/>
  <c r="K143" i="8"/>
  <c r="S143" i="8" s="1"/>
  <c r="J160" i="8"/>
  <c r="Q160" i="8" s="1"/>
  <c r="K160" i="8"/>
  <c r="S160" i="8" s="1"/>
  <c r="J122" i="8"/>
  <c r="Q122" i="8" s="1"/>
  <c r="K122" i="8"/>
  <c r="J126" i="8"/>
  <c r="Q126" i="8" s="1"/>
  <c r="K126" i="8"/>
  <c r="J41" i="8"/>
  <c r="Q41" i="8" s="1"/>
  <c r="K41" i="8"/>
  <c r="J156" i="8"/>
  <c r="Q156" i="8" s="1"/>
  <c r="K156" i="8"/>
  <c r="J116" i="8"/>
  <c r="Q116" i="8" s="1"/>
  <c r="K116" i="8"/>
  <c r="J85" i="8"/>
  <c r="Q85" i="8" s="1"/>
  <c r="K85" i="8"/>
  <c r="J128" i="8"/>
  <c r="Q128" i="8" s="1"/>
  <c r="K128" i="8"/>
  <c r="S128" i="8" s="1"/>
  <c r="J100" i="8"/>
  <c r="Q100" i="8" s="1"/>
  <c r="K100" i="8"/>
  <c r="J141" i="8"/>
  <c r="Q141" i="8" s="1"/>
  <c r="K141" i="8"/>
  <c r="S141" i="8" s="1"/>
  <c r="J136" i="8"/>
  <c r="Q136" i="8" s="1"/>
  <c r="W136" i="8" s="1"/>
  <c r="K136" i="8"/>
  <c r="S136" i="8" s="1"/>
  <c r="J127" i="8"/>
  <c r="Q127" i="8" s="1"/>
  <c r="K127" i="8"/>
  <c r="J125" i="8"/>
  <c r="Q125" i="8" s="1"/>
  <c r="K125" i="8"/>
  <c r="J132" i="8"/>
  <c r="Q132" i="8" s="1"/>
  <c r="K132" i="8"/>
  <c r="J114" i="8"/>
  <c r="Q114" i="8" s="1"/>
  <c r="K114" i="8"/>
  <c r="J130" i="8"/>
  <c r="Q130" i="8" s="1"/>
  <c r="K130" i="8"/>
  <c r="S130" i="8" s="1"/>
  <c r="J135" i="8"/>
  <c r="Q135" i="8" s="1"/>
  <c r="W135" i="8" s="1"/>
  <c r="K135" i="8"/>
  <c r="S135" i="8" s="1"/>
  <c r="J173" i="8"/>
  <c r="K173" i="8"/>
  <c r="J163" i="8"/>
  <c r="Q163" i="8" s="1"/>
  <c r="K163" i="8"/>
  <c r="S163" i="8" s="1"/>
  <c r="J124" i="8"/>
  <c r="Q124" i="8" s="1"/>
  <c r="K124" i="8"/>
  <c r="S124" i="8" s="1"/>
  <c r="J112" i="8"/>
  <c r="Q112" i="8" s="1"/>
  <c r="W112" i="8" s="1"/>
  <c r="K112" i="8"/>
  <c r="J155" i="8"/>
  <c r="Q155" i="8" s="1"/>
  <c r="K155" i="8"/>
  <c r="S155" i="8" s="1"/>
  <c r="J151" i="8"/>
  <c r="Q151" i="8" s="1"/>
  <c r="K151" i="8"/>
  <c r="J164" i="8"/>
  <c r="Q164" i="8" s="1"/>
  <c r="K164" i="8"/>
  <c r="J165" i="8"/>
  <c r="Q165" i="8" s="1"/>
  <c r="K165" i="8"/>
  <c r="J121" i="8"/>
  <c r="Q121" i="8" s="1"/>
  <c r="K121" i="8"/>
  <c r="S121" i="8" s="1"/>
  <c r="J144" i="8"/>
  <c r="Q144" i="8" s="1"/>
  <c r="K144" i="8"/>
  <c r="J170" i="8"/>
  <c r="Q170" i="8" s="1"/>
  <c r="K170" i="8"/>
  <c r="J154" i="8"/>
  <c r="Q154" i="8" s="1"/>
  <c r="K154" i="8"/>
  <c r="J146" i="8"/>
  <c r="Q146" i="8" s="1"/>
  <c r="K146" i="8"/>
  <c r="S146" i="8" s="1"/>
  <c r="J159" i="8"/>
  <c r="Q159" i="8" s="1"/>
  <c r="K159" i="8"/>
  <c r="J149" i="8"/>
  <c r="Q149" i="8" s="1"/>
  <c r="K149" i="8"/>
  <c r="S149" i="8" s="1"/>
  <c r="J176" i="8"/>
  <c r="Q176" i="8" s="1"/>
  <c r="K176" i="8"/>
  <c r="S176" i="8" s="1"/>
  <c r="J162" i="8"/>
  <c r="Q162" i="8" s="1"/>
  <c r="K162" i="8"/>
  <c r="J167" i="8"/>
  <c r="Q167" i="8" s="1"/>
  <c r="K167" i="8"/>
  <c r="S167" i="8" s="1"/>
  <c r="J178" i="8"/>
  <c r="Q178" i="8" s="1"/>
  <c r="K178" i="8"/>
  <c r="J56" i="8"/>
  <c r="Q56" i="8" s="1"/>
  <c r="W56" i="8" s="1"/>
  <c r="K56" i="8"/>
  <c r="J169" i="8"/>
  <c r="Q169" i="8" s="1"/>
  <c r="K169" i="8"/>
  <c r="J181" i="8"/>
  <c r="Q181" i="8" s="1"/>
  <c r="K181" i="8"/>
  <c r="S181" i="8" s="1"/>
  <c r="J161" i="8"/>
  <c r="Q161" i="8" s="1"/>
  <c r="K161" i="8"/>
  <c r="S161" i="8" s="1"/>
  <c r="J171" i="8"/>
  <c r="Q171" i="8" s="1"/>
  <c r="W171" i="8" s="1"/>
  <c r="K171" i="8"/>
  <c r="S171" i="8" s="1"/>
  <c r="J158" i="8"/>
  <c r="Q158" i="8" s="1"/>
  <c r="K158" i="8"/>
  <c r="J147" i="8"/>
  <c r="Q147" i="8" s="1"/>
  <c r="K147" i="8"/>
  <c r="J182" i="8"/>
  <c r="Q182" i="8" s="1"/>
  <c r="K182" i="8"/>
  <c r="J133" i="8"/>
  <c r="Q133" i="8" s="1"/>
  <c r="W133" i="8" s="1"/>
  <c r="K133" i="8"/>
  <c r="S133" i="8" s="1"/>
  <c r="J177" i="8"/>
  <c r="Q177" i="8" s="1"/>
  <c r="K177" i="8"/>
  <c r="S177" i="8" s="1"/>
  <c r="J188" i="8"/>
  <c r="Q188" i="8" s="1"/>
  <c r="K188" i="8"/>
  <c r="J145" i="8"/>
  <c r="Q145" i="8" s="1"/>
  <c r="K145" i="8"/>
  <c r="J174" i="8"/>
  <c r="Q174" i="8" s="1"/>
  <c r="K174" i="8"/>
  <c r="S174" i="8" s="1"/>
  <c r="J152" i="8"/>
  <c r="Q152" i="8" s="1"/>
  <c r="W152" i="8" s="1"/>
  <c r="K152" i="8"/>
  <c r="J184" i="8"/>
  <c r="Q184" i="8" s="1"/>
  <c r="K184" i="8"/>
  <c r="S184" i="8" s="1"/>
  <c r="J172" i="8"/>
  <c r="Q172" i="8" s="1"/>
  <c r="K172" i="8"/>
  <c r="J168" i="8"/>
  <c r="Q168" i="8" s="1"/>
  <c r="K168" i="8"/>
  <c r="S168" i="8" s="1"/>
  <c r="J180" i="8"/>
  <c r="Q180" i="8" s="1"/>
  <c r="K180" i="8"/>
  <c r="S180" i="8" s="1"/>
  <c r="J186" i="8"/>
  <c r="Q186" i="8" s="1"/>
  <c r="K186" i="8"/>
  <c r="J196" i="8"/>
  <c r="Q196" i="8" s="1"/>
  <c r="K196" i="8"/>
  <c r="S196" i="8" s="1"/>
  <c r="J193" i="8"/>
  <c r="Q193" i="8" s="1"/>
  <c r="K193" i="8"/>
  <c r="J187" i="8"/>
  <c r="Q187" i="8" s="1"/>
  <c r="K187" i="8"/>
  <c r="J194" i="8"/>
  <c r="Q194" i="8" s="1"/>
  <c r="K194" i="8"/>
  <c r="J195" i="8"/>
  <c r="Q195" i="8" s="1"/>
  <c r="W195" i="8" s="1"/>
  <c r="K195" i="8"/>
  <c r="J179" i="8"/>
  <c r="Q179" i="8" s="1"/>
  <c r="K179" i="8"/>
  <c r="S179" i="8" s="1"/>
  <c r="J197" i="8"/>
  <c r="Q197" i="8" s="1"/>
  <c r="W197" i="8" s="1"/>
  <c r="K197" i="8"/>
  <c r="J175" i="8"/>
  <c r="Q175" i="8" s="1"/>
  <c r="K175" i="8"/>
  <c r="S175" i="8" s="1"/>
  <c r="J183" i="8"/>
  <c r="Q183" i="8" s="1"/>
  <c r="K183" i="8"/>
  <c r="S183" i="8" s="1"/>
  <c r="J191" i="8"/>
  <c r="Q191" i="8" s="1"/>
  <c r="K191" i="8"/>
  <c r="S191" i="8" s="1"/>
  <c r="J198" i="8"/>
  <c r="Q198" i="8" s="1"/>
  <c r="K198" i="8"/>
  <c r="J192" i="8"/>
  <c r="Q192" i="8" s="1"/>
  <c r="K192" i="8"/>
  <c r="S192" i="8" s="1"/>
  <c r="J190" i="8"/>
  <c r="Q190" i="8" s="1"/>
  <c r="K190" i="8"/>
  <c r="S190" i="8" s="1"/>
  <c r="J185" i="8"/>
  <c r="Q185" i="8" s="1"/>
  <c r="K185" i="8"/>
  <c r="S185" i="8" s="1"/>
  <c r="J189" i="8"/>
  <c r="Q189" i="8" s="1"/>
  <c r="K189" i="8"/>
  <c r="S189" i="8" s="1"/>
  <c r="K6" i="8"/>
  <c r="J6" i="8"/>
  <c r="E10" i="8"/>
  <c r="F10" i="8"/>
  <c r="E9" i="8"/>
  <c r="F9" i="8"/>
  <c r="E8" i="8"/>
  <c r="F8" i="8"/>
  <c r="E11" i="8"/>
  <c r="F11" i="8"/>
  <c r="E7" i="8"/>
  <c r="F7" i="8"/>
  <c r="E15" i="8"/>
  <c r="F15" i="8"/>
  <c r="E21" i="8"/>
  <c r="F21" i="8"/>
  <c r="E18" i="8"/>
  <c r="F18" i="8"/>
  <c r="E23" i="8"/>
  <c r="F23" i="8"/>
  <c r="E16" i="8"/>
  <c r="F16" i="8"/>
  <c r="E32" i="8"/>
  <c r="F32" i="8"/>
  <c r="E17" i="8"/>
  <c r="F17" i="8"/>
  <c r="E33" i="8"/>
  <c r="F33" i="8"/>
  <c r="E14" i="8"/>
  <c r="F14" i="8"/>
  <c r="E69" i="8"/>
  <c r="F69" i="8"/>
  <c r="E25" i="8"/>
  <c r="F25" i="8"/>
  <c r="E20" i="8"/>
  <c r="F20" i="8"/>
  <c r="E31" i="8"/>
  <c r="F31" i="8"/>
  <c r="E38" i="8"/>
  <c r="F38" i="8"/>
  <c r="E39" i="8"/>
  <c r="F39" i="8"/>
  <c r="E26" i="8"/>
  <c r="F26" i="8"/>
  <c r="E46" i="8"/>
  <c r="F46" i="8"/>
  <c r="E40" i="8"/>
  <c r="F40" i="8"/>
  <c r="E42" i="8"/>
  <c r="F42" i="8"/>
  <c r="E56" i="8"/>
  <c r="F56" i="8"/>
  <c r="E41" i="8"/>
  <c r="F41" i="8"/>
  <c r="E35" i="8"/>
  <c r="F35" i="8"/>
  <c r="E36" i="8"/>
  <c r="F36" i="8"/>
  <c r="E45" i="8"/>
  <c r="F45" i="8"/>
  <c r="E47" i="8"/>
  <c r="F47" i="8"/>
  <c r="E24" i="8"/>
  <c r="F24" i="8"/>
  <c r="E29" i="8"/>
  <c r="F29" i="8"/>
  <c r="E43" i="8"/>
  <c r="F43" i="8"/>
  <c r="E19" i="8"/>
  <c r="F19" i="8"/>
  <c r="E59" i="8"/>
  <c r="F59" i="8"/>
  <c r="E22" i="8"/>
  <c r="F22" i="8"/>
  <c r="E57" i="8"/>
  <c r="F57" i="8"/>
  <c r="E53" i="8"/>
  <c r="F53" i="8"/>
  <c r="E62" i="8"/>
  <c r="F62" i="8"/>
  <c r="E44" i="8"/>
  <c r="F44" i="8"/>
  <c r="E52" i="8"/>
  <c r="F52" i="8"/>
  <c r="E66" i="8"/>
  <c r="F66" i="8"/>
  <c r="E50" i="8"/>
  <c r="F50" i="8"/>
  <c r="E61" i="8"/>
  <c r="F61" i="8"/>
  <c r="E64" i="8"/>
  <c r="F64" i="8"/>
  <c r="E34" i="8"/>
  <c r="F34" i="8"/>
  <c r="E65" i="8"/>
  <c r="F65" i="8"/>
  <c r="E48" i="8"/>
  <c r="F48" i="8"/>
  <c r="E76" i="8"/>
  <c r="F76" i="8"/>
  <c r="E58" i="8"/>
  <c r="F58" i="8"/>
  <c r="E63" i="8"/>
  <c r="F63" i="8"/>
  <c r="E74" i="8"/>
  <c r="F74" i="8"/>
  <c r="E78" i="8"/>
  <c r="F78" i="8"/>
  <c r="E67" i="8"/>
  <c r="F67" i="8"/>
  <c r="E73" i="8"/>
  <c r="F73" i="8"/>
  <c r="E70" i="8"/>
  <c r="F70" i="8"/>
  <c r="E71" i="8"/>
  <c r="F71" i="8"/>
  <c r="E51" i="8"/>
  <c r="F51" i="8"/>
  <c r="E49" i="8"/>
  <c r="F49" i="8"/>
  <c r="E68" i="8"/>
  <c r="F68" i="8"/>
  <c r="E75" i="8"/>
  <c r="F75" i="8"/>
  <c r="E27" i="8"/>
  <c r="F27" i="8"/>
  <c r="E98" i="8"/>
  <c r="F98" i="8"/>
  <c r="E94" i="8"/>
  <c r="F94" i="8"/>
  <c r="E82" i="8"/>
  <c r="F82" i="8"/>
  <c r="E81" i="8"/>
  <c r="F81" i="8"/>
  <c r="E37" i="8"/>
  <c r="F37" i="8"/>
  <c r="E133" i="8"/>
  <c r="F133" i="8"/>
  <c r="E72" i="8"/>
  <c r="F72" i="8"/>
  <c r="E102" i="8"/>
  <c r="F102" i="8"/>
  <c r="E90" i="8"/>
  <c r="F90" i="8"/>
  <c r="E108" i="8"/>
  <c r="F108" i="8"/>
  <c r="E80" i="8"/>
  <c r="F80" i="8"/>
  <c r="E79" i="8"/>
  <c r="F79" i="8"/>
  <c r="E99" i="8"/>
  <c r="F99" i="8"/>
  <c r="E92" i="8"/>
  <c r="F92" i="8"/>
  <c r="E86" i="8"/>
  <c r="F86" i="8"/>
  <c r="E123" i="8"/>
  <c r="F123" i="8"/>
  <c r="E97" i="8"/>
  <c r="F97" i="8"/>
  <c r="E117" i="8"/>
  <c r="F117" i="8"/>
  <c r="E105" i="8"/>
  <c r="F105" i="8"/>
  <c r="E120" i="8"/>
  <c r="F120" i="8"/>
  <c r="E121" i="8"/>
  <c r="F121" i="8"/>
  <c r="E127" i="8"/>
  <c r="F127" i="8"/>
  <c r="E153" i="8"/>
  <c r="F153" i="8"/>
  <c r="E87" i="8"/>
  <c r="F87" i="8"/>
  <c r="E107" i="8"/>
  <c r="F107" i="8"/>
  <c r="E115" i="8"/>
  <c r="F115" i="8"/>
  <c r="E100" i="8"/>
  <c r="F100" i="8"/>
  <c r="E89" i="8"/>
  <c r="F89" i="8"/>
  <c r="E114" i="8"/>
  <c r="F114" i="8"/>
  <c r="E172" i="8"/>
  <c r="F172" i="8"/>
  <c r="E91" i="8"/>
  <c r="F91" i="8"/>
  <c r="E83" i="8"/>
  <c r="F83" i="8"/>
  <c r="E104" i="8"/>
  <c r="F104" i="8"/>
  <c r="E124" i="8"/>
  <c r="F124" i="8"/>
  <c r="E113" i="8"/>
  <c r="F113" i="8"/>
  <c r="E147" i="8"/>
  <c r="F147" i="8"/>
  <c r="E122" i="8"/>
  <c r="F122" i="8"/>
  <c r="E126" i="8"/>
  <c r="F126" i="8"/>
  <c r="E116" i="8"/>
  <c r="F116" i="8"/>
  <c r="E146" i="8"/>
  <c r="F146" i="8"/>
  <c r="E85" i="8"/>
  <c r="F85" i="8"/>
  <c r="E95" i="8"/>
  <c r="F95" i="8"/>
  <c r="E84" i="8"/>
  <c r="F84" i="8"/>
  <c r="E93" i="8"/>
  <c r="F93" i="8"/>
  <c r="E130" i="8"/>
  <c r="F130" i="8"/>
  <c r="E139" i="8"/>
  <c r="F139" i="8"/>
  <c r="E96" i="8"/>
  <c r="F96" i="8"/>
  <c r="E103" i="8"/>
  <c r="F103" i="8"/>
  <c r="E109" i="8"/>
  <c r="F109" i="8"/>
  <c r="E149" i="8"/>
  <c r="F149" i="8"/>
  <c r="E145" i="8"/>
  <c r="F145" i="8"/>
  <c r="E131" i="8"/>
  <c r="F131" i="8"/>
  <c r="E140" i="8"/>
  <c r="F140" i="8"/>
  <c r="E112" i="8"/>
  <c r="F112" i="8"/>
  <c r="E128" i="8"/>
  <c r="F128" i="8"/>
  <c r="E151" i="8"/>
  <c r="F151" i="8"/>
  <c r="E142" i="8"/>
  <c r="F142" i="8"/>
  <c r="E159" i="8"/>
  <c r="F159" i="8"/>
  <c r="E152" i="8"/>
  <c r="F152" i="8"/>
  <c r="E175" i="8"/>
  <c r="F175" i="8"/>
  <c r="E111" i="8"/>
  <c r="F111" i="8"/>
  <c r="E137" i="8"/>
  <c r="F137" i="8"/>
  <c r="E136" i="8"/>
  <c r="F136" i="8"/>
  <c r="E138" i="8"/>
  <c r="F138" i="8"/>
  <c r="E143" i="8"/>
  <c r="F143" i="8"/>
  <c r="E155" i="8"/>
  <c r="F155" i="8"/>
  <c r="E144" i="8"/>
  <c r="F144" i="8"/>
  <c r="E118" i="8"/>
  <c r="F118" i="8"/>
  <c r="E156" i="8"/>
  <c r="F156" i="8"/>
  <c r="E154" i="8"/>
  <c r="F154" i="8"/>
  <c r="E162" i="8"/>
  <c r="F162" i="8"/>
  <c r="E110" i="8"/>
  <c r="F110" i="8"/>
  <c r="E161" i="8"/>
  <c r="F161" i="8"/>
  <c r="E169" i="8"/>
  <c r="F169" i="8"/>
  <c r="E171" i="8"/>
  <c r="F171" i="8"/>
  <c r="E135" i="8"/>
  <c r="F135" i="8"/>
  <c r="E165" i="8"/>
  <c r="F165" i="8"/>
  <c r="E148" i="8"/>
  <c r="F148" i="8"/>
  <c r="E164" i="8"/>
  <c r="F164" i="8"/>
  <c r="E163" i="8"/>
  <c r="F163" i="8"/>
  <c r="E106" i="8"/>
  <c r="F106" i="8"/>
  <c r="E167" i="8"/>
  <c r="F167" i="8"/>
  <c r="E178" i="8"/>
  <c r="F178" i="8"/>
  <c r="E134" i="8"/>
  <c r="F134" i="8"/>
  <c r="E158" i="8"/>
  <c r="F158" i="8"/>
  <c r="E132" i="8"/>
  <c r="F132" i="8"/>
  <c r="E183" i="8"/>
  <c r="F183" i="8"/>
  <c r="E119" i="8"/>
  <c r="F119" i="8"/>
  <c r="E177" i="8"/>
  <c r="F177" i="8"/>
  <c r="E160" i="8"/>
  <c r="F160" i="8"/>
  <c r="E168" i="8"/>
  <c r="F168" i="8"/>
  <c r="E176" i="8"/>
  <c r="F176" i="8"/>
  <c r="E180" i="8"/>
  <c r="F180" i="8"/>
  <c r="E141" i="8"/>
  <c r="F141" i="8"/>
  <c r="E173" i="8"/>
  <c r="F173" i="8"/>
  <c r="E174" i="8"/>
  <c r="F174" i="8"/>
  <c r="E189" i="8"/>
  <c r="F189" i="8"/>
  <c r="E170" i="8"/>
  <c r="F170" i="8"/>
  <c r="E187" i="8"/>
  <c r="F187" i="8"/>
  <c r="E182" i="8"/>
  <c r="F182" i="8"/>
  <c r="E185" i="8"/>
  <c r="F185" i="8"/>
  <c r="E190" i="8"/>
  <c r="F190" i="8"/>
  <c r="E184" i="8"/>
  <c r="F184" i="8"/>
  <c r="E125" i="8"/>
  <c r="F125" i="8"/>
  <c r="E186" i="8"/>
  <c r="F186" i="8"/>
  <c r="E179" i="8"/>
  <c r="F179" i="8"/>
  <c r="E188" i="8"/>
  <c r="F188" i="8"/>
  <c r="E193" i="8"/>
  <c r="F193" i="8"/>
  <c r="E181" i="8"/>
  <c r="F181" i="8"/>
  <c r="E195" i="8"/>
  <c r="F195" i="8"/>
  <c r="E196" i="8"/>
  <c r="F196" i="8"/>
  <c r="E197" i="8"/>
  <c r="F197" i="8"/>
  <c r="E192" i="8"/>
  <c r="F192" i="8"/>
  <c r="E198" i="8"/>
  <c r="F198" i="8"/>
  <c r="E194" i="8"/>
  <c r="F194" i="8"/>
  <c r="E191" i="8"/>
  <c r="F191" i="8"/>
  <c r="E200" i="8"/>
  <c r="F200" i="8"/>
  <c r="N200" i="8" s="1"/>
  <c r="F6" i="8"/>
  <c r="E6" i="8"/>
  <c r="C10" i="8"/>
  <c r="D10" i="8"/>
  <c r="C9" i="8"/>
  <c r="D9" i="8"/>
  <c r="C8" i="8"/>
  <c r="D8" i="8"/>
  <c r="C11" i="8"/>
  <c r="D11" i="8"/>
  <c r="C7" i="8"/>
  <c r="D7" i="8"/>
  <c r="C15" i="8"/>
  <c r="D15" i="8"/>
  <c r="C21" i="8"/>
  <c r="D21" i="8"/>
  <c r="C18" i="8"/>
  <c r="D18" i="8"/>
  <c r="C23" i="8"/>
  <c r="D23" i="8"/>
  <c r="C16" i="8"/>
  <c r="D16" i="8"/>
  <c r="C32" i="8"/>
  <c r="D32" i="8"/>
  <c r="C17" i="8"/>
  <c r="D17" i="8"/>
  <c r="C33" i="8"/>
  <c r="D33" i="8"/>
  <c r="C14" i="8"/>
  <c r="D14" i="8"/>
  <c r="C69" i="8"/>
  <c r="D69" i="8"/>
  <c r="C25" i="8"/>
  <c r="D25" i="8"/>
  <c r="C20" i="8"/>
  <c r="D20" i="8"/>
  <c r="C31" i="8"/>
  <c r="D31" i="8"/>
  <c r="C38" i="8"/>
  <c r="D38" i="8"/>
  <c r="C39" i="8"/>
  <c r="D39" i="8"/>
  <c r="C26" i="8"/>
  <c r="D26" i="8"/>
  <c r="C46" i="8"/>
  <c r="D46" i="8"/>
  <c r="C40" i="8"/>
  <c r="D40" i="8"/>
  <c r="C42" i="8"/>
  <c r="D42" i="8"/>
  <c r="C56" i="8"/>
  <c r="D56" i="8"/>
  <c r="C41" i="8"/>
  <c r="D41" i="8"/>
  <c r="C35" i="8"/>
  <c r="D35" i="8"/>
  <c r="C36" i="8"/>
  <c r="D36" i="8"/>
  <c r="C45" i="8"/>
  <c r="D45" i="8"/>
  <c r="C47" i="8"/>
  <c r="D47" i="8"/>
  <c r="C24" i="8"/>
  <c r="D24" i="8"/>
  <c r="C29" i="8"/>
  <c r="D29" i="8"/>
  <c r="C43" i="8"/>
  <c r="D43" i="8"/>
  <c r="C19" i="8"/>
  <c r="D19" i="8"/>
  <c r="C59" i="8"/>
  <c r="D59" i="8"/>
  <c r="C22" i="8"/>
  <c r="D22" i="8"/>
  <c r="C57" i="8"/>
  <c r="D57" i="8"/>
  <c r="C53" i="8"/>
  <c r="D53" i="8"/>
  <c r="C62" i="8"/>
  <c r="D62" i="8"/>
  <c r="C44" i="8"/>
  <c r="D44" i="8"/>
  <c r="C52" i="8"/>
  <c r="D52" i="8"/>
  <c r="C66" i="8"/>
  <c r="D66" i="8"/>
  <c r="C50" i="8"/>
  <c r="D50" i="8"/>
  <c r="C61" i="8"/>
  <c r="D61" i="8"/>
  <c r="C64" i="8"/>
  <c r="D64" i="8"/>
  <c r="C34" i="8"/>
  <c r="D34" i="8"/>
  <c r="C65" i="8"/>
  <c r="D65" i="8"/>
  <c r="C48" i="8"/>
  <c r="D48" i="8"/>
  <c r="C76" i="8"/>
  <c r="D76" i="8"/>
  <c r="C58" i="8"/>
  <c r="D58" i="8"/>
  <c r="C63" i="8"/>
  <c r="D63" i="8"/>
  <c r="C74" i="8"/>
  <c r="D74" i="8"/>
  <c r="C78" i="8"/>
  <c r="D78" i="8"/>
  <c r="C67" i="8"/>
  <c r="D67" i="8"/>
  <c r="C73" i="8"/>
  <c r="D73" i="8"/>
  <c r="C70" i="8"/>
  <c r="D70" i="8"/>
  <c r="C71" i="8"/>
  <c r="D71" i="8"/>
  <c r="C51" i="8"/>
  <c r="D51" i="8"/>
  <c r="C49" i="8"/>
  <c r="D49" i="8"/>
  <c r="C68" i="8"/>
  <c r="D68" i="8"/>
  <c r="C75" i="8"/>
  <c r="D75" i="8"/>
  <c r="C27" i="8"/>
  <c r="D27" i="8"/>
  <c r="C98" i="8"/>
  <c r="D98" i="8"/>
  <c r="C94" i="8"/>
  <c r="D94" i="8"/>
  <c r="C82" i="8"/>
  <c r="D82" i="8"/>
  <c r="C81" i="8"/>
  <c r="D81" i="8"/>
  <c r="C37" i="8"/>
  <c r="D37" i="8"/>
  <c r="C133" i="8"/>
  <c r="D133" i="8"/>
  <c r="C72" i="8"/>
  <c r="D72" i="8"/>
  <c r="C102" i="8"/>
  <c r="D102" i="8"/>
  <c r="C90" i="8"/>
  <c r="D90" i="8"/>
  <c r="C108" i="8"/>
  <c r="D108" i="8"/>
  <c r="C80" i="8"/>
  <c r="D80" i="8"/>
  <c r="C79" i="8"/>
  <c r="D79" i="8"/>
  <c r="C99" i="8"/>
  <c r="D99" i="8"/>
  <c r="C92" i="8"/>
  <c r="D92" i="8"/>
  <c r="C86" i="8"/>
  <c r="D86" i="8"/>
  <c r="C123" i="8"/>
  <c r="D123" i="8"/>
  <c r="C97" i="8"/>
  <c r="D97" i="8"/>
  <c r="C117" i="8"/>
  <c r="D117" i="8"/>
  <c r="C105" i="8"/>
  <c r="D105" i="8"/>
  <c r="C120" i="8"/>
  <c r="D120" i="8"/>
  <c r="C121" i="8"/>
  <c r="D121" i="8"/>
  <c r="C127" i="8"/>
  <c r="D127" i="8"/>
  <c r="C153" i="8"/>
  <c r="D153" i="8"/>
  <c r="C87" i="8"/>
  <c r="D87" i="8"/>
  <c r="C107" i="8"/>
  <c r="D107" i="8"/>
  <c r="C115" i="8"/>
  <c r="D115" i="8"/>
  <c r="C100" i="8"/>
  <c r="D100" i="8"/>
  <c r="C89" i="8"/>
  <c r="D89" i="8"/>
  <c r="C114" i="8"/>
  <c r="D114" i="8"/>
  <c r="C172" i="8"/>
  <c r="D172" i="8"/>
  <c r="C91" i="8"/>
  <c r="D91" i="8"/>
  <c r="C83" i="8"/>
  <c r="D83" i="8"/>
  <c r="C104" i="8"/>
  <c r="D104" i="8"/>
  <c r="C124" i="8"/>
  <c r="D124" i="8"/>
  <c r="C113" i="8"/>
  <c r="D113" i="8"/>
  <c r="C147" i="8"/>
  <c r="D147" i="8"/>
  <c r="C122" i="8"/>
  <c r="D122" i="8"/>
  <c r="C126" i="8"/>
  <c r="D126" i="8"/>
  <c r="C116" i="8"/>
  <c r="D116" i="8"/>
  <c r="C146" i="8"/>
  <c r="D146" i="8"/>
  <c r="C85" i="8"/>
  <c r="D85" i="8"/>
  <c r="C95" i="8"/>
  <c r="D95" i="8"/>
  <c r="C84" i="8"/>
  <c r="D84" i="8"/>
  <c r="C93" i="8"/>
  <c r="D93" i="8"/>
  <c r="C130" i="8"/>
  <c r="D130" i="8"/>
  <c r="C139" i="8"/>
  <c r="D139" i="8"/>
  <c r="C96" i="8"/>
  <c r="D96" i="8"/>
  <c r="C103" i="8"/>
  <c r="D103" i="8"/>
  <c r="C109" i="8"/>
  <c r="D109" i="8"/>
  <c r="C149" i="8"/>
  <c r="D149" i="8"/>
  <c r="C145" i="8"/>
  <c r="D145" i="8"/>
  <c r="C131" i="8"/>
  <c r="D131" i="8"/>
  <c r="C140" i="8"/>
  <c r="D140" i="8"/>
  <c r="C112" i="8"/>
  <c r="D112" i="8"/>
  <c r="C128" i="8"/>
  <c r="D128" i="8"/>
  <c r="C151" i="8"/>
  <c r="D151" i="8"/>
  <c r="C142" i="8"/>
  <c r="D142" i="8"/>
  <c r="C159" i="8"/>
  <c r="D159" i="8"/>
  <c r="C152" i="8"/>
  <c r="D152" i="8"/>
  <c r="C175" i="8"/>
  <c r="D175" i="8"/>
  <c r="C111" i="8"/>
  <c r="D111" i="8"/>
  <c r="C137" i="8"/>
  <c r="D137" i="8"/>
  <c r="C136" i="8"/>
  <c r="D136" i="8"/>
  <c r="C138" i="8"/>
  <c r="D138" i="8"/>
  <c r="C143" i="8"/>
  <c r="D143" i="8"/>
  <c r="C155" i="8"/>
  <c r="D155" i="8"/>
  <c r="C144" i="8"/>
  <c r="D144" i="8"/>
  <c r="C118" i="8"/>
  <c r="D118" i="8"/>
  <c r="C156" i="8"/>
  <c r="D156" i="8"/>
  <c r="C154" i="8"/>
  <c r="D154" i="8"/>
  <c r="C162" i="8"/>
  <c r="D162" i="8"/>
  <c r="C110" i="8"/>
  <c r="D110" i="8"/>
  <c r="C161" i="8"/>
  <c r="D161" i="8"/>
  <c r="C169" i="8"/>
  <c r="D169" i="8"/>
  <c r="C171" i="8"/>
  <c r="D171" i="8"/>
  <c r="C135" i="8"/>
  <c r="D135" i="8"/>
  <c r="C165" i="8"/>
  <c r="D165" i="8"/>
  <c r="C148" i="8"/>
  <c r="D148" i="8"/>
  <c r="C164" i="8"/>
  <c r="D164" i="8"/>
  <c r="C163" i="8"/>
  <c r="D163" i="8"/>
  <c r="C106" i="8"/>
  <c r="D106" i="8"/>
  <c r="C167" i="8"/>
  <c r="D167" i="8"/>
  <c r="C178" i="8"/>
  <c r="D178" i="8"/>
  <c r="C134" i="8"/>
  <c r="D134" i="8"/>
  <c r="C199" i="8"/>
  <c r="D199" i="8"/>
  <c r="C158" i="8"/>
  <c r="D158" i="8"/>
  <c r="C132" i="8"/>
  <c r="D132" i="8"/>
  <c r="C183" i="8"/>
  <c r="D183" i="8"/>
  <c r="C119" i="8"/>
  <c r="D119" i="8"/>
  <c r="C177" i="8"/>
  <c r="D177" i="8"/>
  <c r="C160" i="8"/>
  <c r="D160" i="8"/>
  <c r="C168" i="8"/>
  <c r="D168" i="8"/>
  <c r="C176" i="8"/>
  <c r="D176" i="8"/>
  <c r="C180" i="8"/>
  <c r="D180" i="8"/>
  <c r="C141" i="8"/>
  <c r="D141" i="8"/>
  <c r="C173" i="8"/>
  <c r="D173" i="8"/>
  <c r="C174" i="8"/>
  <c r="D174" i="8"/>
  <c r="C189" i="8"/>
  <c r="D189" i="8"/>
  <c r="C170" i="8"/>
  <c r="D170" i="8"/>
  <c r="C187" i="8"/>
  <c r="D187" i="8"/>
  <c r="C182" i="8"/>
  <c r="D182" i="8"/>
  <c r="C185" i="8"/>
  <c r="D185" i="8"/>
  <c r="C190" i="8"/>
  <c r="D190" i="8"/>
  <c r="C184" i="8"/>
  <c r="D184" i="8"/>
  <c r="C125" i="8"/>
  <c r="D125" i="8"/>
  <c r="C186" i="8"/>
  <c r="D186" i="8"/>
  <c r="C179" i="8"/>
  <c r="D179" i="8"/>
  <c r="C188" i="8"/>
  <c r="D188" i="8"/>
  <c r="C193" i="8"/>
  <c r="D193" i="8"/>
  <c r="C181" i="8"/>
  <c r="D181" i="8"/>
  <c r="C195" i="8"/>
  <c r="D195" i="8"/>
  <c r="C196" i="8"/>
  <c r="D196" i="8"/>
  <c r="C197" i="8"/>
  <c r="D197" i="8"/>
  <c r="C192" i="8"/>
  <c r="D192" i="8"/>
  <c r="C198" i="8"/>
  <c r="D198" i="8"/>
  <c r="C194" i="8"/>
  <c r="D194" i="8"/>
  <c r="C191" i="8"/>
  <c r="D191" i="8"/>
  <c r="C200" i="8"/>
  <c r="D200" i="8"/>
  <c r="D6" i="8"/>
  <c r="C6" i="8"/>
  <c r="AB23" i="8" l="1"/>
  <c r="AB86" i="8"/>
  <c r="AB66" i="8"/>
  <c r="AB43" i="8"/>
  <c r="W102" i="8"/>
  <c r="AB29" i="8"/>
  <c r="AB42" i="8"/>
  <c r="W92" i="8"/>
  <c r="AB84" i="8"/>
  <c r="W85" i="8"/>
  <c r="AB30" i="8"/>
  <c r="AB87" i="8"/>
  <c r="AB129" i="8"/>
  <c r="AB110" i="8"/>
  <c r="AB92" i="8"/>
  <c r="AB112" i="8"/>
  <c r="AB56" i="8"/>
  <c r="AB102" i="8"/>
  <c r="BA204" i="8"/>
  <c r="BH2" i="8"/>
  <c r="AZ204" i="8"/>
  <c r="BE204" i="8"/>
  <c r="BF204" i="8"/>
  <c r="AU204" i="8"/>
  <c r="AV204" i="8"/>
  <c r="AB162" i="8"/>
  <c r="AB103" i="8"/>
  <c r="AB133" i="8"/>
  <c r="AP204" i="8"/>
  <c r="W59" i="8"/>
  <c r="AB58" i="8"/>
  <c r="AB136" i="8"/>
  <c r="W117" i="8"/>
  <c r="W34" i="8"/>
  <c r="AB73" i="8"/>
  <c r="AB16" i="8"/>
  <c r="AB32" i="8"/>
  <c r="AB68" i="8"/>
  <c r="AQ204" i="8"/>
  <c r="AB132" i="8"/>
  <c r="AB80" i="8"/>
  <c r="W188" i="8"/>
  <c r="AB115" i="8"/>
  <c r="AB55" i="8"/>
  <c r="AK204" i="8"/>
  <c r="AB117" i="8"/>
  <c r="W70" i="8"/>
  <c r="AB127" i="8"/>
  <c r="W95" i="8"/>
  <c r="AB108" i="8"/>
  <c r="W64" i="8"/>
  <c r="AB121" i="8"/>
  <c r="AB64" i="8"/>
  <c r="AB79" i="8"/>
  <c r="AB67" i="8"/>
  <c r="AL204" i="8"/>
  <c r="W79" i="8"/>
  <c r="AB119" i="8"/>
  <c r="W21" i="8"/>
  <c r="AB74" i="8"/>
  <c r="W78" i="8"/>
  <c r="W53" i="8"/>
  <c r="W63" i="8"/>
  <c r="AB78" i="8"/>
  <c r="AB71" i="8"/>
  <c r="D204" i="8"/>
  <c r="C204" i="8"/>
  <c r="W144" i="8"/>
  <c r="AB49" i="8"/>
  <c r="Z204" i="8"/>
  <c r="W121" i="8"/>
  <c r="AB59" i="8"/>
  <c r="AB70" i="8"/>
  <c r="Q6" i="8"/>
  <c r="J204" i="8"/>
  <c r="S6" i="8"/>
  <c r="W32" i="8"/>
  <c r="W49" i="8"/>
  <c r="AB144" i="8"/>
  <c r="E204" i="8"/>
  <c r="U204" i="8"/>
  <c r="X204" i="8"/>
  <c r="D2" i="8"/>
  <c r="AB40" i="8"/>
  <c r="C2" i="8"/>
  <c r="AB24" i="8"/>
  <c r="K2" i="8"/>
  <c r="Q8" i="8"/>
  <c r="W8" i="8" s="1"/>
  <c r="J2" i="8"/>
  <c r="F2" i="8"/>
  <c r="X2" i="8"/>
  <c r="E2" i="8"/>
  <c r="AB8" i="8"/>
  <c r="V2" i="8"/>
  <c r="AA2" i="8"/>
  <c r="AB69" i="8"/>
  <c r="AB175" i="8"/>
  <c r="AB93" i="8"/>
  <c r="W124" i="8"/>
  <c r="W93" i="8"/>
  <c r="AB122" i="8"/>
  <c r="AB53" i="8"/>
  <c r="AB138" i="8"/>
  <c r="AB151" i="8"/>
  <c r="W151" i="8"/>
  <c r="W128" i="8"/>
  <c r="W74" i="8"/>
  <c r="AB21" i="8"/>
  <c r="AB25" i="8"/>
  <c r="AB95" i="8"/>
  <c r="AB134" i="8"/>
  <c r="AB181" i="8"/>
  <c r="W190" i="8"/>
  <c r="W132" i="8"/>
  <c r="AB172" i="8"/>
  <c r="W134" i="8"/>
  <c r="AB105" i="8"/>
  <c r="W80" i="8"/>
  <c r="AB178" i="8"/>
  <c r="AB101" i="8"/>
  <c r="AB149" i="8"/>
  <c r="AB109" i="8"/>
  <c r="W25" i="8"/>
  <c r="W161" i="8"/>
  <c r="AB63" i="8"/>
  <c r="W71" i="8"/>
  <c r="W65" i="8"/>
  <c r="AB188" i="8"/>
  <c r="W109" i="8"/>
  <c r="W10" i="8"/>
  <c r="AB193" i="8"/>
  <c r="AB187" i="8"/>
  <c r="AB6" i="8"/>
  <c r="AB163" i="8"/>
  <c r="AB31" i="8"/>
  <c r="AB88" i="8"/>
  <c r="AB169" i="8"/>
  <c r="AB155" i="8"/>
  <c r="AB192" i="8"/>
  <c r="W114" i="8"/>
  <c r="W35" i="8"/>
  <c r="AB7" i="8"/>
  <c r="AB60" i="8"/>
  <c r="AB116" i="8"/>
  <c r="AB111" i="8"/>
  <c r="AB176" i="8"/>
  <c r="W111" i="8"/>
  <c r="AB146" i="8"/>
  <c r="AB114" i="8"/>
  <c r="W176" i="8"/>
  <c r="AB28" i="8"/>
  <c r="AB77" i="8"/>
  <c r="W91" i="8"/>
  <c r="W182" i="8"/>
  <c r="W153" i="8"/>
  <c r="W156" i="8"/>
  <c r="W41" i="8"/>
  <c r="W105" i="8"/>
  <c r="W147" i="8"/>
  <c r="W86" i="8"/>
  <c r="M150" i="8"/>
  <c r="W24" i="8"/>
  <c r="AB94" i="8"/>
  <c r="W108" i="8"/>
  <c r="W185" i="8"/>
  <c r="AB180" i="8"/>
  <c r="AB173" i="8"/>
  <c r="AB154" i="8"/>
  <c r="AB156" i="8"/>
  <c r="AB76" i="8"/>
  <c r="AB107" i="8"/>
  <c r="W61" i="8"/>
  <c r="M54" i="8"/>
  <c r="AB50" i="8"/>
  <c r="AB15" i="8"/>
  <c r="AB189" i="8"/>
  <c r="AB153" i="8"/>
  <c r="W19" i="8"/>
  <c r="AB45" i="8"/>
  <c r="AB89" i="8"/>
  <c r="AB75" i="8"/>
  <c r="AB98" i="8"/>
  <c r="W110" i="8"/>
  <c r="AB174" i="8"/>
  <c r="AB38" i="8"/>
  <c r="AB164" i="8"/>
  <c r="W140" i="8"/>
  <c r="W52" i="8"/>
  <c r="W37" i="8"/>
  <c r="AB52" i="8"/>
  <c r="AB19" i="8"/>
  <c r="AB61" i="8"/>
  <c r="AB147" i="8"/>
  <c r="W189" i="8"/>
  <c r="W177" i="8"/>
  <c r="W67" i="8"/>
  <c r="AB190" i="8"/>
  <c r="AB37" i="8"/>
  <c r="W40" i="8"/>
  <c r="AB196" i="8"/>
  <c r="W16" i="8"/>
  <c r="W11" i="8"/>
  <c r="W119" i="8"/>
  <c r="AB11" i="8"/>
  <c r="W169" i="8"/>
  <c r="AB141" i="8"/>
  <c r="W116" i="8"/>
  <c r="AB140" i="8"/>
  <c r="W187" i="8"/>
  <c r="W51" i="8"/>
  <c r="AB118" i="8"/>
  <c r="AB182" i="8"/>
  <c r="AB161" i="8"/>
  <c r="W7" i="8"/>
  <c r="AB13" i="8"/>
  <c r="W159" i="8"/>
  <c r="AB160" i="8"/>
  <c r="W170" i="8"/>
  <c r="W107" i="8"/>
  <c r="AB198" i="8"/>
  <c r="AB157" i="8"/>
  <c r="R129" i="8"/>
  <c r="AB123" i="8"/>
  <c r="AB9" i="8"/>
  <c r="AB113" i="8"/>
  <c r="AB167" i="8"/>
  <c r="W181" i="8"/>
  <c r="AB183" i="8"/>
  <c r="AB97" i="8"/>
  <c r="AB47" i="8"/>
  <c r="AB137" i="8"/>
  <c r="AB82" i="8"/>
  <c r="AB18" i="8"/>
  <c r="AB145" i="8"/>
  <c r="AB150" i="8"/>
  <c r="AB51" i="8"/>
  <c r="AB125" i="8"/>
  <c r="W103" i="8"/>
  <c r="W22" i="8"/>
  <c r="AB131" i="8"/>
  <c r="AB148" i="8"/>
  <c r="W54" i="8"/>
  <c r="AB46" i="8"/>
  <c r="AB194" i="8"/>
  <c r="AB177" i="8"/>
  <c r="AB191" i="8"/>
  <c r="AB39" i="8"/>
  <c r="AB184" i="8"/>
  <c r="AB81" i="8"/>
  <c r="AB14" i="8"/>
  <c r="AB142" i="8"/>
  <c r="AB54" i="8"/>
  <c r="AB168" i="8"/>
  <c r="AB166" i="8"/>
  <c r="AB185" i="8"/>
  <c r="AB33" i="8"/>
  <c r="AB158" i="8"/>
  <c r="AB195" i="8"/>
  <c r="AB170" i="8"/>
  <c r="AB48" i="8"/>
  <c r="AB179" i="8"/>
  <c r="AB83" i="8"/>
  <c r="AB96" i="8"/>
  <c r="AB99" i="8"/>
  <c r="AB106" i="8"/>
  <c r="M77" i="8"/>
  <c r="AB12" i="8"/>
  <c r="AB126" i="8"/>
  <c r="W142" i="8"/>
  <c r="R55" i="8"/>
  <c r="W178" i="8"/>
  <c r="W198" i="8"/>
  <c r="W39" i="8"/>
  <c r="W141" i="8"/>
  <c r="W175" i="8"/>
  <c r="W72" i="8"/>
  <c r="W123" i="8"/>
  <c r="W47" i="8"/>
  <c r="R150" i="8"/>
  <c r="W149" i="8"/>
  <c r="W148" i="8"/>
  <c r="L75" i="8"/>
  <c r="R75" i="8" s="1"/>
  <c r="W131" i="8"/>
  <c r="W122" i="8"/>
  <c r="W94" i="8"/>
  <c r="W44" i="8"/>
  <c r="W97" i="8"/>
  <c r="R12" i="8"/>
  <c r="W150" i="8"/>
  <c r="W29" i="8"/>
  <c r="W9" i="8"/>
  <c r="W163" i="8"/>
  <c r="W83" i="8"/>
  <c r="W106" i="8"/>
  <c r="W137" i="8"/>
  <c r="W146" i="8"/>
  <c r="W155" i="8"/>
  <c r="W76" i="8"/>
  <c r="W113" i="8"/>
  <c r="W68" i="8"/>
  <c r="W125" i="8"/>
  <c r="W139" i="8"/>
  <c r="W120" i="8"/>
  <c r="M55" i="8"/>
  <c r="W99" i="8"/>
  <c r="W192" i="8"/>
  <c r="R101" i="8"/>
  <c r="R166" i="8"/>
  <c r="M30" i="8"/>
  <c r="W28" i="8"/>
  <c r="W15" i="8"/>
  <c r="M166" i="8"/>
  <c r="W30" i="8"/>
  <c r="M12" i="8"/>
  <c r="M101" i="8"/>
  <c r="W145" i="8"/>
  <c r="W160" i="8"/>
  <c r="W55" i="8"/>
  <c r="W98" i="8"/>
  <c r="W165" i="8"/>
  <c r="W115" i="8"/>
  <c r="W45" i="8"/>
  <c r="W194" i="8"/>
  <c r="W191" i="8"/>
  <c r="W60" i="8"/>
  <c r="W164" i="8"/>
  <c r="W66" i="8"/>
  <c r="R13" i="8"/>
  <c r="W101" i="8"/>
  <c r="W18" i="8"/>
  <c r="M28" i="8"/>
  <c r="M157" i="8"/>
  <c r="W73" i="8"/>
  <c r="W81" i="8"/>
  <c r="R54" i="8"/>
  <c r="W77" i="8"/>
  <c r="M60" i="8"/>
  <c r="W157" i="8"/>
  <c r="W193" i="8"/>
  <c r="W75" i="8"/>
  <c r="W166" i="8"/>
  <c r="W138" i="8"/>
  <c r="W17" i="8"/>
  <c r="W129" i="8"/>
  <c r="W100" i="8"/>
  <c r="R30" i="8"/>
  <c r="W130" i="8"/>
  <c r="W143" i="8"/>
  <c r="W50" i="8"/>
  <c r="W82" i="8"/>
  <c r="M88" i="8"/>
  <c r="R157" i="8"/>
  <c r="M129" i="8"/>
  <c r="R28" i="8"/>
  <c r="W118" i="8"/>
  <c r="R88" i="8"/>
  <c r="W88" i="8"/>
  <c r="W184" i="8"/>
  <c r="R60" i="8"/>
  <c r="R77" i="8"/>
  <c r="M13" i="8"/>
  <c r="W158" i="8"/>
  <c r="W90" i="8"/>
  <c r="N152" i="8"/>
  <c r="W127" i="8"/>
  <c r="W14" i="8"/>
  <c r="N195" i="8"/>
  <c r="N172" i="8"/>
  <c r="N182" i="8"/>
  <c r="N56" i="8"/>
  <c r="N154" i="8"/>
  <c r="N114" i="8"/>
  <c r="N85" i="8"/>
  <c r="N148" i="8"/>
  <c r="N123" i="8"/>
  <c r="S89" i="8"/>
  <c r="N89" i="8"/>
  <c r="N83" i="8"/>
  <c r="N96" i="8"/>
  <c r="N71" i="8"/>
  <c r="N61" i="8"/>
  <c r="N108" i="8"/>
  <c r="S49" i="8"/>
  <c r="N49" i="8"/>
  <c r="N40" i="8"/>
  <c r="N22" i="8"/>
  <c r="S24" i="8"/>
  <c r="N24" i="8"/>
  <c r="N23" i="8"/>
  <c r="S23" i="8"/>
  <c r="N8" i="8"/>
  <c r="W162" i="8"/>
  <c r="S40" i="8"/>
  <c r="S22" i="8"/>
  <c r="W167" i="8"/>
  <c r="N192" i="8"/>
  <c r="N194" i="8"/>
  <c r="N184" i="8"/>
  <c r="N147" i="8"/>
  <c r="N178" i="8"/>
  <c r="N170" i="8"/>
  <c r="N112" i="8"/>
  <c r="N132" i="8"/>
  <c r="N116" i="8"/>
  <c r="N153" i="8"/>
  <c r="N109" i="8"/>
  <c r="N94" i="8"/>
  <c r="N32" i="8"/>
  <c r="S32" i="8"/>
  <c r="N117" i="8"/>
  <c r="N118" i="8"/>
  <c r="N110" i="8"/>
  <c r="N81" i="8"/>
  <c r="N86" i="8"/>
  <c r="N93" i="8"/>
  <c r="N38" i="8"/>
  <c r="S25" i="8"/>
  <c r="N25" i="8"/>
  <c r="N34" i="8"/>
  <c r="N43" i="8"/>
  <c r="N37" i="8"/>
  <c r="W168" i="8"/>
  <c r="W38" i="8"/>
  <c r="W174" i="8"/>
  <c r="S83" i="8"/>
  <c r="W186" i="8"/>
  <c r="W48" i="8"/>
  <c r="W69" i="8"/>
  <c r="S153" i="8"/>
  <c r="S172" i="8"/>
  <c r="S154" i="8"/>
  <c r="N198" i="8"/>
  <c r="N187" i="8"/>
  <c r="N158" i="8"/>
  <c r="N167" i="8"/>
  <c r="N144" i="8"/>
  <c r="N124" i="8"/>
  <c r="N125" i="8"/>
  <c r="N156" i="8"/>
  <c r="N104" i="8"/>
  <c r="N99" i="8"/>
  <c r="N137" i="8"/>
  <c r="N119" i="8"/>
  <c r="N74" i="8"/>
  <c r="N36" i="8"/>
  <c r="N58" i="8"/>
  <c r="N53" i="8"/>
  <c r="N35" i="8"/>
  <c r="N50" i="8"/>
  <c r="N31" i="8"/>
  <c r="S31" i="8"/>
  <c r="N16" i="8"/>
  <c r="N17" i="8"/>
  <c r="S74" i="8"/>
  <c r="W172" i="8"/>
  <c r="W33" i="8"/>
  <c r="W179" i="8"/>
  <c r="S38" i="8"/>
  <c r="S144" i="8"/>
  <c r="S137" i="8"/>
  <c r="W42" i="8"/>
  <c r="W183" i="8"/>
  <c r="S86" i="8"/>
  <c r="N191" i="8"/>
  <c r="N193" i="8"/>
  <c r="N174" i="8"/>
  <c r="N171" i="8"/>
  <c r="N162" i="8"/>
  <c r="N121" i="8"/>
  <c r="N163" i="8"/>
  <c r="N127" i="8"/>
  <c r="N41" i="8"/>
  <c r="S15" i="8"/>
  <c r="N15" i="8"/>
  <c r="N142" i="8"/>
  <c r="N76" i="8"/>
  <c r="N91" i="8"/>
  <c r="N82" i="8"/>
  <c r="N66" i="8"/>
  <c r="S39" i="8"/>
  <c r="N39" i="8"/>
  <c r="N48" i="8"/>
  <c r="S48" i="8"/>
  <c r="N68" i="8"/>
  <c r="S20" i="8"/>
  <c r="N20" i="8"/>
  <c r="N44" i="8"/>
  <c r="N18" i="8"/>
  <c r="N69" i="8"/>
  <c r="N11" i="8"/>
  <c r="S50" i="8"/>
  <c r="W58" i="8"/>
  <c r="W196" i="8"/>
  <c r="S17" i="8"/>
  <c r="S96" i="8"/>
  <c r="S43" i="8"/>
  <c r="W31" i="8"/>
  <c r="S108" i="8"/>
  <c r="S69" i="8"/>
  <c r="S182" i="8"/>
  <c r="N183" i="8"/>
  <c r="N196" i="8"/>
  <c r="N145" i="8"/>
  <c r="N161" i="8"/>
  <c r="N176" i="8"/>
  <c r="N165" i="8"/>
  <c r="N173" i="8"/>
  <c r="N136" i="8"/>
  <c r="N126" i="8"/>
  <c r="N65" i="8"/>
  <c r="N139" i="8"/>
  <c r="N73" i="8"/>
  <c r="N113" i="8"/>
  <c r="N79" i="8"/>
  <c r="N106" i="8"/>
  <c r="N75" i="8"/>
  <c r="N27" i="8"/>
  <c r="N63" i="8"/>
  <c r="N57" i="8"/>
  <c r="S45" i="8"/>
  <c r="N45" i="8"/>
  <c r="N46" i="8"/>
  <c r="N10" i="8"/>
  <c r="S10" i="8"/>
  <c r="S112" i="8"/>
  <c r="S126" i="8"/>
  <c r="W23" i="8"/>
  <c r="S85" i="8"/>
  <c r="S158" i="8"/>
  <c r="S193" i="8"/>
  <c r="S34" i="8"/>
  <c r="L90" i="8"/>
  <c r="R90" i="8" s="1"/>
  <c r="N6" i="8"/>
  <c r="Q173" i="8"/>
  <c r="S114" i="8"/>
  <c r="S76" i="8"/>
  <c r="S94" i="8"/>
  <c r="S162" i="8"/>
  <c r="W96" i="8"/>
  <c r="S195" i="8"/>
  <c r="S147" i="8"/>
  <c r="S198" i="8"/>
  <c r="S109" i="8"/>
  <c r="S27" i="8"/>
  <c r="S8" i="8"/>
  <c r="N189" i="8"/>
  <c r="N175" i="8"/>
  <c r="N186" i="8"/>
  <c r="N188" i="8"/>
  <c r="N181" i="8"/>
  <c r="N149" i="8"/>
  <c r="N164" i="8"/>
  <c r="N141" i="8"/>
  <c r="S122" i="8"/>
  <c r="N122" i="8"/>
  <c r="N103" i="8"/>
  <c r="N107" i="8"/>
  <c r="N78" i="8"/>
  <c r="N120" i="8"/>
  <c r="N87" i="8"/>
  <c r="N59" i="8"/>
  <c r="N105" i="8"/>
  <c r="N138" i="8"/>
  <c r="N26" i="8"/>
  <c r="N95" i="8"/>
  <c r="N21" i="8"/>
  <c r="N62" i="8"/>
  <c r="S173" i="8"/>
  <c r="S125" i="8"/>
  <c r="S81" i="8"/>
  <c r="S139" i="8"/>
  <c r="S63" i="8"/>
  <c r="W46" i="8"/>
  <c r="S93" i="8"/>
  <c r="S152" i="8"/>
  <c r="S170" i="8"/>
  <c r="S165" i="8"/>
  <c r="S18" i="8"/>
  <c r="S91" i="8"/>
  <c r="W180" i="8"/>
  <c r="S116" i="8"/>
  <c r="W84" i="8"/>
  <c r="S148" i="8"/>
  <c r="S164" i="8"/>
  <c r="S138" i="8"/>
  <c r="S62" i="8"/>
  <c r="S56" i="8"/>
  <c r="S79" i="8"/>
  <c r="S16" i="8"/>
  <c r="N185" i="8"/>
  <c r="N197" i="8"/>
  <c r="N180" i="8"/>
  <c r="N177" i="8"/>
  <c r="N159" i="8"/>
  <c r="N151" i="8"/>
  <c r="N135" i="8"/>
  <c r="N100" i="8"/>
  <c r="N160" i="8"/>
  <c r="N92" i="8"/>
  <c r="N102" i="8"/>
  <c r="N111" i="8"/>
  <c r="N97" i="8"/>
  <c r="N84" i="8"/>
  <c r="N134" i="8"/>
  <c r="N72" i="8"/>
  <c r="N70" i="8"/>
  <c r="S64" i="8"/>
  <c r="N64" i="8"/>
  <c r="N51" i="8"/>
  <c r="N42" i="8"/>
  <c r="S42" i="8"/>
  <c r="N29" i="8"/>
  <c r="S9" i="8"/>
  <c r="N9" i="8"/>
  <c r="N14" i="8"/>
  <c r="N19" i="8"/>
  <c r="S145" i="8"/>
  <c r="S151" i="8"/>
  <c r="W154" i="8"/>
  <c r="S197" i="8"/>
  <c r="S117" i="8"/>
  <c r="S132" i="8"/>
  <c r="S187" i="8"/>
  <c r="S186" i="8"/>
  <c r="S103" i="8"/>
  <c r="S21" i="8"/>
  <c r="S35" i="8"/>
  <c r="S41" i="8"/>
  <c r="S58" i="8"/>
  <c r="S156" i="8"/>
  <c r="S159" i="8"/>
  <c r="S134" i="8"/>
  <c r="W89" i="8"/>
  <c r="S37" i="8"/>
  <c r="S142" i="8"/>
  <c r="S194" i="8"/>
  <c r="S104" i="8"/>
  <c r="S59" i="8"/>
  <c r="S53" i="8"/>
  <c r="S57" i="8"/>
  <c r="S100" i="8"/>
  <c r="N190" i="8"/>
  <c r="N179" i="8"/>
  <c r="N168" i="8"/>
  <c r="N133" i="8"/>
  <c r="N169" i="8"/>
  <c r="N146" i="8"/>
  <c r="N155" i="8"/>
  <c r="N130" i="8"/>
  <c r="N128" i="8"/>
  <c r="N143" i="8"/>
  <c r="N115" i="8"/>
  <c r="N140" i="8"/>
  <c r="N90" i="8"/>
  <c r="N98" i="8"/>
  <c r="N131" i="8"/>
  <c r="N67" i="8"/>
  <c r="N80" i="8"/>
  <c r="N47" i="8"/>
  <c r="N33" i="8"/>
  <c r="N52" i="8"/>
  <c r="N7" i="8"/>
  <c r="S127" i="8"/>
  <c r="S169" i="8"/>
  <c r="W126" i="8"/>
  <c r="S51" i="8"/>
  <c r="S178" i="8"/>
  <c r="S44" i="8"/>
  <c r="S188" i="8"/>
  <c r="S123" i="8"/>
  <c r="S36" i="8"/>
  <c r="S26" i="8"/>
  <c r="L132" i="8"/>
  <c r="R132" i="8" s="1"/>
  <c r="L110" i="8"/>
  <c r="R110" i="8" s="1"/>
  <c r="L37" i="8"/>
  <c r="R37" i="8" s="1"/>
  <c r="G20" i="8"/>
  <c r="H20" i="8" s="1"/>
  <c r="G23" i="8"/>
  <c r="H23" i="8" s="1"/>
  <c r="I178" i="8"/>
  <c r="I135" i="8"/>
  <c r="I154" i="8"/>
  <c r="I136" i="8"/>
  <c r="I128" i="8"/>
  <c r="I96" i="8"/>
  <c r="I116" i="8"/>
  <c r="I104" i="8"/>
  <c r="I107" i="8"/>
  <c r="I117" i="8"/>
  <c r="I80" i="8"/>
  <c r="I81" i="8"/>
  <c r="I51" i="8"/>
  <c r="I58" i="8"/>
  <c r="I61" i="8"/>
  <c r="I47" i="8"/>
  <c r="I40" i="8"/>
  <c r="I25" i="8"/>
  <c r="I18" i="8"/>
  <c r="L187" i="8"/>
  <c r="R187" i="8" s="1"/>
  <c r="L116" i="8"/>
  <c r="R116" i="8" s="1"/>
  <c r="L81" i="8"/>
  <c r="R81" i="8" s="1"/>
  <c r="L15" i="8"/>
  <c r="R15" i="8" s="1"/>
  <c r="L48" i="8"/>
  <c r="R48" i="8" s="1"/>
  <c r="L139" i="8"/>
  <c r="R139" i="8" s="1"/>
  <c r="L27" i="8"/>
  <c r="R27" i="8" s="1"/>
  <c r="L185" i="8"/>
  <c r="R185" i="8" s="1"/>
  <c r="L175" i="8"/>
  <c r="R175" i="8" s="1"/>
  <c r="L186" i="8"/>
  <c r="R186" i="8" s="1"/>
  <c r="L188" i="8"/>
  <c r="R188" i="8" s="1"/>
  <c r="L181" i="8"/>
  <c r="R181" i="8" s="1"/>
  <c r="L164" i="8"/>
  <c r="R164" i="8" s="1"/>
  <c r="L122" i="8"/>
  <c r="R122" i="8" s="1"/>
  <c r="L103" i="8"/>
  <c r="R103" i="8" s="1"/>
  <c r="L107" i="8"/>
  <c r="R107" i="8" s="1"/>
  <c r="L87" i="8"/>
  <c r="R87" i="8" s="1"/>
  <c r="L59" i="8"/>
  <c r="R59" i="8" s="1"/>
  <c r="L105" i="8"/>
  <c r="R105" i="8" s="1"/>
  <c r="L138" i="8"/>
  <c r="R138" i="8" s="1"/>
  <c r="L26" i="8"/>
  <c r="R26" i="8" s="1"/>
  <c r="L21" i="8"/>
  <c r="R21" i="8" s="1"/>
  <c r="L197" i="8"/>
  <c r="R197" i="8" s="1"/>
  <c r="L177" i="8"/>
  <c r="R177" i="8" s="1"/>
  <c r="L151" i="8"/>
  <c r="R151" i="8" s="1"/>
  <c r="L135" i="8"/>
  <c r="R135" i="8" s="1"/>
  <c r="L160" i="8"/>
  <c r="R160" i="8" s="1"/>
  <c r="L102" i="8"/>
  <c r="R102" i="8" s="1"/>
  <c r="L111" i="8"/>
  <c r="R111" i="8" s="1"/>
  <c r="L97" i="8"/>
  <c r="R97" i="8" s="1"/>
  <c r="L84" i="8"/>
  <c r="R84" i="8" s="1"/>
  <c r="L134" i="8"/>
  <c r="R134" i="8" s="1"/>
  <c r="L72" i="8"/>
  <c r="R72" i="8" s="1"/>
  <c r="L70" i="8"/>
  <c r="R70" i="8" s="1"/>
  <c r="L64" i="8"/>
  <c r="R64" i="8" s="1"/>
  <c r="L51" i="8"/>
  <c r="R51" i="8" s="1"/>
  <c r="L42" i="8"/>
  <c r="R42" i="8" s="1"/>
  <c r="L9" i="8"/>
  <c r="R9" i="8" s="1"/>
  <c r="L14" i="8"/>
  <c r="R14" i="8" s="1"/>
  <c r="L19" i="8"/>
  <c r="R19" i="8" s="1"/>
  <c r="L155" i="8"/>
  <c r="R155" i="8" s="1"/>
  <c r="L98" i="8"/>
  <c r="R98" i="8" s="1"/>
  <c r="L52" i="8"/>
  <c r="R52" i="8" s="1"/>
  <c r="L192" i="8"/>
  <c r="R192" i="8" s="1"/>
  <c r="L195" i="8"/>
  <c r="R195" i="8" s="1"/>
  <c r="L172" i="8"/>
  <c r="R172" i="8" s="1"/>
  <c r="L182" i="8"/>
  <c r="R182" i="8" s="1"/>
  <c r="L114" i="8"/>
  <c r="R114" i="8" s="1"/>
  <c r="L83" i="8"/>
  <c r="R83" i="8" s="1"/>
  <c r="L96" i="8"/>
  <c r="R96" i="8" s="1"/>
  <c r="L24" i="8"/>
  <c r="R24" i="8" s="1"/>
  <c r="L23" i="8"/>
  <c r="L39" i="8"/>
  <c r="R39" i="8" s="1"/>
  <c r="L65" i="8"/>
  <c r="R65" i="8" s="1"/>
  <c r="L41" i="8"/>
  <c r="R41" i="8" s="1"/>
  <c r="L78" i="8"/>
  <c r="R78" i="8" s="1"/>
  <c r="L29" i="8"/>
  <c r="R29" i="8" s="1"/>
  <c r="L120" i="8"/>
  <c r="R120" i="8" s="1"/>
  <c r="L95" i="8"/>
  <c r="R95" i="8" s="1"/>
  <c r="L62" i="8"/>
  <c r="R62" i="8" s="1"/>
  <c r="L179" i="8"/>
  <c r="R179" i="8" s="1"/>
  <c r="L168" i="8"/>
  <c r="R168" i="8" s="1"/>
  <c r="L133" i="8"/>
  <c r="R133" i="8" s="1"/>
  <c r="L169" i="8"/>
  <c r="R169" i="8" s="1"/>
  <c r="L146" i="8"/>
  <c r="R146" i="8" s="1"/>
  <c r="L130" i="8"/>
  <c r="R130" i="8" s="1"/>
  <c r="L128" i="8"/>
  <c r="R128" i="8" s="1"/>
  <c r="L143" i="8"/>
  <c r="R143" i="8" s="1"/>
  <c r="L115" i="8"/>
  <c r="R115" i="8" s="1"/>
  <c r="L140" i="8"/>
  <c r="R140" i="8" s="1"/>
  <c r="L131" i="8"/>
  <c r="R131" i="8" s="1"/>
  <c r="L67" i="8"/>
  <c r="R67" i="8" s="1"/>
  <c r="L80" i="8"/>
  <c r="R80" i="8" s="1"/>
  <c r="L47" i="8"/>
  <c r="R47" i="8" s="1"/>
  <c r="L33" i="8"/>
  <c r="R33" i="8" s="1"/>
  <c r="L7" i="8"/>
  <c r="R7" i="8" s="1"/>
  <c r="L149" i="8"/>
  <c r="R149" i="8" s="1"/>
  <c r="L159" i="8"/>
  <c r="R159" i="8" s="1"/>
  <c r="L85" i="8"/>
  <c r="R85" i="8" s="1"/>
  <c r="L148" i="8"/>
  <c r="R148" i="8" s="1"/>
  <c r="L123" i="8"/>
  <c r="R123" i="8" s="1"/>
  <c r="L89" i="8"/>
  <c r="R89" i="8" s="1"/>
  <c r="L71" i="8"/>
  <c r="R71" i="8" s="1"/>
  <c r="L61" i="8"/>
  <c r="R61" i="8" s="1"/>
  <c r="L108" i="8"/>
  <c r="R108" i="8" s="1"/>
  <c r="L49" i="8"/>
  <c r="R49" i="8" s="1"/>
  <c r="L40" i="8"/>
  <c r="R40" i="8" s="1"/>
  <c r="L22" i="8"/>
  <c r="R22" i="8" s="1"/>
  <c r="L8" i="8"/>
  <c r="L141" i="8"/>
  <c r="R141" i="8" s="1"/>
  <c r="L180" i="8"/>
  <c r="R180" i="8" s="1"/>
  <c r="L190" i="8"/>
  <c r="R190" i="8" s="1"/>
  <c r="L198" i="8"/>
  <c r="R198" i="8" s="1"/>
  <c r="L194" i="8"/>
  <c r="R194" i="8" s="1"/>
  <c r="L184" i="8"/>
  <c r="R184" i="8" s="1"/>
  <c r="L147" i="8"/>
  <c r="R147" i="8" s="1"/>
  <c r="L178" i="8"/>
  <c r="R178" i="8" s="1"/>
  <c r="L170" i="8"/>
  <c r="R170" i="8" s="1"/>
  <c r="L112" i="8"/>
  <c r="R112" i="8" s="1"/>
  <c r="L153" i="8"/>
  <c r="R153" i="8" s="1"/>
  <c r="L109" i="8"/>
  <c r="R109" i="8" s="1"/>
  <c r="L94" i="8"/>
  <c r="R94" i="8" s="1"/>
  <c r="L32" i="8"/>
  <c r="R32" i="8" s="1"/>
  <c r="L117" i="8"/>
  <c r="R117" i="8" s="1"/>
  <c r="L118" i="8"/>
  <c r="R118" i="8" s="1"/>
  <c r="L86" i="8"/>
  <c r="R86" i="8" s="1"/>
  <c r="L93" i="8"/>
  <c r="R93" i="8" s="1"/>
  <c r="L38" i="8"/>
  <c r="R38" i="8" s="1"/>
  <c r="L25" i="8"/>
  <c r="R25" i="8" s="1"/>
  <c r="L34" i="8"/>
  <c r="R34" i="8" s="1"/>
  <c r="L43" i="8"/>
  <c r="R43" i="8" s="1"/>
  <c r="L154" i="8"/>
  <c r="R154" i="8" s="1"/>
  <c r="L92" i="8"/>
  <c r="R92" i="8" s="1"/>
  <c r="L56" i="8"/>
  <c r="R56" i="8" s="1"/>
  <c r="L152" i="8"/>
  <c r="R152" i="8" s="1"/>
  <c r="L158" i="8"/>
  <c r="R158" i="8" s="1"/>
  <c r="L167" i="8"/>
  <c r="R167" i="8" s="1"/>
  <c r="L144" i="8"/>
  <c r="R144" i="8" s="1"/>
  <c r="L124" i="8"/>
  <c r="R124" i="8" s="1"/>
  <c r="L125" i="8"/>
  <c r="R125" i="8" s="1"/>
  <c r="L156" i="8"/>
  <c r="R156" i="8" s="1"/>
  <c r="L104" i="8"/>
  <c r="R104" i="8" s="1"/>
  <c r="L99" i="8"/>
  <c r="R99" i="8" s="1"/>
  <c r="L137" i="8"/>
  <c r="R137" i="8" s="1"/>
  <c r="L119" i="8"/>
  <c r="R119" i="8" s="1"/>
  <c r="L74" i="8"/>
  <c r="R74" i="8" s="1"/>
  <c r="L36" i="8"/>
  <c r="R36" i="8" s="1"/>
  <c r="L58" i="8"/>
  <c r="R58" i="8" s="1"/>
  <c r="L53" i="8"/>
  <c r="R53" i="8" s="1"/>
  <c r="L35" i="8"/>
  <c r="R35" i="8" s="1"/>
  <c r="L50" i="8"/>
  <c r="R50" i="8" s="1"/>
  <c r="L31" i="8"/>
  <c r="R31" i="8" s="1"/>
  <c r="L16" i="8"/>
  <c r="R16" i="8" s="1"/>
  <c r="L17" i="8"/>
  <c r="R17" i="8" s="1"/>
  <c r="L6" i="8"/>
  <c r="L100" i="8"/>
  <c r="R100" i="8" s="1"/>
  <c r="L191" i="8"/>
  <c r="R191" i="8" s="1"/>
  <c r="L193" i="8"/>
  <c r="R193" i="8" s="1"/>
  <c r="L174" i="8"/>
  <c r="R174" i="8" s="1"/>
  <c r="L171" i="8"/>
  <c r="R171" i="8" s="1"/>
  <c r="L162" i="8"/>
  <c r="R162" i="8" s="1"/>
  <c r="L121" i="8"/>
  <c r="R121" i="8" s="1"/>
  <c r="L163" i="8"/>
  <c r="R163" i="8" s="1"/>
  <c r="L127" i="8"/>
  <c r="R127" i="8" s="1"/>
  <c r="L142" i="8"/>
  <c r="R142" i="8" s="1"/>
  <c r="L76" i="8"/>
  <c r="R76" i="8" s="1"/>
  <c r="L91" i="8"/>
  <c r="R91" i="8" s="1"/>
  <c r="L82" i="8"/>
  <c r="R82" i="8" s="1"/>
  <c r="L66" i="8"/>
  <c r="R66" i="8" s="1"/>
  <c r="L68" i="8"/>
  <c r="R68" i="8" s="1"/>
  <c r="L20" i="8"/>
  <c r="L44" i="8"/>
  <c r="R44" i="8" s="1"/>
  <c r="L18" i="8"/>
  <c r="R18" i="8" s="1"/>
  <c r="L69" i="8"/>
  <c r="R69" i="8" s="1"/>
  <c r="L11" i="8"/>
  <c r="R11" i="8" s="1"/>
  <c r="L189" i="8"/>
  <c r="R189" i="8" s="1"/>
  <c r="L183" i="8"/>
  <c r="R183" i="8" s="1"/>
  <c r="L196" i="8"/>
  <c r="R196" i="8" s="1"/>
  <c r="L145" i="8"/>
  <c r="R145" i="8" s="1"/>
  <c r="L161" i="8"/>
  <c r="R161" i="8" s="1"/>
  <c r="L176" i="8"/>
  <c r="R176" i="8" s="1"/>
  <c r="L165" i="8"/>
  <c r="R165" i="8" s="1"/>
  <c r="L173" i="8"/>
  <c r="L136" i="8"/>
  <c r="R136" i="8" s="1"/>
  <c r="L126" i="8"/>
  <c r="R126" i="8" s="1"/>
  <c r="L73" i="8"/>
  <c r="R73" i="8" s="1"/>
  <c r="L113" i="8"/>
  <c r="R113" i="8" s="1"/>
  <c r="L79" i="8"/>
  <c r="R79" i="8" s="1"/>
  <c r="L106" i="8"/>
  <c r="R106" i="8" s="1"/>
  <c r="L63" i="8"/>
  <c r="R63" i="8" s="1"/>
  <c r="L57" i="8"/>
  <c r="R57" i="8" s="1"/>
  <c r="L45" i="8"/>
  <c r="R45" i="8" s="1"/>
  <c r="L46" i="8"/>
  <c r="R46" i="8" s="1"/>
  <c r="L10" i="8"/>
  <c r="R10" i="8" s="1"/>
  <c r="I184" i="8"/>
  <c r="I19" i="8"/>
  <c r="I39" i="8"/>
  <c r="I17" i="8"/>
  <c r="G6" i="8"/>
  <c r="I195" i="8"/>
  <c r="G36" i="8"/>
  <c r="H36" i="8" s="1"/>
  <c r="G26" i="8"/>
  <c r="H26" i="8" s="1"/>
  <c r="G14" i="8"/>
  <c r="H14" i="8" s="1"/>
  <c r="I163" i="8"/>
  <c r="I161" i="8"/>
  <c r="I144" i="8"/>
  <c r="I175" i="8"/>
  <c r="I131" i="8"/>
  <c r="I93" i="8"/>
  <c r="I122" i="8"/>
  <c r="I172" i="8"/>
  <c r="I102" i="8"/>
  <c r="I98" i="8"/>
  <c r="I73" i="8"/>
  <c r="I76" i="8"/>
  <c r="I66" i="8"/>
  <c r="I59" i="8"/>
  <c r="I35" i="8"/>
  <c r="I33" i="8"/>
  <c r="I183" i="8"/>
  <c r="G19" i="8"/>
  <c r="H19" i="8" s="1"/>
  <c r="G39" i="8"/>
  <c r="H39" i="8" s="1"/>
  <c r="G17" i="8"/>
  <c r="H17" i="8" s="1"/>
  <c r="I70" i="8"/>
  <c r="I171" i="8"/>
  <c r="I139" i="8"/>
  <c r="I83" i="8"/>
  <c r="I97" i="8"/>
  <c r="I108" i="8"/>
  <c r="I82" i="8"/>
  <c r="I71" i="8"/>
  <c r="I50" i="8"/>
  <c r="I57" i="8"/>
  <c r="I45" i="8"/>
  <c r="I46" i="8"/>
  <c r="I69" i="8"/>
  <c r="I21" i="8"/>
  <c r="I10" i="8"/>
  <c r="I167" i="8"/>
  <c r="I137" i="8"/>
  <c r="I87" i="8"/>
  <c r="G167" i="8"/>
  <c r="H167" i="8" s="1"/>
  <c r="G171" i="8"/>
  <c r="H171" i="8" s="1"/>
  <c r="G156" i="8"/>
  <c r="H156" i="8" s="1"/>
  <c r="G137" i="8"/>
  <c r="H137" i="8" s="1"/>
  <c r="I112" i="8"/>
  <c r="I192" i="8"/>
  <c r="I179" i="8"/>
  <c r="I170" i="8"/>
  <c r="I160" i="8"/>
  <c r="I197" i="8"/>
  <c r="I186" i="8"/>
  <c r="I189" i="8"/>
  <c r="I177" i="8"/>
  <c r="I94" i="8"/>
  <c r="I22" i="8"/>
  <c r="I36" i="8"/>
  <c r="I26" i="8"/>
  <c r="I14" i="8"/>
  <c r="I15" i="8"/>
  <c r="I156" i="8"/>
  <c r="G197" i="8"/>
  <c r="H197" i="8" s="1"/>
  <c r="G186" i="8"/>
  <c r="H186" i="8" s="1"/>
  <c r="G189" i="8"/>
  <c r="H189" i="8" s="1"/>
  <c r="G177" i="8"/>
  <c r="H177" i="8" s="1"/>
  <c r="G106" i="8"/>
  <c r="H106" i="8" s="1"/>
  <c r="G169" i="8"/>
  <c r="H169" i="8" s="1"/>
  <c r="G118" i="8"/>
  <c r="H118" i="8" s="1"/>
  <c r="G111" i="8"/>
  <c r="H111" i="8" s="1"/>
  <c r="G140" i="8"/>
  <c r="H140" i="8" s="1"/>
  <c r="G130" i="8"/>
  <c r="H130" i="8" s="1"/>
  <c r="G126" i="8"/>
  <c r="H126" i="8" s="1"/>
  <c r="G91" i="8"/>
  <c r="H91" i="8" s="1"/>
  <c r="G153" i="8"/>
  <c r="H153" i="8" s="1"/>
  <c r="G123" i="8"/>
  <c r="H123" i="8" s="1"/>
  <c r="G90" i="8"/>
  <c r="H90" i="8" s="1"/>
  <c r="G94" i="8"/>
  <c r="H94" i="8" s="1"/>
  <c r="G196" i="8"/>
  <c r="H196" i="8" s="1"/>
  <c r="G125" i="8"/>
  <c r="H125" i="8" s="1"/>
  <c r="G174" i="8"/>
  <c r="H174" i="8" s="1"/>
  <c r="G119" i="8"/>
  <c r="H119" i="8" s="1"/>
  <c r="G163" i="8"/>
  <c r="H163" i="8" s="1"/>
  <c r="G161" i="8"/>
  <c r="H161" i="8" s="1"/>
  <c r="G144" i="8"/>
  <c r="H144" i="8" s="1"/>
  <c r="G175" i="8"/>
  <c r="H175" i="8" s="1"/>
  <c r="G131" i="8"/>
  <c r="H131" i="8" s="1"/>
  <c r="G93" i="8"/>
  <c r="H93" i="8" s="1"/>
  <c r="G122" i="8"/>
  <c r="H122" i="8" s="1"/>
  <c r="G172" i="8"/>
  <c r="H172" i="8" s="1"/>
  <c r="G102" i="8"/>
  <c r="H102" i="8" s="1"/>
  <c r="G98" i="8"/>
  <c r="H98" i="8" s="1"/>
  <c r="G73" i="8"/>
  <c r="H73" i="8" s="1"/>
  <c r="G76" i="8"/>
  <c r="H76" i="8" s="1"/>
  <c r="G66" i="8"/>
  <c r="H66" i="8" s="1"/>
  <c r="G59" i="8"/>
  <c r="H59" i="8" s="1"/>
  <c r="G35" i="8"/>
  <c r="H35" i="8" s="1"/>
  <c r="G33" i="8"/>
  <c r="H33" i="8" s="1"/>
  <c r="I173" i="8"/>
  <c r="I6" i="8"/>
  <c r="G195" i="8"/>
  <c r="H195" i="8" s="1"/>
  <c r="G184" i="8"/>
  <c r="H184" i="8" s="1"/>
  <c r="G173" i="8"/>
  <c r="G183" i="8"/>
  <c r="H183" i="8" s="1"/>
  <c r="G112" i="8"/>
  <c r="H112" i="8" s="1"/>
  <c r="G139" i="8"/>
  <c r="H139" i="8" s="1"/>
  <c r="G83" i="8"/>
  <c r="H83" i="8" s="1"/>
  <c r="G87" i="8"/>
  <c r="H87" i="8" s="1"/>
  <c r="G97" i="8"/>
  <c r="H97" i="8" s="1"/>
  <c r="G108" i="8"/>
  <c r="H108" i="8" s="1"/>
  <c r="G82" i="8"/>
  <c r="H82" i="8" s="1"/>
  <c r="G71" i="8"/>
  <c r="H71" i="8" s="1"/>
  <c r="G50" i="8"/>
  <c r="H50" i="8" s="1"/>
  <c r="G57" i="8"/>
  <c r="H57" i="8" s="1"/>
  <c r="G45" i="8"/>
  <c r="H45" i="8" s="1"/>
  <c r="G46" i="8"/>
  <c r="H46" i="8" s="1"/>
  <c r="G69" i="8"/>
  <c r="H69" i="8" s="1"/>
  <c r="G21" i="8"/>
  <c r="H21" i="8" s="1"/>
  <c r="G10" i="8"/>
  <c r="H10" i="8" s="1"/>
  <c r="I196" i="8"/>
  <c r="I125" i="8"/>
  <c r="I174" i="8"/>
  <c r="I119" i="8"/>
  <c r="I106" i="8"/>
  <c r="I169" i="8"/>
  <c r="I118" i="8"/>
  <c r="I111" i="8"/>
  <c r="I140" i="8"/>
  <c r="I130" i="8"/>
  <c r="I126" i="8"/>
  <c r="I91" i="8"/>
  <c r="I153" i="8"/>
  <c r="I123" i="8"/>
  <c r="I90" i="8"/>
  <c r="G70" i="8"/>
  <c r="H70" i="8" s="1"/>
  <c r="G22" i="8"/>
  <c r="H22" i="8" s="1"/>
  <c r="G15" i="8"/>
  <c r="H15" i="8" s="1"/>
  <c r="I200" i="8"/>
  <c r="I190" i="8"/>
  <c r="I141" i="8"/>
  <c r="I132" i="8"/>
  <c r="I164" i="8"/>
  <c r="I155" i="8"/>
  <c r="I152" i="8"/>
  <c r="I145" i="8"/>
  <c r="I84" i="8"/>
  <c r="I114" i="8"/>
  <c r="I127" i="8"/>
  <c r="I86" i="8"/>
  <c r="I72" i="8"/>
  <c r="I27" i="8"/>
  <c r="I67" i="8"/>
  <c r="I48" i="8"/>
  <c r="I52" i="8"/>
  <c r="I7" i="8"/>
  <c r="G200" i="8"/>
  <c r="H200" i="8" s="1"/>
  <c r="G190" i="8"/>
  <c r="H190" i="8" s="1"/>
  <c r="G141" i="8"/>
  <c r="H141" i="8" s="1"/>
  <c r="G132" i="8"/>
  <c r="H132" i="8" s="1"/>
  <c r="G164" i="8"/>
  <c r="H164" i="8" s="1"/>
  <c r="G155" i="8"/>
  <c r="H155" i="8" s="1"/>
  <c r="G152" i="8"/>
  <c r="H152" i="8" s="1"/>
  <c r="G145" i="8"/>
  <c r="H145" i="8" s="1"/>
  <c r="G84" i="8"/>
  <c r="H84" i="8" s="1"/>
  <c r="G114" i="8"/>
  <c r="H114" i="8" s="1"/>
  <c r="G127" i="8"/>
  <c r="H127" i="8" s="1"/>
  <c r="G86" i="8"/>
  <c r="H86" i="8" s="1"/>
  <c r="G72" i="8"/>
  <c r="H72" i="8" s="1"/>
  <c r="G27" i="8"/>
  <c r="H27" i="8" s="1"/>
  <c r="G67" i="8"/>
  <c r="H67" i="8" s="1"/>
  <c r="G48" i="8"/>
  <c r="H48" i="8" s="1"/>
  <c r="G52" i="8"/>
  <c r="H52" i="8" s="1"/>
  <c r="G7" i="8"/>
  <c r="H7" i="8" s="1"/>
  <c r="I191" i="8"/>
  <c r="I181" i="8"/>
  <c r="I185" i="8"/>
  <c r="I180" i="8"/>
  <c r="I158" i="8"/>
  <c r="I148" i="8"/>
  <c r="I159" i="8"/>
  <c r="I149" i="8"/>
  <c r="I95" i="8"/>
  <c r="I147" i="8"/>
  <c r="I89" i="8"/>
  <c r="I121" i="8"/>
  <c r="I92" i="8"/>
  <c r="I133" i="8"/>
  <c r="I75" i="8"/>
  <c r="I78" i="8"/>
  <c r="I65" i="8"/>
  <c r="I44" i="8"/>
  <c r="I43" i="8"/>
  <c r="I41" i="8"/>
  <c r="I38" i="8"/>
  <c r="I32" i="8"/>
  <c r="G191" i="8"/>
  <c r="H191" i="8" s="1"/>
  <c r="G181" i="8"/>
  <c r="H181" i="8" s="1"/>
  <c r="G185" i="8"/>
  <c r="H185" i="8" s="1"/>
  <c r="G180" i="8"/>
  <c r="H180" i="8" s="1"/>
  <c r="G158" i="8"/>
  <c r="H158" i="8" s="1"/>
  <c r="G148" i="8"/>
  <c r="H148" i="8" s="1"/>
  <c r="G159" i="8"/>
  <c r="H159" i="8" s="1"/>
  <c r="G149" i="8"/>
  <c r="H149" i="8" s="1"/>
  <c r="G95" i="8"/>
  <c r="H95" i="8" s="1"/>
  <c r="G147" i="8"/>
  <c r="H147" i="8" s="1"/>
  <c r="G89" i="8"/>
  <c r="H89" i="8" s="1"/>
  <c r="G121" i="8"/>
  <c r="H121" i="8" s="1"/>
  <c r="G92" i="8"/>
  <c r="H92" i="8" s="1"/>
  <c r="G133" i="8"/>
  <c r="H133" i="8" s="1"/>
  <c r="G75" i="8"/>
  <c r="H75" i="8" s="1"/>
  <c r="G78" i="8"/>
  <c r="H78" i="8" s="1"/>
  <c r="G65" i="8"/>
  <c r="H65" i="8" s="1"/>
  <c r="G44" i="8"/>
  <c r="H44" i="8" s="1"/>
  <c r="G43" i="8"/>
  <c r="H43" i="8" s="1"/>
  <c r="G41" i="8"/>
  <c r="H41" i="8" s="1"/>
  <c r="G38" i="8"/>
  <c r="H38" i="8" s="1"/>
  <c r="G32" i="8"/>
  <c r="H32" i="8" s="1"/>
  <c r="I194" i="8"/>
  <c r="I193" i="8"/>
  <c r="I182" i="8"/>
  <c r="I176" i="8"/>
  <c r="I110" i="8"/>
  <c r="I143" i="8"/>
  <c r="I142" i="8"/>
  <c r="I109" i="8"/>
  <c r="I85" i="8"/>
  <c r="I113" i="8"/>
  <c r="I100" i="8"/>
  <c r="I120" i="8"/>
  <c r="I99" i="8"/>
  <c r="I37" i="8"/>
  <c r="I68" i="8"/>
  <c r="I74" i="8"/>
  <c r="I34" i="8"/>
  <c r="I62" i="8"/>
  <c r="I29" i="8"/>
  <c r="I56" i="8"/>
  <c r="I31" i="8"/>
  <c r="I16" i="8"/>
  <c r="I11" i="8"/>
  <c r="G194" i="8"/>
  <c r="H194" i="8" s="1"/>
  <c r="G193" i="8"/>
  <c r="H193" i="8" s="1"/>
  <c r="G182" i="8"/>
  <c r="H182" i="8" s="1"/>
  <c r="G176" i="8"/>
  <c r="H176" i="8" s="1"/>
  <c r="G110" i="8"/>
  <c r="H110" i="8" s="1"/>
  <c r="G143" i="8"/>
  <c r="H143" i="8" s="1"/>
  <c r="G142" i="8"/>
  <c r="H142" i="8" s="1"/>
  <c r="G109" i="8"/>
  <c r="H109" i="8" s="1"/>
  <c r="G85" i="8"/>
  <c r="H85" i="8" s="1"/>
  <c r="G113" i="8"/>
  <c r="H113" i="8" s="1"/>
  <c r="G100" i="8"/>
  <c r="H100" i="8" s="1"/>
  <c r="G120" i="8"/>
  <c r="H120" i="8" s="1"/>
  <c r="G99" i="8"/>
  <c r="H99" i="8" s="1"/>
  <c r="G37" i="8"/>
  <c r="H37" i="8" s="1"/>
  <c r="G68" i="8"/>
  <c r="H68" i="8" s="1"/>
  <c r="G74" i="8"/>
  <c r="H74" i="8" s="1"/>
  <c r="G34" i="8"/>
  <c r="H34" i="8" s="1"/>
  <c r="G62" i="8"/>
  <c r="H62" i="8" s="1"/>
  <c r="G29" i="8"/>
  <c r="H29" i="8" s="1"/>
  <c r="G56" i="8"/>
  <c r="H56" i="8" s="1"/>
  <c r="G31" i="8"/>
  <c r="H31" i="8" s="1"/>
  <c r="G16" i="8"/>
  <c r="H16" i="8" s="1"/>
  <c r="G11" i="8"/>
  <c r="H11" i="8" s="1"/>
  <c r="I198" i="8"/>
  <c r="I188" i="8"/>
  <c r="I187" i="8"/>
  <c r="I168" i="8"/>
  <c r="I134" i="8"/>
  <c r="I165" i="8"/>
  <c r="I162" i="8"/>
  <c r="I138" i="8"/>
  <c r="I151" i="8"/>
  <c r="I103" i="8"/>
  <c r="I146" i="8"/>
  <c r="I124" i="8"/>
  <c r="I115" i="8"/>
  <c r="I105" i="8"/>
  <c r="I79" i="8"/>
  <c r="I49" i="8"/>
  <c r="I63" i="8"/>
  <c r="I64" i="8"/>
  <c r="I53" i="8"/>
  <c r="I24" i="8"/>
  <c r="I42" i="8"/>
  <c r="I20" i="8"/>
  <c r="I23" i="8"/>
  <c r="I8" i="8"/>
  <c r="G198" i="8"/>
  <c r="H198" i="8" s="1"/>
  <c r="G188" i="8"/>
  <c r="H188" i="8" s="1"/>
  <c r="G187" i="8"/>
  <c r="H187" i="8" s="1"/>
  <c r="G168" i="8"/>
  <c r="H168" i="8" s="1"/>
  <c r="G134" i="8"/>
  <c r="H134" i="8" s="1"/>
  <c r="G165" i="8"/>
  <c r="H165" i="8" s="1"/>
  <c r="G162" i="8"/>
  <c r="H162" i="8" s="1"/>
  <c r="G138" i="8"/>
  <c r="H138" i="8" s="1"/>
  <c r="G151" i="8"/>
  <c r="H151" i="8" s="1"/>
  <c r="G103" i="8"/>
  <c r="H103" i="8" s="1"/>
  <c r="G146" i="8"/>
  <c r="H146" i="8" s="1"/>
  <c r="G124" i="8"/>
  <c r="H124" i="8" s="1"/>
  <c r="G115" i="8"/>
  <c r="H115" i="8" s="1"/>
  <c r="G105" i="8"/>
  <c r="H105" i="8" s="1"/>
  <c r="G79" i="8"/>
  <c r="H79" i="8" s="1"/>
  <c r="G49" i="8"/>
  <c r="H49" i="8" s="1"/>
  <c r="G63" i="8"/>
  <c r="H63" i="8" s="1"/>
  <c r="G64" i="8"/>
  <c r="H64" i="8" s="1"/>
  <c r="G53" i="8"/>
  <c r="H53" i="8" s="1"/>
  <c r="G24" i="8"/>
  <c r="H24" i="8" s="1"/>
  <c r="G42" i="8"/>
  <c r="H42" i="8" s="1"/>
  <c r="G8" i="8"/>
  <c r="I9" i="8"/>
  <c r="G192" i="8"/>
  <c r="H192" i="8" s="1"/>
  <c r="G179" i="8"/>
  <c r="H179" i="8" s="1"/>
  <c r="G170" i="8"/>
  <c r="H170" i="8" s="1"/>
  <c r="G160" i="8"/>
  <c r="H160" i="8" s="1"/>
  <c r="G178" i="8"/>
  <c r="H178" i="8" s="1"/>
  <c r="G135" i="8"/>
  <c r="H135" i="8" s="1"/>
  <c r="G154" i="8"/>
  <c r="H154" i="8" s="1"/>
  <c r="G136" i="8"/>
  <c r="H136" i="8" s="1"/>
  <c r="G128" i="8"/>
  <c r="H128" i="8" s="1"/>
  <c r="G96" i="8"/>
  <c r="H96" i="8" s="1"/>
  <c r="G116" i="8"/>
  <c r="H116" i="8" s="1"/>
  <c r="G104" i="8"/>
  <c r="H104" i="8" s="1"/>
  <c r="G107" i="8"/>
  <c r="H107" i="8" s="1"/>
  <c r="G117" i="8"/>
  <c r="H117" i="8" s="1"/>
  <c r="G80" i="8"/>
  <c r="H80" i="8" s="1"/>
  <c r="G81" i="8"/>
  <c r="H81" i="8" s="1"/>
  <c r="G51" i="8"/>
  <c r="H51" i="8" s="1"/>
  <c r="G58" i="8"/>
  <c r="H58" i="8" s="1"/>
  <c r="G61" i="8"/>
  <c r="H61" i="8" s="1"/>
  <c r="G47" i="8"/>
  <c r="H47" i="8" s="1"/>
  <c r="G40" i="8"/>
  <c r="H40" i="8" s="1"/>
  <c r="G25" i="8"/>
  <c r="H25" i="8" s="1"/>
  <c r="G18" i="8"/>
  <c r="H18" i="8" s="1"/>
  <c r="G9" i="8"/>
  <c r="H9" i="8" s="1"/>
  <c r="K204" i="8" l="1"/>
  <c r="AA204" i="8"/>
  <c r="S204" i="8"/>
  <c r="P204" i="8"/>
  <c r="W6" i="8"/>
  <c r="R6" i="8"/>
  <c r="H6" i="8"/>
  <c r="N204" i="8"/>
  <c r="AB204" i="8"/>
  <c r="F204" i="8"/>
  <c r="I204" i="8"/>
  <c r="N2" i="8"/>
  <c r="R8" i="8"/>
  <c r="L2" i="8"/>
  <c r="Q2" i="8"/>
  <c r="H8" i="8"/>
  <c r="G204" i="8" s="1"/>
  <c r="G2" i="8"/>
  <c r="S2" i="8"/>
  <c r="I2" i="8"/>
  <c r="H173" i="8"/>
  <c r="W173" i="8"/>
  <c r="W2" i="8" s="1"/>
  <c r="R173" i="8"/>
  <c r="M23" i="8"/>
  <c r="M20" i="8"/>
  <c r="R23" i="8"/>
  <c r="R20" i="8"/>
  <c r="M6" i="8"/>
  <c r="M73" i="8"/>
  <c r="M102" i="8"/>
  <c r="M182" i="8"/>
  <c r="M22" i="8"/>
  <c r="M90" i="8"/>
  <c r="M35" i="8"/>
  <c r="M80" i="8"/>
  <c r="M92" i="8"/>
  <c r="M174" i="8"/>
  <c r="M34" i="8"/>
  <c r="M139" i="8"/>
  <c r="M191" i="8"/>
  <c r="M119" i="8"/>
  <c r="M137" i="8"/>
  <c r="M151" i="8"/>
  <c r="M163" i="8"/>
  <c r="M97" i="8"/>
  <c r="M121" i="8"/>
  <c r="M15" i="8"/>
  <c r="M162" i="8"/>
  <c r="M155" i="8"/>
  <c r="M164" i="8"/>
  <c r="M111" i="8"/>
  <c r="M178" i="8"/>
  <c r="M57" i="8"/>
  <c r="M42" i="8"/>
  <c r="M36" i="8"/>
  <c r="M106" i="8"/>
  <c r="M116" i="8"/>
  <c r="M192" i="8"/>
  <c r="M45" i="8"/>
  <c r="M167" i="8"/>
  <c r="M127" i="8"/>
  <c r="M50" i="8"/>
  <c r="M170" i="8"/>
  <c r="M172" i="8"/>
  <c r="M154" i="8"/>
  <c r="M122" i="8"/>
  <c r="M48" i="8"/>
  <c r="M63" i="8"/>
  <c r="M96" i="8"/>
  <c r="M27" i="8"/>
  <c r="M147" i="8"/>
  <c r="M47" i="8"/>
  <c r="M195" i="8"/>
  <c r="M160" i="8"/>
  <c r="M83" i="8"/>
  <c r="M53" i="8"/>
  <c r="M115" i="8"/>
  <c r="M194" i="8"/>
  <c r="M100" i="8"/>
  <c r="M168" i="8"/>
  <c r="M187" i="8"/>
  <c r="M124" i="8"/>
  <c r="M58" i="8"/>
  <c r="M133" i="8"/>
  <c r="M43" i="8"/>
  <c r="M198" i="8"/>
  <c r="M8" i="8"/>
  <c r="M135" i="8"/>
  <c r="M149" i="8"/>
  <c r="M79" i="8"/>
  <c r="M11" i="8"/>
  <c r="M152" i="8"/>
  <c r="M25" i="8"/>
  <c r="M33" i="8"/>
  <c r="M40" i="8"/>
  <c r="M98" i="8"/>
  <c r="M159" i="8"/>
  <c r="M62" i="8"/>
  <c r="M188" i="8"/>
  <c r="M161" i="8"/>
  <c r="M113" i="8"/>
  <c r="M69" i="8"/>
  <c r="M130" i="8"/>
  <c r="M74" i="8"/>
  <c r="M38" i="8"/>
  <c r="M143" i="8"/>
  <c r="M49" i="8"/>
  <c r="M19" i="8"/>
  <c r="M21" i="8"/>
  <c r="M186" i="8"/>
  <c r="M52" i="8"/>
  <c r="M183" i="8"/>
  <c r="M126" i="8"/>
  <c r="M76" i="8"/>
  <c r="M18" i="8"/>
  <c r="M26" i="8"/>
  <c r="M93" i="8"/>
  <c r="M169" i="8"/>
  <c r="M108" i="8"/>
  <c r="M14" i="8"/>
  <c r="M177" i="8"/>
  <c r="M95" i="8"/>
  <c r="M175" i="8"/>
  <c r="M181" i="8"/>
  <c r="M136" i="8"/>
  <c r="M171" i="8"/>
  <c r="M44" i="8"/>
  <c r="M99" i="8"/>
  <c r="M86" i="8"/>
  <c r="M71" i="8"/>
  <c r="M9" i="8"/>
  <c r="M180" i="8"/>
  <c r="M138" i="8"/>
  <c r="M185" i="8"/>
  <c r="M67" i="8"/>
  <c r="M173" i="8"/>
  <c r="M193" i="8"/>
  <c r="M68" i="8"/>
  <c r="M104" i="8"/>
  <c r="M32" i="8"/>
  <c r="M118" i="8"/>
  <c r="M89" i="8"/>
  <c r="M51" i="8"/>
  <c r="M197" i="8"/>
  <c r="M105" i="8"/>
  <c r="M41" i="8"/>
  <c r="M165" i="8"/>
  <c r="M158" i="8"/>
  <c r="M156" i="8"/>
  <c r="M184" i="8"/>
  <c r="M117" i="8"/>
  <c r="M123" i="8"/>
  <c r="M64" i="8"/>
  <c r="M190" i="8"/>
  <c r="M59" i="8"/>
  <c r="M65" i="8"/>
  <c r="M39" i="8"/>
  <c r="M24" i="8"/>
  <c r="M176" i="8"/>
  <c r="M81" i="8"/>
  <c r="M66" i="8"/>
  <c r="M140" i="8"/>
  <c r="M114" i="8"/>
  <c r="M125" i="8"/>
  <c r="M94" i="8"/>
  <c r="M70" i="8"/>
  <c r="M29" i="8"/>
  <c r="M87" i="8"/>
  <c r="M78" i="8"/>
  <c r="M141" i="8"/>
  <c r="M107" i="8"/>
  <c r="M145" i="8"/>
  <c r="M82" i="8"/>
  <c r="M179" i="8"/>
  <c r="M17" i="8"/>
  <c r="M144" i="8"/>
  <c r="M131" i="8"/>
  <c r="M109" i="8"/>
  <c r="M72" i="8"/>
  <c r="M37" i="8"/>
  <c r="M75" i="8"/>
  <c r="M10" i="8"/>
  <c r="M196" i="8"/>
  <c r="M91" i="8"/>
  <c r="M16" i="8"/>
  <c r="M128" i="8"/>
  <c r="M153" i="8"/>
  <c r="M61" i="8"/>
  <c r="M148" i="8"/>
  <c r="M134" i="8"/>
  <c r="M110" i="8"/>
  <c r="M120" i="8"/>
  <c r="M132" i="8"/>
  <c r="M46" i="8"/>
  <c r="M189" i="8"/>
  <c r="M7" i="8"/>
  <c r="M142" i="8"/>
  <c r="M31" i="8"/>
  <c r="M146" i="8"/>
  <c r="M112" i="8"/>
  <c r="M56" i="8"/>
  <c r="M85" i="8"/>
  <c r="M84" i="8"/>
  <c r="M103" i="8"/>
  <c r="S83" i="5"/>
  <c r="T112" i="5"/>
  <c r="R4" i="5"/>
  <c r="S4" i="5"/>
  <c r="T4" i="5"/>
  <c r="R5" i="5"/>
  <c r="S5" i="5"/>
  <c r="T5" i="5"/>
  <c r="R6" i="5"/>
  <c r="S6" i="5"/>
  <c r="T6" i="5"/>
  <c r="R7" i="5"/>
  <c r="S7" i="5"/>
  <c r="T7" i="5"/>
  <c r="R8" i="5"/>
  <c r="S8" i="5"/>
  <c r="T8" i="5"/>
  <c r="R9" i="5"/>
  <c r="S9" i="5"/>
  <c r="T9" i="5"/>
  <c r="R10" i="5"/>
  <c r="S10" i="5"/>
  <c r="T10" i="5"/>
  <c r="R11" i="5"/>
  <c r="S11" i="5"/>
  <c r="T11" i="5"/>
  <c r="R12" i="5"/>
  <c r="S12" i="5"/>
  <c r="T12" i="5"/>
  <c r="R13" i="5"/>
  <c r="S13" i="5"/>
  <c r="T13" i="5"/>
  <c r="R14" i="5"/>
  <c r="S14" i="5"/>
  <c r="T14" i="5"/>
  <c r="R15" i="5"/>
  <c r="S15" i="5"/>
  <c r="T15" i="5"/>
  <c r="R17" i="5"/>
  <c r="S17" i="5"/>
  <c r="T17" i="5"/>
  <c r="R18" i="5"/>
  <c r="S18" i="5"/>
  <c r="T18" i="5"/>
  <c r="R16" i="5"/>
  <c r="S16" i="5"/>
  <c r="T16" i="5"/>
  <c r="R19" i="5"/>
  <c r="S19" i="5"/>
  <c r="T19" i="5"/>
  <c r="R20" i="5"/>
  <c r="S20" i="5"/>
  <c r="T20" i="5"/>
  <c r="R21" i="5"/>
  <c r="S21" i="5"/>
  <c r="T21" i="5"/>
  <c r="R22" i="5"/>
  <c r="S22" i="5"/>
  <c r="T22" i="5"/>
  <c r="R23" i="5"/>
  <c r="S23" i="5"/>
  <c r="T23" i="5"/>
  <c r="R24" i="5"/>
  <c r="S24" i="5"/>
  <c r="T24" i="5"/>
  <c r="R25" i="5"/>
  <c r="S25" i="5"/>
  <c r="T25" i="5"/>
  <c r="R26" i="5"/>
  <c r="S26" i="5"/>
  <c r="T26" i="5"/>
  <c r="R27" i="5"/>
  <c r="S27" i="5"/>
  <c r="T27" i="5"/>
  <c r="R28" i="5"/>
  <c r="S28" i="5"/>
  <c r="T28" i="5"/>
  <c r="R31" i="5"/>
  <c r="S31" i="5"/>
  <c r="T31" i="5"/>
  <c r="R30" i="5"/>
  <c r="S30" i="5"/>
  <c r="T30" i="5"/>
  <c r="R29" i="5"/>
  <c r="S29" i="5"/>
  <c r="T29" i="5"/>
  <c r="R32" i="5"/>
  <c r="S32" i="5"/>
  <c r="T32" i="5"/>
  <c r="R33" i="5"/>
  <c r="S33" i="5"/>
  <c r="T33" i="5"/>
  <c r="R34" i="5"/>
  <c r="S34" i="5"/>
  <c r="T34" i="5"/>
  <c r="R35" i="5"/>
  <c r="S35" i="5"/>
  <c r="T35" i="5"/>
  <c r="R36" i="5"/>
  <c r="S36" i="5"/>
  <c r="T36" i="5"/>
  <c r="R38" i="5"/>
  <c r="S38" i="5"/>
  <c r="T38" i="5"/>
  <c r="R37" i="5"/>
  <c r="S37" i="5"/>
  <c r="T37" i="5"/>
  <c r="R39" i="5"/>
  <c r="S39" i="5"/>
  <c r="T39" i="5"/>
  <c r="R40" i="5"/>
  <c r="S40" i="5"/>
  <c r="T40" i="5"/>
  <c r="R41" i="5"/>
  <c r="S41" i="5"/>
  <c r="T41" i="5"/>
  <c r="R42" i="5"/>
  <c r="S42" i="5"/>
  <c r="T42" i="5"/>
  <c r="R43" i="5"/>
  <c r="S43" i="5"/>
  <c r="T43" i="5"/>
  <c r="R49" i="5"/>
  <c r="S49" i="5"/>
  <c r="T49" i="5"/>
  <c r="R44" i="5"/>
  <c r="S44" i="5"/>
  <c r="T44" i="5"/>
  <c r="R45" i="5"/>
  <c r="S45" i="5"/>
  <c r="T45" i="5"/>
  <c r="R47" i="5"/>
  <c r="S47" i="5"/>
  <c r="T47" i="5"/>
  <c r="R51" i="5"/>
  <c r="S51" i="5"/>
  <c r="T51" i="5"/>
  <c r="R50" i="5"/>
  <c r="S50" i="5"/>
  <c r="T50" i="5"/>
  <c r="R46" i="5"/>
  <c r="S46" i="5"/>
  <c r="T46" i="5"/>
  <c r="R52" i="5"/>
  <c r="S52" i="5"/>
  <c r="T52" i="5"/>
  <c r="R48" i="5"/>
  <c r="S48" i="5"/>
  <c r="T48" i="5"/>
  <c r="R55" i="5"/>
  <c r="S55" i="5"/>
  <c r="T55" i="5"/>
  <c r="R54" i="5"/>
  <c r="S54" i="5"/>
  <c r="T54" i="5"/>
  <c r="R56" i="5"/>
  <c r="S56" i="5"/>
  <c r="T56" i="5"/>
  <c r="R53" i="5"/>
  <c r="S53" i="5"/>
  <c r="T53" i="5"/>
  <c r="R59" i="5"/>
  <c r="S59" i="5"/>
  <c r="T59" i="5"/>
  <c r="R57" i="5"/>
  <c r="S57" i="5"/>
  <c r="T57" i="5"/>
  <c r="R58" i="5"/>
  <c r="S58" i="5"/>
  <c r="T58" i="5"/>
  <c r="R60" i="5"/>
  <c r="S60" i="5"/>
  <c r="T60" i="5"/>
  <c r="R61" i="5"/>
  <c r="S61" i="5"/>
  <c r="T61" i="5"/>
  <c r="R62" i="5"/>
  <c r="S62" i="5"/>
  <c r="T62" i="5"/>
  <c r="R65" i="5"/>
  <c r="S65" i="5"/>
  <c r="T65" i="5"/>
  <c r="R67" i="5"/>
  <c r="S67" i="5"/>
  <c r="T67" i="5"/>
  <c r="R63" i="5"/>
  <c r="S63" i="5"/>
  <c r="T63" i="5"/>
  <c r="R66" i="5"/>
  <c r="S66" i="5"/>
  <c r="T66" i="5"/>
  <c r="R64" i="5"/>
  <c r="S64" i="5"/>
  <c r="T64" i="5"/>
  <c r="R69" i="5"/>
  <c r="S69" i="5"/>
  <c r="T69" i="5"/>
  <c r="R68" i="5"/>
  <c r="S68" i="5"/>
  <c r="T68" i="5"/>
  <c r="R71" i="5"/>
  <c r="S71" i="5"/>
  <c r="T71" i="5"/>
  <c r="R72" i="5"/>
  <c r="S72" i="5"/>
  <c r="T72" i="5"/>
  <c r="R74" i="5"/>
  <c r="S74" i="5"/>
  <c r="T74" i="5"/>
  <c r="R78" i="5"/>
  <c r="S78" i="5"/>
  <c r="T78" i="5"/>
  <c r="R81" i="5"/>
  <c r="S81" i="5"/>
  <c r="T81" i="5"/>
  <c r="R75" i="5"/>
  <c r="S75" i="5"/>
  <c r="T75" i="5"/>
  <c r="R76" i="5"/>
  <c r="S76" i="5"/>
  <c r="T76" i="5"/>
  <c r="R73" i="5"/>
  <c r="S73" i="5"/>
  <c r="T73" i="5"/>
  <c r="R79" i="5"/>
  <c r="S79" i="5"/>
  <c r="T79" i="5"/>
  <c r="R82" i="5"/>
  <c r="S82" i="5"/>
  <c r="T82" i="5"/>
  <c r="R83" i="5"/>
  <c r="T83" i="5"/>
  <c r="R84" i="5"/>
  <c r="S84" i="5"/>
  <c r="T84" i="5"/>
  <c r="R80" i="5"/>
  <c r="S80" i="5"/>
  <c r="T80" i="5"/>
  <c r="R77" i="5"/>
  <c r="S77" i="5"/>
  <c r="T77" i="5"/>
  <c r="R85" i="5"/>
  <c r="S85" i="5"/>
  <c r="T85" i="5"/>
  <c r="R88" i="5"/>
  <c r="S88" i="5"/>
  <c r="T88" i="5"/>
  <c r="R87" i="5"/>
  <c r="S87" i="5"/>
  <c r="T87" i="5"/>
  <c r="R86" i="5"/>
  <c r="S86" i="5"/>
  <c r="T86" i="5"/>
  <c r="R89" i="5"/>
  <c r="S89" i="5"/>
  <c r="T89" i="5"/>
  <c r="R92" i="5"/>
  <c r="S92" i="5"/>
  <c r="T92" i="5"/>
  <c r="R94" i="5"/>
  <c r="S94" i="5"/>
  <c r="T94" i="5"/>
  <c r="R91" i="5"/>
  <c r="S91" i="5"/>
  <c r="T91" i="5"/>
  <c r="R90" i="5"/>
  <c r="S90" i="5"/>
  <c r="T90" i="5"/>
  <c r="R93" i="5"/>
  <c r="S93" i="5"/>
  <c r="T93" i="5"/>
  <c r="R96" i="5"/>
  <c r="S96" i="5"/>
  <c r="T96" i="5"/>
  <c r="R95" i="5"/>
  <c r="S95" i="5"/>
  <c r="T95" i="5"/>
  <c r="R98" i="5"/>
  <c r="S98" i="5"/>
  <c r="T98" i="5"/>
  <c r="R97" i="5"/>
  <c r="S97" i="5"/>
  <c r="T97" i="5"/>
  <c r="R99" i="5"/>
  <c r="S99" i="5"/>
  <c r="T99" i="5"/>
  <c r="R100" i="5"/>
  <c r="S100" i="5"/>
  <c r="T100" i="5"/>
  <c r="R101" i="5"/>
  <c r="S101" i="5"/>
  <c r="T101" i="5"/>
  <c r="R102" i="5"/>
  <c r="S102" i="5"/>
  <c r="T102" i="5"/>
  <c r="R104" i="5"/>
  <c r="S104" i="5"/>
  <c r="T104" i="5"/>
  <c r="R103" i="5"/>
  <c r="S103" i="5"/>
  <c r="T103" i="5"/>
  <c r="R105" i="5"/>
  <c r="S105" i="5"/>
  <c r="T105" i="5"/>
  <c r="R106" i="5"/>
  <c r="S106" i="5"/>
  <c r="T106" i="5"/>
  <c r="R107" i="5"/>
  <c r="S107" i="5"/>
  <c r="T107" i="5"/>
  <c r="R70" i="5"/>
  <c r="S70" i="5"/>
  <c r="T70" i="5"/>
  <c r="R108" i="5"/>
  <c r="S108" i="5"/>
  <c r="T108" i="5"/>
  <c r="R109" i="5"/>
  <c r="S109" i="5"/>
  <c r="T109" i="5"/>
  <c r="R110" i="5"/>
  <c r="S110" i="5"/>
  <c r="T110" i="5"/>
  <c r="R112" i="5"/>
  <c r="S112" i="5"/>
  <c r="R111" i="5"/>
  <c r="S111" i="5"/>
  <c r="T111" i="5"/>
  <c r="R113" i="5"/>
  <c r="S113" i="5"/>
  <c r="T113" i="5"/>
  <c r="R116" i="5"/>
  <c r="S116" i="5"/>
  <c r="T116" i="5"/>
  <c r="R115" i="5"/>
  <c r="S115" i="5"/>
  <c r="T115" i="5"/>
  <c r="R117" i="5"/>
  <c r="S117" i="5"/>
  <c r="T117" i="5"/>
  <c r="R114" i="5"/>
  <c r="S114" i="5"/>
  <c r="T114" i="5"/>
  <c r="R118" i="5"/>
  <c r="S118" i="5"/>
  <c r="T118" i="5"/>
  <c r="R119" i="5"/>
  <c r="S119" i="5"/>
  <c r="T119" i="5"/>
  <c r="R120" i="5"/>
  <c r="S120" i="5"/>
  <c r="T120" i="5"/>
  <c r="R121" i="5"/>
  <c r="S121" i="5"/>
  <c r="T121" i="5"/>
  <c r="R122" i="5"/>
  <c r="S122" i="5"/>
  <c r="T122" i="5"/>
  <c r="R124" i="5"/>
  <c r="S124" i="5"/>
  <c r="T124" i="5"/>
  <c r="R123" i="5"/>
  <c r="S123" i="5"/>
  <c r="T123" i="5"/>
  <c r="R125" i="5"/>
  <c r="S125" i="5"/>
  <c r="T125" i="5"/>
  <c r="R126" i="5"/>
  <c r="S126" i="5"/>
  <c r="T126" i="5"/>
  <c r="R127" i="5"/>
  <c r="S127" i="5"/>
  <c r="T127" i="5"/>
  <c r="R128" i="5"/>
  <c r="S128" i="5"/>
  <c r="T128" i="5"/>
  <c r="R129" i="5"/>
  <c r="S129" i="5"/>
  <c r="T129" i="5"/>
  <c r="R131" i="5"/>
  <c r="S131" i="5"/>
  <c r="T131" i="5"/>
  <c r="R130" i="5"/>
  <c r="S130" i="5"/>
  <c r="T130" i="5"/>
  <c r="R132" i="5"/>
  <c r="S132" i="5"/>
  <c r="T132" i="5"/>
  <c r="R133" i="5"/>
  <c r="S133" i="5"/>
  <c r="T133" i="5"/>
  <c r="R136" i="5"/>
  <c r="S136" i="5"/>
  <c r="T136" i="5"/>
  <c r="R135" i="5"/>
  <c r="S135" i="5"/>
  <c r="T135" i="5"/>
  <c r="R134" i="5"/>
  <c r="S134" i="5"/>
  <c r="T134" i="5"/>
  <c r="R137" i="5"/>
  <c r="S137" i="5"/>
  <c r="T137" i="5"/>
  <c r="R140" i="5"/>
  <c r="S140" i="5"/>
  <c r="T140" i="5"/>
  <c r="R138" i="5"/>
  <c r="S138" i="5"/>
  <c r="T138" i="5"/>
  <c r="R139" i="5"/>
  <c r="S139" i="5"/>
  <c r="T139" i="5"/>
  <c r="R141" i="5"/>
  <c r="S141" i="5"/>
  <c r="T141" i="5"/>
  <c r="R148" i="5"/>
  <c r="S148" i="5"/>
  <c r="T148" i="5"/>
  <c r="R142" i="5"/>
  <c r="S142" i="5"/>
  <c r="T142" i="5"/>
  <c r="R143" i="5"/>
  <c r="S143" i="5"/>
  <c r="T143" i="5"/>
  <c r="R146" i="5"/>
  <c r="S146" i="5"/>
  <c r="T146" i="5"/>
  <c r="R144" i="5"/>
  <c r="S144" i="5"/>
  <c r="T144" i="5"/>
  <c r="R145" i="5"/>
  <c r="S145" i="5"/>
  <c r="T145" i="5"/>
  <c r="R149" i="5"/>
  <c r="S149" i="5"/>
  <c r="T149" i="5"/>
  <c r="R147" i="5"/>
  <c r="S147" i="5"/>
  <c r="T147" i="5"/>
  <c r="R150" i="5"/>
  <c r="S150" i="5"/>
  <c r="T150" i="5"/>
  <c r="R151" i="5"/>
  <c r="S151" i="5"/>
  <c r="T151" i="5"/>
  <c r="R152" i="5"/>
  <c r="S152" i="5"/>
  <c r="T152" i="5"/>
  <c r="R153" i="5"/>
  <c r="S153" i="5"/>
  <c r="T153" i="5"/>
  <c r="R154" i="5"/>
  <c r="S154" i="5"/>
  <c r="T154" i="5"/>
  <c r="R155" i="5"/>
  <c r="S155" i="5"/>
  <c r="T155" i="5"/>
  <c r="R156" i="5"/>
  <c r="S156" i="5"/>
  <c r="T156" i="5"/>
  <c r="R157" i="5"/>
  <c r="S157" i="5"/>
  <c r="T157" i="5"/>
  <c r="R158" i="5"/>
  <c r="S158" i="5"/>
  <c r="T158" i="5"/>
  <c r="R159" i="5"/>
  <c r="S159" i="5"/>
  <c r="T159" i="5"/>
  <c r="R160" i="5"/>
  <c r="S160" i="5"/>
  <c r="T160" i="5"/>
  <c r="R161" i="5"/>
  <c r="S161" i="5"/>
  <c r="T161" i="5"/>
  <c r="R162" i="5"/>
  <c r="S162" i="5"/>
  <c r="T162" i="5"/>
  <c r="R163" i="5"/>
  <c r="S163" i="5"/>
  <c r="T163" i="5"/>
  <c r="R164" i="5"/>
  <c r="S164" i="5"/>
  <c r="T164" i="5"/>
  <c r="R165" i="5"/>
  <c r="S165" i="5"/>
  <c r="T165" i="5"/>
  <c r="R166" i="5"/>
  <c r="S166" i="5"/>
  <c r="T166" i="5"/>
  <c r="R167" i="5"/>
  <c r="S167" i="5"/>
  <c r="T167" i="5"/>
  <c r="R168" i="5"/>
  <c r="S168" i="5"/>
  <c r="T168" i="5"/>
  <c r="R169" i="5"/>
  <c r="S169" i="5"/>
  <c r="T169" i="5"/>
  <c r="R170" i="5"/>
  <c r="S170" i="5"/>
  <c r="T170" i="5"/>
  <c r="R171" i="5"/>
  <c r="S171" i="5"/>
  <c r="T171" i="5"/>
  <c r="R172" i="5"/>
  <c r="S172" i="5"/>
  <c r="T172" i="5"/>
  <c r="R173" i="5"/>
  <c r="S173" i="5"/>
  <c r="T173" i="5"/>
  <c r="R174" i="5"/>
  <c r="S174" i="5"/>
  <c r="T174" i="5"/>
  <c r="R175" i="5"/>
  <c r="S175" i="5"/>
  <c r="T175" i="5"/>
  <c r="R176" i="5"/>
  <c r="S176" i="5"/>
  <c r="T176" i="5"/>
  <c r="R177" i="5"/>
  <c r="S177" i="5"/>
  <c r="T177" i="5"/>
  <c r="R178" i="5"/>
  <c r="S178" i="5"/>
  <c r="T178" i="5"/>
  <c r="R179" i="5"/>
  <c r="S179" i="5"/>
  <c r="T179" i="5"/>
  <c r="R180" i="5"/>
  <c r="S180" i="5"/>
  <c r="T180" i="5"/>
  <c r="R181" i="5"/>
  <c r="S181" i="5"/>
  <c r="T181" i="5"/>
  <c r="R182" i="5"/>
  <c r="S182" i="5"/>
  <c r="T182" i="5"/>
  <c r="R183" i="5"/>
  <c r="S183" i="5"/>
  <c r="T183" i="5"/>
  <c r="R184" i="5"/>
  <c r="S184" i="5"/>
  <c r="T184" i="5"/>
  <c r="R185" i="5"/>
  <c r="S185" i="5"/>
  <c r="T185" i="5"/>
  <c r="R186" i="5"/>
  <c r="S186" i="5"/>
  <c r="T186" i="5"/>
  <c r="R187" i="5"/>
  <c r="S187" i="5"/>
  <c r="T187" i="5"/>
  <c r="R188" i="5"/>
  <c r="S188" i="5"/>
  <c r="T188" i="5"/>
  <c r="R189" i="5"/>
  <c r="S189" i="5"/>
  <c r="T189" i="5"/>
  <c r="R190" i="5"/>
  <c r="S190" i="5"/>
  <c r="T190" i="5"/>
  <c r="R191" i="5"/>
  <c r="S191" i="5"/>
  <c r="T191" i="5"/>
  <c r="R192" i="5"/>
  <c r="S192" i="5"/>
  <c r="T192" i="5"/>
  <c r="R193" i="5"/>
  <c r="S193" i="5"/>
  <c r="T193" i="5"/>
  <c r="R194" i="5"/>
  <c r="S194" i="5"/>
  <c r="T194" i="5"/>
  <c r="R195" i="5"/>
  <c r="S195" i="5"/>
  <c r="T195" i="5"/>
  <c r="R196" i="5"/>
  <c r="S196" i="5"/>
  <c r="T196" i="5"/>
  <c r="R197" i="5"/>
  <c r="S197" i="5"/>
  <c r="T197" i="5"/>
  <c r="R198" i="5"/>
  <c r="S198" i="5"/>
  <c r="T198" i="5"/>
  <c r="R199" i="5"/>
  <c r="S199" i="5"/>
  <c r="T199" i="5"/>
  <c r="R200" i="5"/>
  <c r="S200" i="5"/>
  <c r="T200" i="5"/>
  <c r="R201" i="5"/>
  <c r="S201" i="5"/>
  <c r="T201" i="5"/>
  <c r="T3" i="5"/>
  <c r="S3" i="5"/>
  <c r="R3" i="5"/>
  <c r="G7" i="2"/>
  <c r="G4" i="7"/>
  <c r="G3" i="7"/>
  <c r="G2" i="7"/>
  <c r="I11" i="6"/>
  <c r="H11" i="6"/>
  <c r="G11" i="6"/>
  <c r="F11" i="6"/>
  <c r="E11" i="6"/>
  <c r="I10" i="6"/>
  <c r="H10" i="6"/>
  <c r="G10" i="6"/>
  <c r="F10" i="6"/>
  <c r="E10" i="6"/>
  <c r="I9" i="6"/>
  <c r="H9" i="6"/>
  <c r="G9" i="6"/>
  <c r="F9" i="6"/>
  <c r="E9" i="6"/>
  <c r="I8" i="6"/>
  <c r="H8" i="6"/>
  <c r="G8" i="6"/>
  <c r="F8" i="6"/>
  <c r="E8" i="6"/>
  <c r="I5" i="6"/>
  <c r="H5" i="6"/>
  <c r="G5" i="6"/>
  <c r="F5" i="6"/>
  <c r="E5" i="6"/>
  <c r="I4" i="6"/>
  <c r="H4" i="6"/>
  <c r="G4" i="6"/>
  <c r="F4" i="6"/>
  <c r="E4" i="6"/>
  <c r="I3" i="6"/>
  <c r="H3" i="6"/>
  <c r="G3" i="6"/>
  <c r="F3" i="6"/>
  <c r="E3" i="6"/>
  <c r="I2" i="6"/>
  <c r="H2" i="6"/>
  <c r="G2" i="6"/>
  <c r="F2" i="6"/>
  <c r="E2" i="6"/>
  <c r="G3" i="4"/>
  <c r="G4" i="4"/>
  <c r="G2" i="4"/>
  <c r="H4" i="4"/>
  <c r="H3" i="4"/>
  <c r="H2" i="4"/>
  <c r="I11" i="1"/>
  <c r="H11" i="1"/>
  <c r="G11" i="1"/>
  <c r="F11" i="1"/>
  <c r="E11" i="1"/>
  <c r="I10" i="1"/>
  <c r="H10" i="1"/>
  <c r="G10" i="1"/>
  <c r="F10" i="1"/>
  <c r="E10" i="1"/>
  <c r="I9" i="1"/>
  <c r="H9" i="1"/>
  <c r="G9" i="1"/>
  <c r="F9" i="1"/>
  <c r="E9" i="1"/>
  <c r="I8" i="1"/>
  <c r="I12" i="1" s="1"/>
  <c r="H8" i="1"/>
  <c r="H12" i="1" s="1"/>
  <c r="G8" i="1"/>
  <c r="G12" i="1" s="1"/>
  <c r="F8" i="1"/>
  <c r="F12" i="1" s="1"/>
  <c r="E8" i="1"/>
  <c r="E12" i="1" s="1"/>
  <c r="I5" i="1"/>
  <c r="H5" i="1"/>
  <c r="G5" i="1"/>
  <c r="F5" i="1"/>
  <c r="E5" i="1"/>
  <c r="I4" i="1"/>
  <c r="H4" i="1"/>
  <c r="G4" i="1"/>
  <c r="F4" i="1"/>
  <c r="E4" i="1"/>
  <c r="I3" i="1"/>
  <c r="H3" i="1"/>
  <c r="G3" i="1"/>
  <c r="F3" i="1"/>
  <c r="E3" i="1"/>
  <c r="I2" i="1"/>
  <c r="I6" i="1" s="1"/>
  <c r="H2" i="1"/>
  <c r="H6" i="1" s="1"/>
  <c r="G2" i="1"/>
  <c r="G6" i="1" s="1"/>
  <c r="F2" i="1"/>
  <c r="F6" i="1" s="1"/>
  <c r="E2" i="1"/>
  <c r="E6" i="1" s="1"/>
  <c r="I3" i="3"/>
  <c r="I6" i="3" s="1"/>
  <c r="I4" i="3"/>
  <c r="I5" i="3"/>
  <c r="I8" i="3"/>
  <c r="I9" i="3"/>
  <c r="I10" i="3"/>
  <c r="I11" i="3"/>
  <c r="I2" i="3"/>
  <c r="H3" i="3"/>
  <c r="H6" i="3" s="1"/>
  <c r="H4" i="3"/>
  <c r="H5" i="3"/>
  <c r="H8" i="3"/>
  <c r="H9" i="3"/>
  <c r="H10" i="3"/>
  <c r="H11" i="3"/>
  <c r="H2" i="3"/>
  <c r="G3" i="3"/>
  <c r="G4" i="3"/>
  <c r="G5" i="3"/>
  <c r="G8" i="3"/>
  <c r="G12" i="3" s="1"/>
  <c r="G9" i="3"/>
  <c r="G10" i="3"/>
  <c r="G11" i="3"/>
  <c r="G2" i="3"/>
  <c r="F8" i="3"/>
  <c r="F12" i="3" s="1"/>
  <c r="F9" i="3"/>
  <c r="F10" i="3"/>
  <c r="F11" i="3"/>
  <c r="F3" i="3"/>
  <c r="F4" i="3"/>
  <c r="F5" i="3"/>
  <c r="F2" i="3"/>
  <c r="E3" i="3"/>
  <c r="E4" i="3"/>
  <c r="E5" i="3"/>
  <c r="E8" i="3"/>
  <c r="E9" i="3"/>
  <c r="E10" i="3"/>
  <c r="E11" i="3"/>
  <c r="E2" i="3"/>
  <c r="M204" i="8" l="1"/>
  <c r="H204" i="8"/>
  <c r="L204" i="8"/>
  <c r="R204" i="8"/>
  <c r="W204" i="8"/>
  <c r="V204" i="8"/>
  <c r="Q204" i="8"/>
  <c r="M2" i="8"/>
  <c r="H2" i="8"/>
  <c r="R2" i="8"/>
  <c r="I6" i="6"/>
  <c r="E6" i="6"/>
  <c r="E12" i="6"/>
  <c r="F12" i="6"/>
  <c r="G6" i="6"/>
  <c r="H6" i="6"/>
  <c r="H12" i="6"/>
  <c r="I12" i="6"/>
  <c r="F6" i="6"/>
  <c r="G12" i="6"/>
  <c r="F6" i="3"/>
  <c r="H12" i="3"/>
  <c r="G6" i="3"/>
  <c r="E12" i="3"/>
  <c r="E6" i="3"/>
  <c r="I12" i="3"/>
  <c r="H3" i="2"/>
  <c r="H4" i="2"/>
  <c r="H2" i="2"/>
  <c r="G3" i="2"/>
  <c r="G4" i="2"/>
  <c r="G2" i="2"/>
</calcChain>
</file>

<file path=xl/sharedStrings.xml><?xml version="1.0" encoding="utf-8"?>
<sst xmlns="http://schemas.openxmlformats.org/spreadsheetml/2006/main" count="13847" uniqueCount="1029">
  <si>
    <t>天威아조씨</t>
  </si>
  <si>
    <t>랭킹</t>
    <phoneticPr fontId="1" type="noConversion"/>
  </si>
  <si>
    <t>이름</t>
    <phoneticPr fontId="1" type="noConversion"/>
  </si>
  <si>
    <t>동맹</t>
    <phoneticPr fontId="1" type="noConversion"/>
  </si>
  <si>
    <t>이로아</t>
    <phoneticPr fontId="1" type="noConversion"/>
  </si>
  <si>
    <t>잠룡</t>
    <phoneticPr fontId="1" type="noConversion"/>
  </si>
  <si>
    <t>황금비</t>
    <phoneticPr fontId="1" type="noConversion"/>
  </si>
  <si>
    <t>소풍온아모림</t>
    <phoneticPr fontId="1" type="noConversion"/>
  </si>
  <si>
    <t>돌격사신</t>
    <phoneticPr fontId="1" type="noConversion"/>
  </si>
  <si>
    <t>출항의날</t>
    <phoneticPr fontId="1" type="noConversion"/>
  </si>
  <si>
    <t>무명</t>
    <phoneticPr fontId="1" type="noConversion"/>
  </si>
  <si>
    <t>붉은윈터</t>
    <phoneticPr fontId="1" type="noConversion"/>
  </si>
  <si>
    <t>소풍왕정몽규</t>
    <phoneticPr fontId="1" type="noConversion"/>
  </si>
  <si>
    <t>화요싫어</t>
    <phoneticPr fontId="1" type="noConversion"/>
  </si>
  <si>
    <t>흰밤</t>
    <phoneticPr fontId="1" type="noConversion"/>
  </si>
  <si>
    <t>소풍온홍명보</t>
    <phoneticPr fontId="1" type="noConversion"/>
  </si>
  <si>
    <t>소풍의즐라탄</t>
    <phoneticPr fontId="1" type="noConversion"/>
  </si>
  <si>
    <t>시원싫어</t>
    <phoneticPr fontId="1" type="noConversion"/>
  </si>
  <si>
    <t>소풍나은</t>
    <phoneticPr fontId="1" type="noConversion"/>
  </si>
  <si>
    <t>붉은빠따</t>
    <phoneticPr fontId="1" type="noConversion"/>
  </si>
  <si>
    <t>소풍아르테타</t>
    <phoneticPr fontId="1" type="noConversion"/>
  </si>
  <si>
    <t>퍼플주에고</t>
    <phoneticPr fontId="1" type="noConversion"/>
  </si>
  <si>
    <t>돌격사탄</t>
    <phoneticPr fontId="1" type="noConversion"/>
  </si>
  <si>
    <t>소풍온텐하흐</t>
    <phoneticPr fontId="1" type="noConversion"/>
  </si>
  <si>
    <t>붉은마리오</t>
    <phoneticPr fontId="1" type="noConversion"/>
  </si>
  <si>
    <t>소풍나온</t>
    <phoneticPr fontId="1" type="noConversion"/>
  </si>
  <si>
    <t>컬러단장용스</t>
    <phoneticPr fontId="1" type="noConversion"/>
  </si>
  <si>
    <t>붉은주니안s</t>
    <phoneticPr fontId="1" type="noConversion"/>
  </si>
  <si>
    <t>붉은귀신야차</t>
    <phoneticPr fontId="1" type="noConversion"/>
  </si>
  <si>
    <t>붉은명원</t>
    <phoneticPr fontId="1" type="noConversion"/>
  </si>
  <si>
    <t>소풍온과니탱</t>
    <phoneticPr fontId="1" type="noConversion"/>
  </si>
  <si>
    <t>붉은춘배</t>
    <phoneticPr fontId="1" type="noConversion"/>
  </si>
  <si>
    <t>행기싫어</t>
    <phoneticPr fontId="1" type="noConversion"/>
  </si>
  <si>
    <t>돌격리바이</t>
    <phoneticPr fontId="1" type="noConversion"/>
  </si>
  <si>
    <t>이직</t>
    <phoneticPr fontId="1" type="noConversion"/>
  </si>
  <si>
    <t>소풍온T앙리</t>
    <phoneticPr fontId="1" type="noConversion"/>
  </si>
  <si>
    <t>羊양제</t>
    <phoneticPr fontId="1" type="noConversion"/>
  </si>
  <si>
    <t>소근소근</t>
    <phoneticPr fontId="1" type="noConversion"/>
  </si>
  <si>
    <t>SKELTON</t>
    <phoneticPr fontId="1" type="noConversion"/>
  </si>
  <si>
    <t>소풍온이설탱</t>
    <phoneticPr fontId="1" type="noConversion"/>
  </si>
  <si>
    <t>羊마산동탁</t>
    <phoneticPr fontId="1" type="noConversion"/>
  </si>
  <si>
    <t>必리나니</t>
    <phoneticPr fontId="1" type="noConversion"/>
  </si>
  <si>
    <t>龍훈</t>
    <phoneticPr fontId="1" type="noConversion"/>
  </si>
  <si>
    <t>소풍온벵거</t>
    <phoneticPr fontId="1" type="noConversion"/>
  </si>
  <si>
    <t>한화오션</t>
    <phoneticPr fontId="1" type="noConversion"/>
  </si>
  <si>
    <t>아이돌</t>
    <phoneticPr fontId="1" type="noConversion"/>
  </si>
  <si>
    <t>소풍백화수복</t>
    <phoneticPr fontId="1" type="noConversion"/>
  </si>
  <si>
    <t>必우마이봉</t>
    <phoneticPr fontId="1" type="noConversion"/>
  </si>
  <si>
    <t>실직</t>
    <phoneticPr fontId="1" type="noConversion"/>
  </si>
  <si>
    <t>해기싫어</t>
    <phoneticPr fontId="1" type="noConversion"/>
  </si>
  <si>
    <t>혁명군</t>
    <phoneticPr fontId="1" type="noConversion"/>
  </si>
  <si>
    <t>龍오마카세</t>
    <phoneticPr fontId="1" type="noConversion"/>
  </si>
  <si>
    <t>龍마니</t>
    <phoneticPr fontId="1" type="noConversion"/>
  </si>
  <si>
    <t>龍진이곰</t>
    <phoneticPr fontId="1" type="noConversion"/>
  </si>
  <si>
    <t>돌격여니</t>
    <phoneticPr fontId="1" type="noConversion"/>
  </si>
  <si>
    <t>붉은진판델</t>
    <phoneticPr fontId="1" type="noConversion"/>
  </si>
  <si>
    <t>오이싫어</t>
    <phoneticPr fontId="1" type="noConversion"/>
  </si>
  <si>
    <t>붉은라이어</t>
    <phoneticPr fontId="1" type="noConversion"/>
  </si>
  <si>
    <t>羊이정재</t>
    <phoneticPr fontId="1" type="noConversion"/>
  </si>
  <si>
    <t>스텔라</t>
    <phoneticPr fontId="1" type="noConversion"/>
  </si>
  <si>
    <t>龍파랑</t>
    <phoneticPr fontId="1" type="noConversion"/>
  </si>
  <si>
    <t>마룡의숲</t>
    <phoneticPr fontId="1" type="noConversion"/>
  </si>
  <si>
    <t>돌격뿌뿌</t>
    <phoneticPr fontId="1" type="noConversion"/>
  </si>
  <si>
    <t>소풍온다야탱</t>
    <phoneticPr fontId="1" type="noConversion"/>
  </si>
  <si>
    <t>羊현묘</t>
    <phoneticPr fontId="1" type="noConversion"/>
  </si>
  <si>
    <t>붉은장미s</t>
    <phoneticPr fontId="1" type="noConversion"/>
  </si>
  <si>
    <t>必억까</t>
    <phoneticPr fontId="1" type="noConversion"/>
  </si>
  <si>
    <t>靑뚜기</t>
    <phoneticPr fontId="1" type="noConversion"/>
  </si>
  <si>
    <t>붉은몽둥이</t>
    <phoneticPr fontId="1" type="noConversion"/>
  </si>
  <si>
    <t>소풍온그마탱</t>
    <phoneticPr fontId="1" type="noConversion"/>
  </si>
  <si>
    <t>羊고광렬</t>
    <phoneticPr fontId="1" type="noConversion"/>
  </si>
  <si>
    <t>靑세구</t>
    <phoneticPr fontId="1" type="noConversion"/>
  </si>
  <si>
    <t>SP대극사</t>
    <phoneticPr fontId="1" type="noConversion"/>
  </si>
  <si>
    <t>龍나태린준</t>
    <phoneticPr fontId="1" type="noConversion"/>
  </si>
  <si>
    <t>소풍온머스탱</t>
    <phoneticPr fontId="1" type="noConversion"/>
  </si>
  <si>
    <t>붉은루이지</t>
    <phoneticPr fontId="1" type="noConversion"/>
  </si>
  <si>
    <t>靑키마</t>
    <phoneticPr fontId="1" type="noConversion"/>
  </si>
  <si>
    <t>KD경진장</t>
    <phoneticPr fontId="1" type="noConversion"/>
  </si>
  <si>
    <t>靑수지니</t>
    <phoneticPr fontId="1" type="noConversion"/>
  </si>
  <si>
    <t>붉은피치</t>
    <phoneticPr fontId="1" type="noConversion"/>
  </si>
  <si>
    <t>麗안현</t>
    <phoneticPr fontId="1" type="noConversion"/>
  </si>
  <si>
    <t>소풍온시비탱</t>
    <phoneticPr fontId="1" type="noConversion"/>
  </si>
  <si>
    <t>太춘복</t>
    <phoneticPr fontId="1" type="noConversion"/>
  </si>
  <si>
    <t>太츄르</t>
    <phoneticPr fontId="1" type="noConversion"/>
  </si>
  <si>
    <t>太햄박</t>
    <phoneticPr fontId="1" type="noConversion"/>
  </si>
  <si>
    <t>靑발키리</t>
    <phoneticPr fontId="1" type="noConversion"/>
  </si>
  <si>
    <t>금모종삽</t>
    <phoneticPr fontId="1" type="noConversion"/>
  </si>
  <si>
    <t>龍비켜바라</t>
    <phoneticPr fontId="1" type="noConversion"/>
  </si>
  <si>
    <t>必비숍</t>
    <phoneticPr fontId="1" type="noConversion"/>
  </si>
  <si>
    <t>羊서량철기</t>
    <phoneticPr fontId="1" type="noConversion"/>
  </si>
  <si>
    <t>돌격불꽃</t>
    <phoneticPr fontId="1" type="noConversion"/>
  </si>
  <si>
    <t>RS봉휘</t>
    <phoneticPr fontId="1" type="noConversion"/>
  </si>
  <si>
    <t>龍뎀벼바라</t>
    <phoneticPr fontId="1" type="noConversion"/>
  </si>
  <si>
    <t>캐리</t>
    <phoneticPr fontId="1" type="noConversion"/>
  </si>
  <si>
    <t>龍옥미세</t>
    <phoneticPr fontId="1" type="noConversion"/>
  </si>
  <si>
    <t>必폭주비비</t>
    <phoneticPr fontId="1" type="noConversion"/>
  </si>
  <si>
    <t>붉은쿠파</t>
    <phoneticPr fontId="1" type="noConversion"/>
  </si>
  <si>
    <t>하악싫어</t>
    <phoneticPr fontId="1" type="noConversion"/>
  </si>
  <si>
    <t>W레젠디아</t>
    <phoneticPr fontId="1" type="noConversion"/>
  </si>
  <si>
    <t>금곡괭이</t>
    <phoneticPr fontId="1" type="noConversion"/>
  </si>
  <si>
    <t>싸나이흑운</t>
    <phoneticPr fontId="1" type="noConversion"/>
  </si>
  <si>
    <t>必청설</t>
    <phoneticPr fontId="1" type="noConversion"/>
  </si>
  <si>
    <t>흰밥</t>
    <phoneticPr fontId="1" type="noConversion"/>
  </si>
  <si>
    <t>麗호우</t>
    <phoneticPr fontId="1" type="noConversion"/>
  </si>
  <si>
    <t>羊농민</t>
    <phoneticPr fontId="1" type="noConversion"/>
  </si>
  <si>
    <t>악귀</t>
    <phoneticPr fontId="1" type="noConversion"/>
  </si>
  <si>
    <t>소풍온무리뉴</t>
    <phoneticPr fontId="1" type="noConversion"/>
  </si>
  <si>
    <t>소풍on하나</t>
    <phoneticPr fontId="1" type="noConversion"/>
  </si>
  <si>
    <t>뽀얀속살</t>
    <phoneticPr fontId="1" type="noConversion"/>
  </si>
  <si>
    <t>W라기</t>
    <phoneticPr fontId="1" type="noConversion"/>
  </si>
  <si>
    <t>必써너</t>
    <phoneticPr fontId="1" type="noConversion"/>
  </si>
  <si>
    <t>장이수</t>
    <phoneticPr fontId="1" type="noConversion"/>
  </si>
  <si>
    <t>헁기싫어</t>
    <phoneticPr fontId="1" type="noConversion"/>
  </si>
  <si>
    <t>참뿡</t>
    <phoneticPr fontId="1" type="noConversion"/>
  </si>
  <si>
    <t>必인삼</t>
    <phoneticPr fontId="1" type="noConversion"/>
  </si>
  <si>
    <t>羊커리</t>
    <phoneticPr fontId="1" type="noConversion"/>
  </si>
  <si>
    <t>풍악의날</t>
    <phoneticPr fontId="1" type="noConversion"/>
  </si>
  <si>
    <t>소풍온코뿔소</t>
    <phoneticPr fontId="1" type="noConversion"/>
  </si>
  <si>
    <t>소풍온포스텍</t>
    <phoneticPr fontId="1" type="noConversion"/>
  </si>
  <si>
    <t>sp슈손능</t>
    <phoneticPr fontId="1" type="noConversion"/>
  </si>
  <si>
    <t>龍청순바라</t>
    <phoneticPr fontId="1" type="noConversion"/>
  </si>
  <si>
    <t>羊알부장</t>
    <phoneticPr fontId="1" type="noConversion"/>
  </si>
  <si>
    <t>麗화스민</t>
    <phoneticPr fontId="1" type="noConversion"/>
  </si>
  <si>
    <t>必귀살대</t>
    <phoneticPr fontId="1" type="noConversion"/>
  </si>
  <si>
    <t>내미시스</t>
    <phoneticPr fontId="1" type="noConversion"/>
  </si>
  <si>
    <t>오제이</t>
    <phoneticPr fontId="1" type="noConversion"/>
  </si>
  <si>
    <t>최경주</t>
    <phoneticPr fontId="1" type="noConversion"/>
  </si>
  <si>
    <t>必무이</t>
    <phoneticPr fontId="1" type="noConversion"/>
  </si>
  <si>
    <t>W레잰디아</t>
    <phoneticPr fontId="1" type="noConversion"/>
  </si>
  <si>
    <t>靑곽재우</t>
    <phoneticPr fontId="1" type="noConversion"/>
  </si>
  <si>
    <t>한량조앙</t>
    <phoneticPr fontId="1" type="noConversion"/>
  </si>
  <si>
    <t>Ak동</t>
    <phoneticPr fontId="1" type="noConversion"/>
  </si>
  <si>
    <t>羊마속</t>
    <phoneticPr fontId="1" type="noConversion"/>
  </si>
  <si>
    <t>소풍on두이</t>
    <phoneticPr fontId="1" type="noConversion"/>
  </si>
  <si>
    <t>눈오는날</t>
    <phoneticPr fontId="1" type="noConversion"/>
  </si>
  <si>
    <t>SP제갈공명</t>
    <phoneticPr fontId="1" type="noConversion"/>
  </si>
  <si>
    <t>羊열하</t>
    <phoneticPr fontId="1" type="noConversion"/>
  </si>
  <si>
    <t>슈퍼영웅에디</t>
    <phoneticPr fontId="1" type="noConversion"/>
  </si>
  <si>
    <t>Fins</t>
    <phoneticPr fontId="1" type="noConversion"/>
  </si>
  <si>
    <t>미아핑</t>
    <phoneticPr fontId="1" type="noConversion"/>
  </si>
  <si>
    <t>龍노랑</t>
    <phoneticPr fontId="1" type="noConversion"/>
  </si>
  <si>
    <t>간식을</t>
    <phoneticPr fontId="1" type="noConversion"/>
  </si>
  <si>
    <t>싸나이가는길</t>
    <phoneticPr fontId="1" type="noConversion"/>
  </si>
  <si>
    <t>麗향고래z</t>
    <phoneticPr fontId="1" type="noConversion"/>
  </si>
  <si>
    <t>羊수학</t>
    <phoneticPr fontId="1" type="noConversion"/>
  </si>
  <si>
    <t>화룡진군</t>
    <phoneticPr fontId="1" type="noConversion"/>
  </si>
  <si>
    <t>KD척사광</t>
    <phoneticPr fontId="1" type="noConversion"/>
  </si>
  <si>
    <t>靑김유신</t>
    <phoneticPr fontId="1" type="noConversion"/>
  </si>
  <si>
    <t>폭우의날</t>
    <phoneticPr fontId="1" type="noConversion"/>
  </si>
  <si>
    <t>靑문추</t>
    <phoneticPr fontId="1" type="noConversion"/>
  </si>
  <si>
    <t>어른이날</t>
    <phoneticPr fontId="1" type="noConversion"/>
  </si>
  <si>
    <t>우유엔코코아</t>
    <phoneticPr fontId="1" type="noConversion"/>
  </si>
  <si>
    <t>관중제장</t>
    <phoneticPr fontId="1" type="noConversion"/>
  </si>
  <si>
    <t>羊관우</t>
    <phoneticPr fontId="1" type="noConversion"/>
  </si>
  <si>
    <t>암행어사</t>
    <phoneticPr fontId="1" type="noConversion"/>
  </si>
  <si>
    <t>羊마형</t>
    <phoneticPr fontId="1" type="noConversion"/>
  </si>
  <si>
    <t>RS롤린</t>
    <phoneticPr fontId="1" type="noConversion"/>
  </si>
  <si>
    <t>龍냅다천훈</t>
    <phoneticPr fontId="1" type="noConversion"/>
  </si>
  <si>
    <t>必보이쓰피싱</t>
    <phoneticPr fontId="1" type="noConversion"/>
  </si>
  <si>
    <t>龍배째바라</t>
    <phoneticPr fontId="1" type="noConversion"/>
  </si>
  <si>
    <t>必교황</t>
    <phoneticPr fontId="1" type="noConversion"/>
  </si>
  <si>
    <t>적색의용</t>
    <phoneticPr fontId="1" type="noConversion"/>
  </si>
  <si>
    <t>구라핑</t>
    <phoneticPr fontId="1" type="noConversion"/>
  </si>
  <si>
    <t>기파랑해</t>
    <phoneticPr fontId="1" type="noConversion"/>
  </si>
  <si>
    <t>와상이</t>
    <phoneticPr fontId="1" type="noConversion"/>
  </si>
  <si>
    <t>靑레스</t>
    <phoneticPr fontId="1" type="noConversion"/>
  </si>
  <si>
    <t>靑노박구</t>
    <phoneticPr fontId="1" type="noConversion"/>
  </si>
  <si>
    <t>神Zeus</t>
    <phoneticPr fontId="1" type="noConversion"/>
  </si>
  <si>
    <t>너에게날</t>
    <phoneticPr fontId="1" type="noConversion"/>
  </si>
  <si>
    <t>차돌이랑</t>
    <phoneticPr fontId="1" type="noConversion"/>
  </si>
  <si>
    <t>네고한날</t>
    <phoneticPr fontId="1" type="noConversion"/>
  </si>
  <si>
    <t>바나나</t>
    <phoneticPr fontId="1" type="noConversion"/>
  </si>
  <si>
    <t>龍사실상</t>
    <phoneticPr fontId="1" type="noConversion"/>
  </si>
  <si>
    <t>붉은신굴러</t>
    <phoneticPr fontId="1" type="noConversion"/>
  </si>
  <si>
    <t>麗하얀용</t>
    <phoneticPr fontId="1" type="noConversion"/>
  </si>
  <si>
    <t>W마노</t>
    <phoneticPr fontId="1" type="noConversion"/>
  </si>
  <si>
    <t>주님곁으로</t>
    <phoneticPr fontId="1" type="noConversion"/>
  </si>
  <si>
    <t>GP또또</t>
    <phoneticPr fontId="1" type="noConversion"/>
  </si>
  <si>
    <t>羊그루</t>
    <phoneticPr fontId="1" type="noConversion"/>
  </si>
  <si>
    <t>羊흑펭귄</t>
    <phoneticPr fontId="1" type="noConversion"/>
  </si>
  <si>
    <t>붉은스파르타</t>
    <phoneticPr fontId="1" type="noConversion"/>
  </si>
  <si>
    <t>靑단데기</t>
    <phoneticPr fontId="1" type="noConversion"/>
  </si>
  <si>
    <t>龍해상전신</t>
    <phoneticPr fontId="1" type="noConversion"/>
  </si>
  <si>
    <t>必시기</t>
    <phoneticPr fontId="1" type="noConversion"/>
  </si>
  <si>
    <t>必헤라엔젤</t>
    <phoneticPr fontId="1" type="noConversion"/>
  </si>
  <si>
    <t>찬순이랑</t>
    <phoneticPr fontId="1" type="noConversion"/>
  </si>
  <si>
    <t>의뉴욕</t>
    <phoneticPr fontId="1" type="noConversion"/>
  </si>
  <si>
    <t>현빙</t>
    <phoneticPr fontId="1" type="noConversion"/>
  </si>
  <si>
    <t>靑만두</t>
    <phoneticPr fontId="1" type="noConversion"/>
  </si>
  <si>
    <t>必악몽</t>
    <phoneticPr fontId="1" type="noConversion"/>
  </si>
  <si>
    <t>靑대장군</t>
    <phoneticPr fontId="1" type="noConversion"/>
  </si>
  <si>
    <t>금낫</t>
    <phoneticPr fontId="1" type="noConversion"/>
  </si>
  <si>
    <t>독안룡</t>
    <phoneticPr fontId="1" type="noConversion"/>
  </si>
  <si>
    <t>羊비둘깅</t>
    <phoneticPr fontId="1" type="noConversion"/>
  </si>
  <si>
    <t>八</t>
    <phoneticPr fontId="1" type="noConversion"/>
  </si>
  <si>
    <t>必리미</t>
    <phoneticPr fontId="1" type="noConversion"/>
  </si>
  <si>
    <t>必설리</t>
    <phoneticPr fontId="1" type="noConversion"/>
  </si>
  <si>
    <t>실버마초</t>
    <phoneticPr fontId="1" type="noConversion"/>
  </si>
  <si>
    <t>龍차은우</t>
    <phoneticPr fontId="1" type="noConversion"/>
  </si>
  <si>
    <t>멍멍도깨비</t>
    <phoneticPr fontId="1" type="noConversion"/>
  </si>
  <si>
    <t>W래젠디아</t>
    <phoneticPr fontId="1" type="noConversion"/>
  </si>
  <si>
    <t>龍거울바라</t>
    <phoneticPr fontId="1" type="noConversion"/>
  </si>
  <si>
    <t>큐베</t>
    <phoneticPr fontId="1" type="noConversion"/>
  </si>
  <si>
    <t>羊개미는뚠뚠</t>
    <phoneticPr fontId="1" type="noConversion"/>
  </si>
  <si>
    <t>싸나이방덕</t>
    <phoneticPr fontId="1" type="noConversion"/>
  </si>
  <si>
    <t>돌격마귀</t>
    <phoneticPr fontId="1" type="noConversion"/>
  </si>
  <si>
    <t>太펑키</t>
    <phoneticPr fontId="1" type="noConversion"/>
  </si>
  <si>
    <t>必무현</t>
    <phoneticPr fontId="1" type="noConversion"/>
  </si>
  <si>
    <t>必예수</t>
    <phoneticPr fontId="1" type="noConversion"/>
  </si>
  <si>
    <t>도도독</t>
    <phoneticPr fontId="1" type="noConversion"/>
  </si>
  <si>
    <t>소풍온응뎅이</t>
    <phoneticPr fontId="1" type="noConversion"/>
  </si>
  <si>
    <t>必투신흑풍</t>
    <phoneticPr fontId="1" type="noConversion"/>
  </si>
  <si>
    <t>초록조커</t>
    <phoneticPr fontId="1" type="noConversion"/>
  </si>
  <si>
    <t>太햄찌a</t>
    <phoneticPr fontId="1" type="noConversion"/>
  </si>
  <si>
    <t>불눈이티비</t>
    <phoneticPr fontId="1" type="noConversion"/>
  </si>
  <si>
    <t>必덴티도</t>
    <phoneticPr fontId="1" type="noConversion"/>
  </si>
  <si>
    <t>팔목상대</t>
    <phoneticPr fontId="1" type="noConversion"/>
  </si>
  <si>
    <t>RS대표</t>
    <phoneticPr fontId="1" type="noConversion"/>
  </si>
  <si>
    <t>마산히야</t>
    <phoneticPr fontId="1" type="noConversion"/>
  </si>
  <si>
    <t>必소유</t>
    <phoneticPr fontId="1" type="noConversion"/>
  </si>
  <si>
    <t>무림태풍</t>
    <phoneticPr fontId="1" type="noConversion"/>
  </si>
  <si>
    <t>불눈이TV</t>
    <phoneticPr fontId="1" type="noConversion"/>
  </si>
  <si>
    <t>멘사</t>
    <phoneticPr fontId="1" type="noConversion"/>
  </si>
  <si>
    <t>麗EI모대위</t>
    <phoneticPr fontId="1" type="noConversion"/>
  </si>
  <si>
    <t>ts태성</t>
    <phoneticPr fontId="1" type="noConversion"/>
  </si>
  <si>
    <t>소풍on너이</t>
    <phoneticPr fontId="1" type="noConversion"/>
  </si>
  <si>
    <t>W꺄르르</t>
    <phoneticPr fontId="1" type="noConversion"/>
  </si>
  <si>
    <t>RS조커</t>
    <phoneticPr fontId="1" type="noConversion"/>
  </si>
  <si>
    <t>羊마산강호동</t>
    <phoneticPr fontId="1" type="noConversion"/>
  </si>
  <si>
    <t>싸나이유닝</t>
    <phoneticPr fontId="1" type="noConversion"/>
  </si>
  <si>
    <t>北괴군</t>
    <phoneticPr fontId="1" type="noConversion"/>
  </si>
  <si>
    <t>羊하단간지</t>
    <phoneticPr fontId="1" type="noConversion"/>
  </si>
  <si>
    <t>커요미날</t>
    <phoneticPr fontId="1" type="noConversion"/>
  </si>
  <si>
    <t>역병괴물</t>
    <phoneticPr fontId="1" type="noConversion"/>
  </si>
  <si>
    <t>소풍on다스</t>
    <phoneticPr fontId="1" type="noConversion"/>
  </si>
  <si>
    <t>장갑차</t>
    <phoneticPr fontId="1" type="noConversion"/>
  </si>
  <si>
    <t>靑마초</t>
    <phoneticPr fontId="1" type="noConversion"/>
  </si>
  <si>
    <t>超야마토</t>
    <phoneticPr fontId="1" type="noConversion"/>
  </si>
  <si>
    <t>의볼트</t>
    <phoneticPr fontId="1" type="noConversion"/>
  </si>
  <si>
    <t>RSGOM</t>
    <phoneticPr fontId="1" type="noConversion"/>
  </si>
  <si>
    <t>靑안량</t>
    <phoneticPr fontId="1" type="noConversion"/>
  </si>
  <si>
    <t>의지산</t>
    <phoneticPr fontId="1" type="noConversion"/>
  </si>
  <si>
    <t>必짜빠게티</t>
    <phoneticPr fontId="1" type="noConversion"/>
  </si>
  <si>
    <t>한량조운</t>
    <phoneticPr fontId="1" type="noConversion"/>
  </si>
  <si>
    <t>帝겐조둥절</t>
    <phoneticPr fontId="1" type="noConversion"/>
  </si>
  <si>
    <t>협동조합</t>
    <phoneticPr fontId="1" type="noConversion"/>
  </si>
  <si>
    <t>|주|글로리</t>
    <phoneticPr fontId="1" type="noConversion"/>
  </si>
  <si>
    <t>영영영하</t>
    <phoneticPr fontId="1" type="noConversion"/>
  </si>
  <si>
    <t>羊보까</t>
    <phoneticPr fontId="1" type="noConversion"/>
  </si>
  <si>
    <t>Mx천좌</t>
    <phoneticPr fontId="1" type="noConversion"/>
  </si>
  <si>
    <t>神Ares</t>
    <phoneticPr fontId="1" type="noConversion"/>
  </si>
  <si>
    <t>RS슈웅</t>
    <phoneticPr fontId="1" type="noConversion"/>
  </si>
  <si>
    <t>타이틀</t>
    <phoneticPr fontId="1" type="noConversion"/>
  </si>
  <si>
    <t>안</t>
    <phoneticPr fontId="1" type="noConversion"/>
  </si>
  <si>
    <t>석원의검</t>
    <phoneticPr fontId="1" type="noConversion"/>
  </si>
  <si>
    <t>靑문별</t>
    <phoneticPr fontId="1" type="noConversion"/>
  </si>
  <si>
    <t>감이</t>
    <phoneticPr fontId="1" type="noConversion"/>
  </si>
  <si>
    <t>Mx아거</t>
    <phoneticPr fontId="1" type="noConversion"/>
  </si>
  <si>
    <t>소풍간코뿔소</t>
    <phoneticPr fontId="1" type="noConversion"/>
  </si>
  <si>
    <t>호냥뇽</t>
    <phoneticPr fontId="1" type="noConversion"/>
  </si>
  <si>
    <t>必스텔라B</t>
    <phoneticPr fontId="1" type="noConversion"/>
  </si>
  <si>
    <t>카타르시쓰Z</t>
    <phoneticPr fontId="1" type="noConversion"/>
  </si>
  <si>
    <t>이콩이</t>
    <phoneticPr fontId="1" type="noConversion"/>
  </si>
  <si>
    <t>The금범군</t>
    <phoneticPr fontId="1" type="noConversion"/>
  </si>
  <si>
    <t>귀농단</t>
    <phoneticPr fontId="1" type="noConversion"/>
  </si>
  <si>
    <t>옥길</t>
    <phoneticPr fontId="1" type="noConversion"/>
  </si>
  <si>
    <t>RS새우</t>
    <phoneticPr fontId="1" type="noConversion"/>
  </si>
  <si>
    <t>한가한</t>
    <phoneticPr fontId="1" type="noConversion"/>
  </si>
  <si>
    <t>킴쑤</t>
    <phoneticPr fontId="1" type="noConversion"/>
  </si>
  <si>
    <t>레플</t>
    <phoneticPr fontId="1" type="noConversion"/>
  </si>
  <si>
    <t>RZ사마의</t>
    <phoneticPr fontId="1" type="noConversion"/>
  </si>
  <si>
    <t>麗냥냥펀치z</t>
    <phoneticPr fontId="1" type="noConversion"/>
  </si>
  <si>
    <t>RS오리</t>
    <phoneticPr fontId="1" type="noConversion"/>
  </si>
  <si>
    <t>KD도가니</t>
    <phoneticPr fontId="1" type="noConversion"/>
  </si>
  <si>
    <t>농부일세</t>
    <phoneticPr fontId="1" type="noConversion"/>
  </si>
  <si>
    <t>전목사</t>
    <phoneticPr fontId="1" type="noConversion"/>
  </si>
  <si>
    <t>현대로템</t>
    <phoneticPr fontId="1" type="noConversion"/>
  </si>
  <si>
    <t>검정말릭</t>
    <phoneticPr fontId="1" type="noConversion"/>
  </si>
  <si>
    <t>DNBMH</t>
    <phoneticPr fontId="1" type="noConversion"/>
  </si>
  <si>
    <t>돌격악귀</t>
    <phoneticPr fontId="1" type="noConversion"/>
  </si>
  <si>
    <t>사라진날</t>
    <phoneticPr fontId="1" type="noConversion"/>
  </si>
  <si>
    <t>금갈쾡이</t>
    <phoneticPr fontId="1" type="noConversion"/>
  </si>
  <si>
    <t>소풍천지</t>
    <phoneticPr fontId="1" type="noConversion"/>
  </si>
  <si>
    <t>해피한날</t>
    <phoneticPr fontId="1" type="noConversion"/>
  </si>
  <si>
    <t>北소울</t>
    <phoneticPr fontId="1" type="noConversion"/>
  </si>
  <si>
    <t>必살기</t>
    <phoneticPr fontId="1" type="noConversion"/>
  </si>
  <si>
    <t>광호제</t>
    <phoneticPr fontId="1" type="noConversion"/>
  </si>
  <si>
    <t>지버니</t>
    <phoneticPr fontId="1" type="noConversion"/>
  </si>
  <si>
    <t>일색의용</t>
    <phoneticPr fontId="1" type="noConversion"/>
  </si>
  <si>
    <t>구미호乃</t>
    <phoneticPr fontId="1" type="noConversion"/>
  </si>
  <si>
    <t>오관석</t>
    <phoneticPr fontId="1" type="noConversion"/>
  </si>
  <si>
    <t>강한신통방통</t>
    <phoneticPr fontId="1" type="noConversion"/>
  </si>
  <si>
    <t>키노</t>
    <phoneticPr fontId="1" type="noConversion"/>
  </si>
  <si>
    <t>必지국삼</t>
    <phoneticPr fontId="1" type="noConversion"/>
  </si>
  <si>
    <t>광색의용</t>
    <phoneticPr fontId="1" type="noConversion"/>
  </si>
  <si>
    <t>고공행진</t>
    <phoneticPr fontId="1" type="noConversion"/>
  </si>
  <si>
    <t>난감한날</t>
    <phoneticPr fontId="1" type="noConversion"/>
  </si>
  <si>
    <t>야합</t>
    <phoneticPr fontId="1" type="noConversion"/>
  </si>
  <si>
    <t>유채송</t>
    <phoneticPr fontId="1" type="noConversion"/>
  </si>
  <si>
    <t>羊여름이다</t>
    <phoneticPr fontId="1" type="noConversion"/>
  </si>
  <si>
    <t>벤클리프</t>
    <phoneticPr fontId="1" type="noConversion"/>
  </si>
  <si>
    <t>흰방</t>
    <phoneticPr fontId="1" type="noConversion"/>
  </si>
  <si>
    <t>W오티S</t>
    <phoneticPr fontId="1" type="noConversion"/>
  </si>
  <si>
    <t>검성제제</t>
    <phoneticPr fontId="1" type="noConversion"/>
  </si>
  <si>
    <t>강한민호</t>
    <phoneticPr fontId="1" type="noConversion"/>
  </si>
  <si>
    <t>麗싸농</t>
    <phoneticPr fontId="1" type="noConversion"/>
  </si>
  <si>
    <t>소풍나온백사</t>
    <phoneticPr fontId="1" type="noConversion"/>
  </si>
  <si>
    <t>껄껄껄</t>
    <phoneticPr fontId="1" type="noConversion"/>
  </si>
  <si>
    <t>폐월</t>
    <phoneticPr fontId="1" type="noConversion"/>
  </si>
  <si>
    <t>의서율옹</t>
    <phoneticPr fontId="1" type="noConversion"/>
  </si>
  <si>
    <t>미모의려희</t>
    <phoneticPr fontId="1" type="noConversion"/>
  </si>
  <si>
    <t>必먼치킨</t>
    <phoneticPr fontId="1" type="noConversion"/>
  </si>
  <si>
    <t>일랑이랑</t>
    <phoneticPr fontId="1" type="noConversion"/>
  </si>
  <si>
    <t>虎초격차</t>
    <phoneticPr fontId="1" type="noConversion"/>
  </si>
  <si>
    <t>麗페이지</t>
    <phoneticPr fontId="1" type="noConversion"/>
  </si>
  <si>
    <t>푸른별</t>
    <phoneticPr fontId="1" type="noConversion"/>
  </si>
  <si>
    <t>의김제로</t>
    <phoneticPr fontId="1" type="noConversion"/>
  </si>
  <si>
    <t>눈오던날</t>
    <phoneticPr fontId="1" type="noConversion"/>
  </si>
  <si>
    <t>GP사천랑</t>
    <phoneticPr fontId="1" type="noConversion"/>
  </si>
  <si>
    <t>太종박</t>
    <phoneticPr fontId="1" type="noConversion"/>
  </si>
  <si>
    <t>불눈이tv</t>
    <phoneticPr fontId="1" type="noConversion"/>
  </si>
  <si>
    <t>주공a</t>
    <phoneticPr fontId="1" type="noConversion"/>
  </si>
  <si>
    <t>카드</t>
    <phoneticPr fontId="1" type="noConversion"/>
  </si>
  <si>
    <t>太토키</t>
    <phoneticPr fontId="1" type="noConversion"/>
  </si>
  <si>
    <t>호다닥</t>
    <phoneticPr fontId="1" type="noConversion"/>
  </si>
  <si>
    <t>W호남</t>
    <phoneticPr fontId="1" type="noConversion"/>
  </si>
  <si>
    <t>太협박</t>
    <phoneticPr fontId="1" type="noConversion"/>
  </si>
  <si>
    <t>금색의용</t>
    <phoneticPr fontId="1" type="noConversion"/>
  </si>
  <si>
    <t>龍단디바라</t>
    <phoneticPr fontId="1" type="noConversion"/>
  </si>
  <si>
    <t>麗빠다z</t>
    <phoneticPr fontId="1" type="noConversion"/>
  </si>
  <si>
    <t>농약먹은유리</t>
    <phoneticPr fontId="1" type="noConversion"/>
  </si>
  <si>
    <t>성색의용</t>
    <phoneticPr fontId="1" type="noConversion"/>
  </si>
  <si>
    <t>必꼬순내</t>
    <phoneticPr fontId="1" type="noConversion"/>
  </si>
  <si>
    <t>소풍온좁세</t>
    <phoneticPr fontId="1" type="noConversion"/>
  </si>
  <si>
    <t>콥관음병</t>
    <phoneticPr fontId="1" type="noConversion"/>
  </si>
  <si>
    <t>주수성</t>
    <phoneticPr fontId="1" type="noConversion"/>
  </si>
  <si>
    <t>항우랑</t>
    <phoneticPr fontId="1" type="noConversion"/>
  </si>
  <si>
    <t>소풍베리</t>
    <phoneticPr fontId="1" type="noConversion"/>
  </si>
  <si>
    <t>무무</t>
    <phoneticPr fontId="1" type="noConversion"/>
  </si>
  <si>
    <t>必애리</t>
    <phoneticPr fontId="1" type="noConversion"/>
  </si>
  <si>
    <t>뚤기</t>
    <phoneticPr fontId="1" type="noConversion"/>
  </si>
  <si>
    <t>붉은현</t>
    <phoneticPr fontId="1" type="noConversion"/>
  </si>
  <si>
    <t>火라이온킹</t>
    <phoneticPr fontId="1" type="noConversion"/>
  </si>
  <si>
    <t>고장군</t>
    <phoneticPr fontId="1" type="noConversion"/>
  </si>
  <si>
    <t>소풍온신비탱</t>
    <phoneticPr fontId="1" type="noConversion"/>
  </si>
  <si>
    <t>Mx야마토</t>
    <phoneticPr fontId="1" type="noConversion"/>
  </si>
  <si>
    <t>풍색의용</t>
    <phoneticPr fontId="1" type="noConversion"/>
  </si>
  <si>
    <t>신기묘산와룡</t>
    <phoneticPr fontId="1" type="noConversion"/>
  </si>
  <si>
    <t>흰두광</t>
    <phoneticPr fontId="1" type="noConversion"/>
  </si>
  <si>
    <t>Anemone</t>
    <phoneticPr fontId="1" type="noConversion"/>
  </si>
  <si>
    <t>마량</t>
    <phoneticPr fontId="1" type="noConversion"/>
  </si>
  <si>
    <t>규화</t>
    <phoneticPr fontId="1" type="noConversion"/>
  </si>
  <si>
    <t>그리</t>
    <phoneticPr fontId="1" type="noConversion"/>
  </si>
  <si>
    <t>TS제비</t>
    <phoneticPr fontId="1" type="noConversion"/>
  </si>
  <si>
    <t>TS따라</t>
    <phoneticPr fontId="1" type="noConversion"/>
  </si>
  <si>
    <t>대왕오빠</t>
    <phoneticPr fontId="1" type="noConversion"/>
  </si>
  <si>
    <t>샬롯링링</t>
    <phoneticPr fontId="1" type="noConversion"/>
  </si>
  <si>
    <t>소풍온지안이</t>
    <phoneticPr fontId="1" type="noConversion"/>
  </si>
  <si>
    <t>한량조인</t>
    <phoneticPr fontId="1" type="noConversion"/>
  </si>
  <si>
    <t>귀검</t>
    <phoneticPr fontId="1" type="noConversion"/>
  </si>
  <si>
    <t>Mx타니아</t>
    <phoneticPr fontId="1" type="noConversion"/>
  </si>
  <si>
    <t>소풍온카스탱</t>
    <phoneticPr fontId="1" type="noConversion"/>
  </si>
  <si>
    <t>성룡</t>
    <phoneticPr fontId="1" type="noConversion"/>
  </si>
  <si>
    <t>삼성반도체</t>
    <phoneticPr fontId="1" type="noConversion"/>
  </si>
  <si>
    <t>羊마산진빼이</t>
    <phoneticPr fontId="1" type="noConversion"/>
  </si>
  <si>
    <t>관호</t>
    <phoneticPr fontId="1" type="noConversion"/>
  </si>
  <si>
    <t>RS완표</t>
    <phoneticPr fontId="1" type="noConversion"/>
  </si>
  <si>
    <t>소풍on서이</t>
    <phoneticPr fontId="1" type="noConversion"/>
  </si>
  <si>
    <t>十영웅</t>
    <phoneticPr fontId="1" type="noConversion"/>
  </si>
  <si>
    <t>Beluga</t>
    <phoneticPr fontId="1" type="noConversion"/>
  </si>
  <si>
    <t>공손무</t>
    <phoneticPr fontId="1" type="noConversion"/>
  </si>
  <si>
    <t>羊김조교</t>
    <phoneticPr fontId="1" type="noConversion"/>
  </si>
  <si>
    <t>세아사자핑</t>
    <phoneticPr fontId="1" type="noConversion"/>
  </si>
  <si>
    <t>글램핑</t>
    <phoneticPr fontId="1" type="noConversion"/>
  </si>
  <si>
    <t>帝갠조둥절</t>
    <phoneticPr fontId="1" type="noConversion"/>
  </si>
  <si>
    <t>무쪽이</t>
    <phoneticPr fontId="1" type="noConversion"/>
  </si>
  <si>
    <t>트레</t>
    <phoneticPr fontId="1" type="noConversion"/>
  </si>
  <si>
    <t>소풍온휘밥탱</t>
    <phoneticPr fontId="1" type="noConversion"/>
  </si>
  <si>
    <t>에주훈</t>
    <phoneticPr fontId="1" type="noConversion"/>
  </si>
  <si>
    <t>羊십상시</t>
    <phoneticPr fontId="1" type="noConversion"/>
  </si>
  <si>
    <t>RZ지인고문</t>
    <phoneticPr fontId="1" type="noConversion"/>
  </si>
  <si>
    <t>RZ드라곤</t>
    <phoneticPr fontId="1" type="noConversion"/>
  </si>
  <si>
    <t>Apa</t>
    <phoneticPr fontId="1" type="noConversion"/>
  </si>
  <si>
    <t>龍분홍</t>
    <phoneticPr fontId="1" type="noConversion"/>
  </si>
  <si>
    <t>파이프</t>
    <phoneticPr fontId="1" type="noConversion"/>
  </si>
  <si>
    <t>한신</t>
    <phoneticPr fontId="1" type="noConversion"/>
  </si>
  <si>
    <t>모래성</t>
    <phoneticPr fontId="1" type="noConversion"/>
  </si>
  <si>
    <t>羊미성조</t>
    <phoneticPr fontId="1" type="noConversion"/>
  </si>
  <si>
    <t>太워키</t>
    <phoneticPr fontId="1" type="noConversion"/>
  </si>
  <si>
    <t>돌격단화</t>
    <phoneticPr fontId="1" type="noConversion"/>
  </si>
  <si>
    <t>공손승</t>
    <phoneticPr fontId="1" type="noConversion"/>
  </si>
  <si>
    <t>창천天</t>
    <phoneticPr fontId="1" type="noConversion"/>
  </si>
  <si>
    <t>원하삼</t>
    <phoneticPr fontId="1" type="noConversion"/>
  </si>
  <si>
    <t>효허우</t>
    <phoneticPr fontId="1" type="noConversion"/>
  </si>
  <si>
    <t>龍진이바라</t>
    <phoneticPr fontId="1" type="noConversion"/>
  </si>
  <si>
    <t>무가당코코아</t>
    <phoneticPr fontId="1" type="noConversion"/>
  </si>
  <si>
    <t>超KB</t>
    <phoneticPr fontId="1" type="noConversion"/>
  </si>
  <si>
    <t>Mx천우</t>
    <phoneticPr fontId="1" type="noConversion"/>
  </si>
  <si>
    <t>싸나이바로</t>
    <phoneticPr fontId="1" type="noConversion"/>
  </si>
  <si>
    <t>소혼</t>
    <phoneticPr fontId="1" type="noConversion"/>
  </si>
  <si>
    <t>RS담덕</t>
    <phoneticPr fontId="1" type="noConversion"/>
  </si>
  <si>
    <t>삼성가노</t>
    <phoneticPr fontId="1" type="noConversion"/>
  </si>
  <si>
    <t>슈육한날</t>
    <phoneticPr fontId="1" type="noConversion"/>
  </si>
  <si>
    <t>마초곁으로</t>
    <phoneticPr fontId="1" type="noConversion"/>
  </si>
  <si>
    <t>윈터is</t>
    <phoneticPr fontId="1" type="noConversion"/>
  </si>
  <si>
    <t>글리</t>
    <phoneticPr fontId="1" type="noConversion"/>
  </si>
  <si>
    <t>羊도깨비짱</t>
    <phoneticPr fontId="1" type="noConversion"/>
  </si>
  <si>
    <t>흰빵</t>
    <phoneticPr fontId="1" type="noConversion"/>
  </si>
  <si>
    <t>의천마용용</t>
    <phoneticPr fontId="1" type="noConversion"/>
  </si>
  <si>
    <t>동맹없음</t>
    <phoneticPr fontId="1" type="noConversion"/>
  </si>
  <si>
    <t>나는버섯</t>
    <phoneticPr fontId="1" type="noConversion"/>
  </si>
  <si>
    <t>두인</t>
    <phoneticPr fontId="1" type="noConversion"/>
  </si>
  <si>
    <t>|조조|</t>
    <phoneticPr fontId="1" type="noConversion"/>
  </si>
  <si>
    <t>잡췌</t>
    <phoneticPr fontId="1" type="noConversion"/>
  </si>
  <si>
    <t>麗희땡이</t>
    <phoneticPr fontId="1" type="noConversion"/>
  </si>
  <si>
    <t>必리아</t>
    <phoneticPr fontId="1" type="noConversion"/>
  </si>
  <si>
    <t>으아아니</t>
    <phoneticPr fontId="1" type="noConversion"/>
  </si>
  <si>
    <t>술먹는날</t>
    <phoneticPr fontId="1" type="noConversion"/>
  </si>
  <si>
    <t>카이사르</t>
    <phoneticPr fontId="1" type="noConversion"/>
  </si>
  <si>
    <t>레스토랑</t>
    <phoneticPr fontId="1" type="noConversion"/>
  </si>
  <si>
    <t>의갓바로</t>
    <phoneticPr fontId="1" type="noConversion"/>
  </si>
  <si>
    <t>포텐짱</t>
    <phoneticPr fontId="1" type="noConversion"/>
  </si>
  <si>
    <t>삼성전자</t>
    <phoneticPr fontId="1" type="noConversion"/>
  </si>
  <si>
    <t>소풍온송강탱</t>
    <phoneticPr fontId="1" type="noConversion"/>
  </si>
  <si>
    <t>동평</t>
    <phoneticPr fontId="1" type="noConversion"/>
  </si>
  <si>
    <t>麗신이</t>
    <phoneticPr fontId="1" type="noConversion"/>
  </si>
  <si>
    <t>하드드링커z</t>
    <phoneticPr fontId="1" type="noConversion"/>
  </si>
  <si>
    <t>폭설의날</t>
    <phoneticPr fontId="1" type="noConversion"/>
  </si>
  <si>
    <t>한량감녕</t>
    <phoneticPr fontId="1" type="noConversion"/>
  </si>
  <si>
    <t>갑뿌</t>
    <phoneticPr fontId="1" type="noConversion"/>
  </si>
  <si>
    <t>섬광의티엘레</t>
    <phoneticPr fontId="1" type="noConversion"/>
  </si>
  <si>
    <t>믿지마날</t>
    <phoneticPr fontId="1" type="noConversion"/>
  </si>
  <si>
    <t>Mx허갈</t>
    <phoneticPr fontId="1" type="noConversion"/>
  </si>
  <si>
    <t>대감도깨비</t>
    <phoneticPr fontId="1" type="noConversion"/>
  </si>
  <si>
    <t>뿅</t>
    <phoneticPr fontId="1" type="noConversion"/>
  </si>
  <si>
    <t>연청</t>
    <phoneticPr fontId="1" type="noConversion"/>
  </si>
  <si>
    <t>하엘s</t>
    <phoneticPr fontId="1" type="noConversion"/>
  </si>
  <si>
    <t>네이비슈트</t>
    <phoneticPr fontId="1" type="noConversion"/>
  </si>
  <si>
    <t>羊송충이</t>
    <phoneticPr fontId="1" type="noConversion"/>
  </si>
  <si>
    <t>RZ두산</t>
    <phoneticPr fontId="1" type="noConversion"/>
  </si>
  <si>
    <t>ㅁ로한ㅁ</t>
    <phoneticPr fontId="1" type="noConversion"/>
  </si>
  <si>
    <t>RZ각설탕</t>
    <phoneticPr fontId="1" type="noConversion"/>
  </si>
  <si>
    <t>미호크</t>
    <phoneticPr fontId="1" type="noConversion"/>
  </si>
  <si>
    <t>주색의용</t>
    <phoneticPr fontId="1" type="noConversion"/>
  </si>
  <si>
    <t>龍잉어퀸</t>
    <phoneticPr fontId="1" type="noConversion"/>
  </si>
  <si>
    <t>회색범상</t>
    <phoneticPr fontId="1" type="noConversion"/>
  </si>
  <si>
    <t>정대만z</t>
    <phoneticPr fontId="1" type="noConversion"/>
  </si>
  <si>
    <t>종뱀</t>
    <phoneticPr fontId="1" type="noConversion"/>
  </si>
  <si>
    <t>帝위무지강</t>
    <phoneticPr fontId="1" type="noConversion"/>
  </si>
  <si>
    <t>초밥z</t>
    <phoneticPr fontId="1" type="noConversion"/>
  </si>
  <si>
    <t>TS유애나쭌</t>
    <phoneticPr fontId="1" type="noConversion"/>
  </si>
  <si>
    <t>somnus</t>
    <phoneticPr fontId="1" type="noConversion"/>
  </si>
  <si>
    <t>W취자</t>
    <phoneticPr fontId="1" type="noConversion"/>
  </si>
  <si>
    <t>RZ주접</t>
    <phoneticPr fontId="1" type="noConversion"/>
  </si>
  <si>
    <t>超연격치와왕</t>
    <phoneticPr fontId="1" type="noConversion"/>
  </si>
  <si>
    <t>SKJBD</t>
    <phoneticPr fontId="1" type="noConversion"/>
  </si>
  <si>
    <t>하얀구름</t>
    <phoneticPr fontId="1" type="noConversion"/>
  </si>
  <si>
    <t>麗비야</t>
    <phoneticPr fontId="1" type="noConversion"/>
  </si>
  <si>
    <t>必쮸탱이</t>
    <phoneticPr fontId="1" type="noConversion"/>
  </si>
  <si>
    <t>불꽃남</t>
    <phoneticPr fontId="1" type="noConversion"/>
  </si>
  <si>
    <t>무휼ㅣ</t>
    <phoneticPr fontId="1" type="noConversion"/>
  </si>
  <si>
    <t>JSON</t>
    <phoneticPr fontId="1" type="noConversion"/>
  </si>
  <si>
    <t>붉은커피</t>
    <phoneticPr fontId="1" type="noConversion"/>
  </si>
  <si>
    <t>로제</t>
    <phoneticPr fontId="1" type="noConversion"/>
  </si>
  <si>
    <t>시브아</t>
    <phoneticPr fontId="1" type="noConversion"/>
  </si>
  <si>
    <t>ㅇ용상ㅇ</t>
    <phoneticPr fontId="1" type="noConversion"/>
  </si>
  <si>
    <t>W오티스</t>
    <phoneticPr fontId="1" type="noConversion"/>
  </si>
  <si>
    <t>西꼬꼬나비</t>
    <phoneticPr fontId="1" type="noConversion"/>
  </si>
  <si>
    <t>帝겐조등절</t>
    <phoneticPr fontId="1" type="noConversion"/>
  </si>
  <si>
    <t>무케</t>
    <phoneticPr fontId="1" type="noConversion"/>
  </si>
  <si>
    <t>부릅뜬강유</t>
    <phoneticPr fontId="1" type="noConversion"/>
  </si>
  <si>
    <t>RS권율</t>
    <phoneticPr fontId="1" type="noConversion"/>
  </si>
  <si>
    <t>로우z</t>
    <phoneticPr fontId="1" type="noConversion"/>
  </si>
  <si>
    <t>경공</t>
    <phoneticPr fontId="1" type="noConversion"/>
  </si>
  <si>
    <t>TS스벅</t>
    <phoneticPr fontId="1" type="noConversion"/>
  </si>
  <si>
    <t>The낰</t>
    <phoneticPr fontId="1" type="noConversion"/>
  </si>
  <si>
    <t>ㄷ ㅏ ㅅ ㅣ</t>
    <phoneticPr fontId="1" type="noConversion"/>
  </si>
  <si>
    <t>하늘물괴기</t>
    <phoneticPr fontId="1" type="noConversion"/>
  </si>
  <si>
    <t>아리랑도원</t>
    <phoneticPr fontId="1" type="noConversion"/>
  </si>
  <si>
    <t>GP유하</t>
    <phoneticPr fontId="1" type="noConversion"/>
  </si>
  <si>
    <t>빈빈이네</t>
    <phoneticPr fontId="1" type="noConversion"/>
  </si>
  <si>
    <t>羊불닭</t>
    <phoneticPr fontId="1" type="noConversion"/>
  </si>
  <si>
    <t>그여자</t>
    <phoneticPr fontId="1" type="noConversion"/>
  </si>
  <si>
    <t>티N티</t>
    <phoneticPr fontId="1" type="noConversion"/>
  </si>
  <si>
    <t>마색의용</t>
    <phoneticPr fontId="1" type="noConversion"/>
  </si>
  <si>
    <t>必콩자</t>
    <phoneticPr fontId="1" type="noConversion"/>
  </si>
  <si>
    <t>W알슈</t>
    <phoneticPr fontId="1" type="noConversion"/>
  </si>
  <si>
    <t>RS농부</t>
    <phoneticPr fontId="1" type="noConversion"/>
  </si>
  <si>
    <t>龍오만인가</t>
    <phoneticPr fontId="1" type="noConversion"/>
  </si>
  <si>
    <t>超연격초토화</t>
    <phoneticPr fontId="1" type="noConversion"/>
  </si>
  <si>
    <t>亗</t>
  </si>
  <si>
    <t>亗</t>
    <phoneticPr fontId="1" type="noConversion"/>
  </si>
  <si>
    <t>凵</t>
  </si>
  <si>
    <t>丫</t>
  </si>
  <si>
    <t>丫</t>
    <phoneticPr fontId="1" type="noConversion"/>
  </si>
  <si>
    <t>天威</t>
  </si>
  <si>
    <t>天威</t>
    <phoneticPr fontId="1" type="noConversion"/>
  </si>
  <si>
    <t>乄</t>
  </si>
  <si>
    <t>忠義</t>
  </si>
  <si>
    <t>忠義</t>
    <phoneticPr fontId="1" type="noConversion"/>
  </si>
  <si>
    <t>遊興</t>
  </si>
  <si>
    <t>遊興</t>
    <phoneticPr fontId="1" type="noConversion"/>
  </si>
  <si>
    <t>天威밀친드그</t>
  </si>
  <si>
    <t>天威방국봉</t>
  </si>
  <si>
    <t>天威거북왕</t>
  </si>
  <si>
    <t>天威탈수기</t>
  </si>
  <si>
    <t>天威대민지원</t>
  </si>
  <si>
    <t>天威이상해씨</t>
  </si>
  <si>
    <t>天威는</t>
  </si>
  <si>
    <t>天威로케트</t>
  </si>
  <si>
    <t>天威바리깡</t>
  </si>
  <si>
    <t>天威마운록</t>
  </si>
  <si>
    <t>天威수신제</t>
  </si>
  <si>
    <t>天威꾸리</t>
  </si>
  <si>
    <t>天威시슴</t>
  </si>
  <si>
    <t>天威쓰마이</t>
  </si>
  <si>
    <t>天威마포</t>
  </si>
  <si>
    <t>天威윈디</t>
  </si>
  <si>
    <t>天威파이리</t>
  </si>
  <si>
    <t>天威김냥파</t>
  </si>
  <si>
    <t>天威미꾸리</t>
  </si>
  <si>
    <t>天威제갈량</t>
  </si>
  <si>
    <t>天威프리저</t>
  </si>
  <si>
    <t>天威쇼니셩이</t>
  </si>
  <si>
    <t>丫용마산</t>
  </si>
  <si>
    <t>丫백부</t>
  </si>
  <si>
    <t>丫첨밀밀</t>
  </si>
  <si>
    <t>丫하</t>
  </si>
  <si>
    <t>丫발렌타인</t>
  </si>
  <si>
    <t>丫천재</t>
  </si>
  <si>
    <t>丫윤</t>
  </si>
  <si>
    <t>丫정</t>
  </si>
  <si>
    <t>丫여와</t>
  </si>
  <si>
    <t>丫바람오리</t>
  </si>
  <si>
    <t>丫박보권</t>
  </si>
  <si>
    <t>丫해랑온</t>
  </si>
  <si>
    <t>丫청송</t>
  </si>
  <si>
    <t>丫이글이</t>
  </si>
  <si>
    <t>丫酒머니</t>
  </si>
  <si>
    <t>乄</t>
    <phoneticPr fontId="1" type="noConversion"/>
  </si>
  <si>
    <t>乄애램</t>
  </si>
  <si>
    <t>乄표</t>
  </si>
  <si>
    <t>乄멘석</t>
  </si>
  <si>
    <t>乄아영천사</t>
  </si>
  <si>
    <t>乄아트</t>
  </si>
  <si>
    <t>乄조자룡</t>
  </si>
  <si>
    <t>乄백태인</t>
  </si>
  <si>
    <t>乄뉴이</t>
  </si>
  <si>
    <t>乄라혼</t>
  </si>
  <si>
    <t>乄키즈</t>
  </si>
  <si>
    <t>乄샘치</t>
  </si>
  <si>
    <t>乄공작</t>
  </si>
  <si>
    <t>乄김덕만</t>
  </si>
  <si>
    <t>乄토론토</t>
  </si>
  <si>
    <t>乄미리내</t>
  </si>
  <si>
    <t>乄엔</t>
  </si>
  <si>
    <t>乄행쇼</t>
  </si>
  <si>
    <t>乄공터수비군</t>
  </si>
  <si>
    <t>乄칠봉이</t>
  </si>
  <si>
    <t>乄루마틴</t>
  </si>
  <si>
    <t>乄목재수비군</t>
  </si>
  <si>
    <t>乄냠냠</t>
  </si>
  <si>
    <t>乄윈터</t>
  </si>
  <si>
    <t>乄옴걸</t>
  </si>
  <si>
    <t>乄창파나이트</t>
  </si>
  <si>
    <t>악마채乄</t>
  </si>
  <si>
    <t>乄탕구리</t>
  </si>
  <si>
    <t>乄겉바속초</t>
  </si>
  <si>
    <t>忠義나이스</t>
  </si>
  <si>
    <t>忠義우강</t>
  </si>
  <si>
    <t>忠義귀토</t>
  </si>
  <si>
    <t>忠義나이키</t>
  </si>
  <si>
    <t>忠義이향</t>
  </si>
  <si>
    <t>忠義사자</t>
  </si>
  <si>
    <t>忠義퇴각</t>
  </si>
  <si>
    <t>遊興스타</t>
  </si>
  <si>
    <t>遊興레옹</t>
  </si>
  <si>
    <t>遊興옹글</t>
  </si>
  <si>
    <t>遊興노조</t>
  </si>
  <si>
    <t>亗귀꾸미</t>
  </si>
  <si>
    <t>亗꽃꾸미</t>
  </si>
  <si>
    <t>亗와동동김씨</t>
  </si>
  <si>
    <t>亗콩이</t>
  </si>
  <si>
    <t>亗오함마대철</t>
  </si>
  <si>
    <t>亗운명은있다</t>
  </si>
  <si>
    <t>亗제피로스</t>
  </si>
  <si>
    <t>亗불이</t>
  </si>
  <si>
    <t>亗오함마괘시</t>
  </si>
  <si>
    <t>亗녹차라떼</t>
  </si>
  <si>
    <t>亗오함마쁑쁑</t>
  </si>
  <si>
    <t>亗태림</t>
  </si>
  <si>
    <t>亗샬롯오타쿠</t>
  </si>
  <si>
    <t>亗홍이홍</t>
  </si>
  <si>
    <t>亗아르네</t>
  </si>
  <si>
    <t>亗샬롯우연</t>
  </si>
  <si>
    <t>亗약사</t>
  </si>
  <si>
    <t>亗샬롯필연</t>
  </si>
  <si>
    <t>凵</t>
    <phoneticPr fontId="1" type="noConversion"/>
  </si>
  <si>
    <t>凵너구리</t>
  </si>
  <si>
    <t>凵진라면</t>
  </si>
  <si>
    <t>凵무파마</t>
  </si>
  <si>
    <t>凵스낵면</t>
  </si>
  <si>
    <t>凵신라면</t>
  </si>
  <si>
    <t>凵참깨라면</t>
  </si>
  <si>
    <t>凵오징어잠봉</t>
  </si>
  <si>
    <t>凵안성탕면</t>
  </si>
  <si>
    <t>靑핑돌</t>
    <phoneticPr fontId="1" type="noConversion"/>
  </si>
  <si>
    <t>必블리파파</t>
    <phoneticPr fontId="1" type="noConversion"/>
  </si>
  <si>
    <t>靑세쥬</t>
    <phoneticPr fontId="1" type="noConversion"/>
  </si>
  <si>
    <t>靑냥펀치킹</t>
    <phoneticPr fontId="1" type="noConversion"/>
  </si>
  <si>
    <t>必비트핑</t>
    <phoneticPr fontId="1" type="noConversion"/>
  </si>
  <si>
    <t>靑하</t>
    <phoneticPr fontId="1" type="noConversion"/>
  </si>
  <si>
    <t>靑여포</t>
    <phoneticPr fontId="1" type="noConversion"/>
  </si>
  <si>
    <t>欄추노꾼</t>
  </si>
  <si>
    <t>欄밤</t>
  </si>
  <si>
    <t>欄해병</t>
  </si>
  <si>
    <t>欄여포</t>
  </si>
  <si>
    <t>欄주</t>
  </si>
  <si>
    <t>홀欄z</t>
  </si>
  <si>
    <t>RZ카발欄</t>
  </si>
  <si>
    <t>靑타타</t>
    <phoneticPr fontId="1" type="noConversion"/>
  </si>
  <si>
    <t>靑당근</t>
    <phoneticPr fontId="1" type="noConversion"/>
  </si>
  <si>
    <t>진영 순위</t>
    <phoneticPr fontId="1" type="noConversion"/>
  </si>
  <si>
    <t>전체분포</t>
    <phoneticPr fontId="1" type="noConversion"/>
  </si>
  <si>
    <t>in140분포</t>
    <phoneticPr fontId="1" type="noConversion"/>
  </si>
  <si>
    <t>아</t>
    <phoneticPr fontId="1" type="noConversion"/>
  </si>
  <si>
    <t>오</t>
    <phoneticPr fontId="1" type="noConversion"/>
  </si>
  <si>
    <t>세</t>
    <phoneticPr fontId="1" type="noConversion"/>
  </si>
  <si>
    <t>감</t>
    <phoneticPr fontId="1" type="noConversion"/>
  </si>
  <si>
    <t>붉은명월</t>
    <phoneticPr fontId="1" type="noConversion"/>
  </si>
  <si>
    <t>소풍오과니탱</t>
    <phoneticPr fontId="1" type="noConversion"/>
  </si>
  <si>
    <t>소풍온뱅거</t>
    <phoneticPr fontId="1" type="noConversion"/>
  </si>
  <si>
    <t>欄추노꾼</t>
    <phoneticPr fontId="1" type="noConversion"/>
  </si>
  <si>
    <t>갈팸표</t>
    <phoneticPr fontId="1" type="noConversion"/>
  </si>
  <si>
    <t>퓨ㅜㄹ잎정</t>
    <phoneticPr fontId="1" type="noConversion"/>
  </si>
  <si>
    <t>欄밤</t>
    <phoneticPr fontId="1" type="noConversion"/>
  </si>
  <si>
    <t>欄해병</t>
    <phoneticPr fontId="1" type="noConversion"/>
  </si>
  <si>
    <t>虎냥뇽</t>
    <phoneticPr fontId="1" type="noConversion"/>
  </si>
  <si>
    <t>义지산</t>
    <phoneticPr fontId="1" type="noConversion"/>
  </si>
  <si>
    <r>
      <rPr>
        <sz val="11"/>
        <color theme="1"/>
        <rFont val="새굴림"/>
        <family val="2"/>
        <charset val="134"/>
      </rPr>
      <t>义</t>
    </r>
    <r>
      <rPr>
        <sz val="11"/>
        <color theme="1"/>
        <rFont val="새굴림"/>
        <family val="2"/>
        <charset val="129"/>
      </rPr>
      <t>볼트</t>
    </r>
    <phoneticPr fontId="1" type="noConversion"/>
  </si>
  <si>
    <t>도</t>
    <phoneticPr fontId="1" type="noConversion"/>
  </si>
  <si>
    <t>겐조둥절</t>
    <phoneticPr fontId="1" type="noConversion"/>
  </si>
  <si>
    <r>
      <rPr>
        <sz val="11"/>
        <color theme="1"/>
        <rFont val="새굴림"/>
        <family val="2"/>
        <charset val="134"/>
      </rPr>
      <t>义</t>
    </r>
    <r>
      <rPr>
        <sz val="11"/>
        <color theme="1"/>
        <rFont val="새굴림"/>
        <family val="2"/>
        <charset val="129"/>
      </rPr>
      <t>뉴욕</t>
    </r>
    <phoneticPr fontId="1" type="noConversion"/>
  </si>
  <si>
    <t>홀란z</t>
    <phoneticPr fontId="1" type="noConversion"/>
  </si>
  <si>
    <t>义서율옹</t>
    <phoneticPr fontId="1" type="noConversion"/>
  </si>
  <si>
    <t>欄주</t>
    <phoneticPr fontId="1" type="noConversion"/>
  </si>
  <si>
    <r>
      <rPr>
        <sz val="11"/>
        <color theme="1"/>
        <rFont val="새굴림"/>
        <family val="2"/>
        <charset val="134"/>
      </rPr>
      <t>义</t>
    </r>
    <r>
      <rPr>
        <sz val="11"/>
        <color theme="1"/>
        <rFont val="새굴림"/>
        <family val="2"/>
        <charset val="129"/>
      </rPr>
      <t>김제로</t>
    </r>
    <phoneticPr fontId="1" type="noConversion"/>
  </si>
  <si>
    <t>갠조둥절</t>
    <phoneticPr fontId="1" type="noConversion"/>
  </si>
  <si>
    <t>欄여포</t>
    <phoneticPr fontId="1" type="noConversion"/>
  </si>
  <si>
    <t>虎모래성</t>
    <phoneticPr fontId="1" type="noConversion"/>
  </si>
  <si>
    <t>예주훈</t>
    <phoneticPr fontId="1" type="noConversion"/>
  </si>
  <si>
    <r>
      <rPr>
        <sz val="11"/>
        <color theme="1"/>
        <rFont val="새굴림"/>
        <family val="2"/>
        <charset val="134"/>
      </rPr>
      <t>义</t>
    </r>
    <r>
      <rPr>
        <sz val="11"/>
        <color theme="1"/>
        <rFont val="새굴림"/>
        <family val="2"/>
        <charset val="129"/>
      </rPr>
      <t>갓바로</t>
    </r>
    <phoneticPr fontId="1" type="noConversion"/>
  </si>
  <si>
    <t>별공</t>
    <phoneticPr fontId="1" type="noConversion"/>
  </si>
  <si>
    <t>명의어부</t>
    <phoneticPr fontId="1" type="noConversion"/>
  </si>
  <si>
    <t>RZ카발란</t>
    <phoneticPr fontId="1" type="noConversion"/>
  </si>
  <si>
    <t>매</t>
    <phoneticPr fontId="1" type="noConversion"/>
  </si>
  <si>
    <t>每</t>
  </si>
  <si>
    <t>每</t>
    <phoneticPr fontId="1" type="noConversion"/>
  </si>
  <si>
    <t>그린</t>
    <phoneticPr fontId="1" type="noConversion"/>
  </si>
  <si>
    <t>악마채칼</t>
    <phoneticPr fontId="1" type="noConversion"/>
  </si>
  <si>
    <t>W미뇽뇽뇽</t>
    <phoneticPr fontId="1" type="noConversion"/>
  </si>
  <si>
    <t>우성우성</t>
    <phoneticPr fontId="1" type="noConversion"/>
  </si>
  <si>
    <t>노동조합</t>
    <phoneticPr fontId="1" type="noConversion"/>
  </si>
  <si>
    <t>귀농쿠공</t>
    <phoneticPr fontId="1" type="noConversion"/>
  </si>
  <si>
    <t>羊민성조</t>
    <phoneticPr fontId="1" type="noConversion"/>
  </si>
  <si>
    <t>그남자</t>
    <phoneticPr fontId="1" type="noConversion"/>
  </si>
  <si>
    <t>RS전대미문</t>
    <phoneticPr fontId="1" type="noConversion"/>
  </si>
  <si>
    <t>우마왕</t>
    <phoneticPr fontId="1" type="noConversion"/>
  </si>
  <si>
    <t>Mx꿍형</t>
    <phoneticPr fontId="1" type="noConversion"/>
  </si>
  <si>
    <t>ㄷㅏㅅㅣ</t>
    <phoneticPr fontId="1" type="noConversion"/>
  </si>
  <si>
    <r>
      <rPr>
        <sz val="11"/>
        <color theme="1"/>
        <rFont val="새굴림"/>
        <family val="2"/>
        <charset val="134"/>
      </rPr>
      <t>义</t>
    </r>
    <r>
      <rPr>
        <sz val="11"/>
        <color theme="1"/>
        <rFont val="새굴림"/>
        <family val="2"/>
        <charset val="129"/>
      </rPr>
      <t>천마용용</t>
    </r>
    <phoneticPr fontId="1" type="noConversion"/>
  </si>
  <si>
    <t>겐조등절</t>
    <phoneticPr fontId="1" type="noConversion"/>
  </si>
  <si>
    <t>TS한신</t>
    <phoneticPr fontId="1" type="noConversion"/>
  </si>
  <si>
    <t>미모의려원</t>
    <phoneticPr fontId="1" type="noConversion"/>
  </si>
  <si>
    <t>묵혼지주</t>
    <phoneticPr fontId="1" type="noConversion"/>
  </si>
  <si>
    <t>Nw루시</t>
    <phoneticPr fontId="1" type="noConversion"/>
  </si>
  <si>
    <t>北카이도우</t>
    <phoneticPr fontId="1" type="noConversion"/>
  </si>
  <si>
    <t>지금유인나</t>
    <phoneticPr fontId="1" type="noConversion"/>
  </si>
  <si>
    <t>MZS미라지</t>
    <phoneticPr fontId="1" type="noConversion"/>
  </si>
  <si>
    <t>에어조던</t>
    <phoneticPr fontId="1" type="noConversion"/>
  </si>
  <si>
    <t>Mz어웅</t>
    <phoneticPr fontId="1" type="noConversion"/>
  </si>
  <si>
    <t>뿔칼</t>
    <phoneticPr fontId="1" type="noConversion"/>
  </si>
  <si>
    <t>명량이</t>
    <phoneticPr fontId="1" type="noConversion"/>
  </si>
  <si>
    <t>虎텐텐</t>
    <phoneticPr fontId="1" type="noConversion"/>
  </si>
  <si>
    <t>애꾸요</t>
    <phoneticPr fontId="1" type="noConversion"/>
  </si>
  <si>
    <t>x공덕동장</t>
    <phoneticPr fontId="1" type="noConversion"/>
  </si>
  <si>
    <t>휴직</t>
    <phoneticPr fontId="1" type="noConversion"/>
  </si>
  <si>
    <t>약수오빠</t>
    <phoneticPr fontId="1" type="noConversion"/>
  </si>
  <si>
    <t>每일공</t>
  </si>
  <si>
    <t>每경공</t>
  </si>
  <si>
    <t>乄민석</t>
  </si>
  <si>
    <t>亗돈묘조선생</t>
  </si>
  <si>
    <t>상삼주</t>
    <phoneticPr fontId="1" type="noConversion"/>
  </si>
  <si>
    <t>하삼주</t>
    <phoneticPr fontId="1" type="noConversion"/>
  </si>
  <si>
    <t>계</t>
    <phoneticPr fontId="1" type="noConversion"/>
  </si>
  <si>
    <t>in600</t>
    <phoneticPr fontId="1" type="noConversion"/>
  </si>
  <si>
    <t>in400</t>
    <phoneticPr fontId="1" type="noConversion"/>
  </si>
  <si>
    <t>in200</t>
    <phoneticPr fontId="1" type="noConversion"/>
  </si>
  <si>
    <t>in100</t>
    <phoneticPr fontId="1" type="noConversion"/>
  </si>
  <si>
    <t>in50</t>
    <phoneticPr fontId="1" type="noConversion"/>
  </si>
  <si>
    <t>컬러단</t>
    <phoneticPr fontId="1" type="noConversion"/>
  </si>
  <si>
    <t>상삼주</t>
  </si>
  <si>
    <t>in600</t>
  </si>
  <si>
    <t>in400</t>
  </si>
  <si>
    <t>in200</t>
  </si>
  <si>
    <t>in100</t>
  </si>
  <si>
    <t>in50</t>
  </si>
  <si>
    <t>잠룡</t>
  </si>
  <si>
    <t>아이돌</t>
  </si>
  <si>
    <t>협동조합</t>
  </si>
  <si>
    <t>노동조합</t>
  </si>
  <si>
    <t>계</t>
  </si>
  <si>
    <t>하삼주</t>
  </si>
  <si>
    <t>무명</t>
  </si>
  <si>
    <t>혁명군</t>
  </si>
  <si>
    <t>관중제장</t>
  </si>
  <si>
    <t>귀농단</t>
  </si>
  <si>
    <t>동맹</t>
  </si>
  <si>
    <t>전체분포</t>
  </si>
  <si>
    <t>in140분포</t>
  </si>
  <si>
    <t>义</t>
    <phoneticPr fontId="1" type="noConversion"/>
  </si>
  <si>
    <r>
      <rPr>
        <sz val="11"/>
        <color theme="1"/>
        <rFont val="새굴림"/>
        <family val="1"/>
        <charset val="129"/>
      </rPr>
      <t>义</t>
    </r>
    <r>
      <rPr>
        <sz val="11"/>
        <color theme="1"/>
        <rFont val="맑은 고딕"/>
        <family val="3"/>
        <charset val="134"/>
        <scheme val="minor"/>
      </rPr>
      <t>볼트</t>
    </r>
    <phoneticPr fontId="1" type="noConversion"/>
  </si>
  <si>
    <t>현대로켐</t>
    <phoneticPr fontId="1" type="noConversion"/>
  </si>
  <si>
    <r>
      <t>义</t>
    </r>
    <r>
      <rPr>
        <sz val="11"/>
        <color theme="1"/>
        <rFont val="돋움"/>
        <family val="3"/>
        <charset val="129"/>
      </rPr>
      <t>뉴욕</t>
    </r>
    <phoneticPr fontId="1" type="noConversion"/>
  </si>
  <si>
    <t>킹쑤</t>
    <phoneticPr fontId="1" type="noConversion"/>
  </si>
  <si>
    <t>풍잎酒머니</t>
    <phoneticPr fontId="1" type="noConversion"/>
  </si>
  <si>
    <t>Ther금범군</t>
    <phoneticPr fontId="1" type="noConversion"/>
  </si>
  <si>
    <t>义갓바로</t>
    <phoneticPr fontId="1" type="noConversion"/>
  </si>
  <si>
    <r>
      <rPr>
        <sz val="11"/>
        <color theme="1"/>
        <rFont val="새굴림"/>
        <family val="2"/>
        <charset val="134"/>
      </rPr>
      <t>义</t>
    </r>
    <r>
      <rPr>
        <sz val="11"/>
        <color theme="1"/>
        <rFont val="새굴림"/>
        <family val="2"/>
        <charset val="129"/>
      </rPr>
      <t>천마용옹</t>
    </r>
    <phoneticPr fontId="1" type="noConversion"/>
  </si>
  <si>
    <t>MZMAX</t>
    <phoneticPr fontId="1" type="noConversion"/>
  </si>
  <si>
    <t>麗나우z</t>
    <phoneticPr fontId="1" type="noConversion"/>
  </si>
  <si>
    <t>겐조동절</t>
    <phoneticPr fontId="1" type="noConversion"/>
  </si>
  <si>
    <t>금손의신</t>
    <phoneticPr fontId="1" type="noConversion"/>
  </si>
  <si>
    <t>해적왕올돌골</t>
    <phoneticPr fontId="1" type="noConversion"/>
  </si>
  <si>
    <t>가이난</t>
    <phoneticPr fontId="1" type="noConversion"/>
  </si>
  <si>
    <t>류모</t>
    <phoneticPr fontId="1" type="noConversion"/>
  </si>
  <si>
    <t>호</t>
    <phoneticPr fontId="1" type="noConversion"/>
  </si>
  <si>
    <t>亗샬롯목진</t>
  </si>
  <si>
    <t>亗마리골드</t>
  </si>
  <si>
    <t>공랭변화</t>
    <phoneticPr fontId="1" type="noConversion"/>
  </si>
  <si>
    <t>출항의날</t>
  </si>
  <si>
    <t>必블리파파</t>
  </si>
  <si>
    <t>퍼플주에고</t>
  </si>
  <si>
    <t>必비트핑</t>
  </si>
  <si>
    <t>컬러단장용스</t>
  </si>
  <si>
    <t>SKELTON</t>
  </si>
  <si>
    <t>羊양제</t>
  </si>
  <si>
    <t>羊마산동탁</t>
  </si>
  <si>
    <t>爛추노꾼</t>
  </si>
  <si>
    <t>必우마이봉</t>
  </si>
  <si>
    <t>必리나니</t>
  </si>
  <si>
    <t>羊고광렬</t>
  </si>
  <si>
    <t>必비숍</t>
  </si>
  <si>
    <t>羊이정재</t>
  </si>
  <si>
    <t>실직</t>
  </si>
  <si>
    <t>必써너</t>
  </si>
  <si>
    <t>羊현묘</t>
  </si>
  <si>
    <t>마룡의숲</t>
  </si>
  <si>
    <t>풍악의날</t>
  </si>
  <si>
    <t>너에게날</t>
  </si>
  <si>
    <t>必폭주비비</t>
  </si>
  <si>
    <t>羊서량철기</t>
  </si>
  <si>
    <t>爛해병</t>
  </si>
  <si>
    <t>必무이</t>
  </si>
  <si>
    <t>必억까</t>
  </si>
  <si>
    <t>必보이쓰피싱</t>
  </si>
  <si>
    <t>싸나이흑운</t>
  </si>
  <si>
    <t>폭우의날</t>
  </si>
  <si>
    <t>爛밤</t>
  </si>
  <si>
    <t>헁기싫어</t>
  </si>
  <si>
    <t>必귀살대</t>
  </si>
  <si>
    <t>주님곁으로</t>
  </si>
  <si>
    <t>기파랑해</t>
  </si>
  <si>
    <t>羊알부장</t>
  </si>
  <si>
    <t>羊관우</t>
  </si>
  <si>
    <t>羊열하</t>
  </si>
  <si>
    <t>어른이날</t>
  </si>
  <si>
    <t>必청설</t>
  </si>
  <si>
    <t>흰밥</t>
  </si>
  <si>
    <t>必리미</t>
  </si>
  <si>
    <t>Ak동</t>
  </si>
  <si>
    <t>눈오는날</t>
  </si>
  <si>
    <t>최경주</t>
  </si>
  <si>
    <t>羊커리</t>
  </si>
  <si>
    <t>와상이</t>
  </si>
  <si>
    <t>바나나</t>
  </si>
  <si>
    <t>必설리</t>
  </si>
  <si>
    <t>羊수학</t>
  </si>
  <si>
    <t>必인삼</t>
  </si>
  <si>
    <t>羊흑펭귄</t>
  </si>
  <si>
    <t>羊마형</t>
  </si>
  <si>
    <t>싸나이가는길</t>
  </si>
  <si>
    <t>羊비둘깅</t>
  </si>
  <si>
    <t>초록조커</t>
  </si>
  <si>
    <t>내미시스</t>
  </si>
  <si>
    <t>羊그루</t>
  </si>
  <si>
    <t>네고한날</t>
  </si>
  <si>
    <t>必소유</t>
  </si>
  <si>
    <t>羊개미는뚠뚠</t>
  </si>
  <si>
    <t>必먼치킨</t>
  </si>
  <si>
    <t>불눈이티비</t>
  </si>
  <si>
    <t>커요미날</t>
  </si>
  <si>
    <t>싸나이유닝</t>
  </si>
  <si>
    <t>실버마초</t>
  </si>
  <si>
    <t>검정말릭</t>
  </si>
  <si>
    <t>必스텔라B</t>
  </si>
  <si>
    <t>必교황</t>
  </si>
  <si>
    <t>必예수</t>
  </si>
  <si>
    <t>羊보까</t>
  </si>
  <si>
    <t>必헤라엔젤</t>
  </si>
  <si>
    <t>必무현</t>
  </si>
  <si>
    <t>必투신흑풍</t>
  </si>
  <si>
    <t>必지국삼</t>
  </si>
  <si>
    <t>싸나이방덕</t>
  </si>
  <si>
    <t>必시기</t>
  </si>
  <si>
    <t>羊하단간지</t>
  </si>
  <si>
    <t>必짜빠게티</t>
  </si>
  <si>
    <t>必살기</t>
  </si>
  <si>
    <t>해피한날</t>
  </si>
  <si>
    <t>역병괴물</t>
  </si>
  <si>
    <t>농부일세</t>
  </si>
  <si>
    <t>벤클리프</t>
  </si>
  <si>
    <t>난감한날</t>
  </si>
  <si>
    <t>爛주</t>
  </si>
  <si>
    <t>羊마산강호동</t>
  </si>
  <si>
    <t>흰방</t>
  </si>
  <si>
    <t>必애리</t>
  </si>
  <si>
    <t>눈오던날</t>
  </si>
  <si>
    <t>羊여름이다</t>
  </si>
  <si>
    <t>술먹는날</t>
  </si>
  <si>
    <t>羊십상시</t>
  </si>
  <si>
    <t>必덴티도</t>
  </si>
  <si>
    <t>爛여포</t>
  </si>
  <si>
    <t>믿지마날</t>
  </si>
  <si>
    <t>羊불닭</t>
  </si>
  <si>
    <t>사라진날</t>
  </si>
  <si>
    <t>JSON</t>
  </si>
  <si>
    <t>흰두광</t>
  </si>
  <si>
    <t>소혼</t>
  </si>
  <si>
    <t>갑뿌</t>
  </si>
  <si>
    <t>싸나이바로</t>
  </si>
  <si>
    <t>羊마산진빼이</t>
  </si>
  <si>
    <t>必꼬순내</t>
  </si>
  <si>
    <t>北카이도우</t>
  </si>
  <si>
    <t>羊민성조</t>
  </si>
  <si>
    <t>슈육한날</t>
  </si>
  <si>
    <t>하엘s</t>
  </si>
  <si>
    <t>흰빵</t>
  </si>
  <si>
    <t>羊송충이</t>
  </si>
  <si>
    <t>회색범상</t>
  </si>
  <si>
    <t>폭설의날</t>
  </si>
  <si>
    <t>마초곁으로</t>
  </si>
  <si>
    <t>하얀구름</t>
  </si>
  <si>
    <t>羊김조교</t>
  </si>
  <si>
    <t>무쪽이</t>
  </si>
  <si>
    <t>必리아</t>
  </si>
  <si>
    <t>羊도깨비짱</t>
  </si>
  <si>
    <t>北성민별</t>
  </si>
  <si>
    <t>종뱀</t>
  </si>
  <si>
    <t>조운장익덕</t>
  </si>
  <si>
    <t>휴직</t>
  </si>
  <si>
    <t>윈터is</t>
  </si>
  <si>
    <t>옷사는날</t>
  </si>
  <si>
    <t>必콩자</t>
  </si>
  <si>
    <t>羊알스톤</t>
  </si>
  <si>
    <t>네이비슈트</t>
  </si>
  <si>
    <t>必쮸탱이</t>
  </si>
  <si>
    <t>必퀸</t>
  </si>
  <si>
    <t>北조똥별</t>
  </si>
  <si>
    <t>무루곁으로</t>
  </si>
  <si>
    <t>환경의날</t>
  </si>
  <si>
    <t>해월령</t>
  </si>
  <si>
    <t>必쏘굳불끈</t>
  </si>
  <si>
    <t>爛닥터마틴</t>
  </si>
  <si>
    <t>FA비니</t>
  </si>
  <si>
    <t>北근영님</t>
  </si>
  <si>
    <t>고래고요丷</t>
  </si>
  <si>
    <t>株단풍</t>
  </si>
  <si>
    <t>학연</t>
  </si>
  <si>
    <t>株s조조s</t>
  </si>
  <si>
    <t>님피아</t>
  </si>
  <si>
    <t>마라탕면丷</t>
  </si>
  <si>
    <t>명월령</t>
  </si>
  <si>
    <t>윤주코짱</t>
  </si>
  <si>
    <t>羊그루루루루</t>
  </si>
  <si>
    <t>청월령</t>
  </si>
  <si>
    <t>羊운장</t>
  </si>
  <si>
    <t>장련</t>
  </si>
  <si>
    <t>동물윈</t>
  </si>
  <si>
    <t>北신사</t>
  </si>
  <si>
    <t>밍기직</t>
  </si>
  <si>
    <t>羊그루루루</t>
  </si>
  <si>
    <t>손건별</t>
  </si>
  <si>
    <t>爛여포부캐</t>
  </si>
  <si>
    <t>必로폰</t>
  </si>
  <si>
    <t>백월</t>
  </si>
  <si>
    <t>北알리아위하</t>
  </si>
  <si>
    <t>爛가이아</t>
  </si>
  <si>
    <t>맨몸의혈젼</t>
  </si>
  <si>
    <t>天장비</t>
  </si>
  <si>
    <t>치키차카</t>
  </si>
  <si>
    <t>FC첼시</t>
  </si>
  <si>
    <t>홀爛z</t>
  </si>
  <si>
    <t>RZ카발爛</t>
  </si>
  <si>
    <t>必지존파파</t>
    <phoneticPr fontId="1" type="noConversion"/>
  </si>
  <si>
    <t>기로로</t>
    <phoneticPr fontId="1" type="noConversion"/>
  </si>
  <si>
    <t>산새핑</t>
    <phoneticPr fontId="1" type="noConversion"/>
  </si>
  <si>
    <t>범인</t>
    <phoneticPr fontId="1" type="noConversion"/>
  </si>
  <si>
    <t>컷오프대상</t>
    <phoneticPr fontId="1" type="noConversion"/>
  </si>
  <si>
    <t>비고</t>
    <phoneticPr fontId="1" type="noConversion"/>
  </si>
  <si>
    <t>하락</t>
    <phoneticPr fontId="1" type="noConversion"/>
  </si>
  <si>
    <t>부캐</t>
    <phoneticPr fontId="1" type="noConversion"/>
  </si>
  <si>
    <t>FA부캐</t>
    <phoneticPr fontId="1" type="noConversion"/>
  </si>
  <si>
    <t>남</t>
    <phoneticPr fontId="1" type="noConversion"/>
  </si>
  <si>
    <t>주식</t>
    <phoneticPr fontId="1" type="noConversion"/>
  </si>
  <si>
    <t>필팸</t>
    <phoneticPr fontId="1" type="noConversion"/>
  </si>
  <si>
    <t>FA</t>
    <phoneticPr fontId="1" type="noConversion"/>
  </si>
  <si>
    <t>날팸</t>
    <phoneticPr fontId="1" type="noConversion"/>
  </si>
  <si>
    <t>라면</t>
    <phoneticPr fontId="1" type="noConversion"/>
  </si>
  <si>
    <t>개인</t>
    <phoneticPr fontId="1" type="noConversion"/>
  </si>
  <si>
    <t>란팸</t>
    <phoneticPr fontId="1" type="noConversion"/>
  </si>
  <si>
    <t>그루4세</t>
    <phoneticPr fontId="1" type="noConversion"/>
  </si>
  <si>
    <t>그루3세</t>
    <phoneticPr fontId="1" type="noConversion"/>
  </si>
  <si>
    <t>회원</t>
  </si>
  <si>
    <t xml:space="preserve"> 공헌 랭킹</t>
  </si>
  <si>
    <t xml:space="preserve"> 공헌이번 주</t>
  </si>
  <si>
    <t xml:space="preserve"> 전공이번 주</t>
  </si>
  <si>
    <t xml:space="preserve"> 협공이번 주</t>
  </si>
  <si>
    <t xml:space="preserve"> 기부이번 주</t>
  </si>
  <si>
    <t xml:space="preserve"> 공헌총량</t>
  </si>
  <si>
    <t xml:space="preserve"> 전공총량</t>
  </si>
  <si>
    <t xml:space="preserve"> 협공총량</t>
  </si>
  <si>
    <t xml:space="preserve"> 기부총량</t>
  </si>
  <si>
    <t xml:space="preserve"> 세력치</t>
  </si>
  <si>
    <t xml:space="preserve"> 소속 주</t>
  </si>
  <si>
    <t xml:space="preserve"> 그룹</t>
  </si>
  <si>
    <t xml:space="preserve"> 장안</t>
  </si>
  <si>
    <t xml:space="preserve"> 이분대</t>
  </si>
  <si>
    <t>흰밤</t>
  </si>
  <si>
    <t xml:space="preserve"> 동군진</t>
  </si>
  <si>
    <t xml:space="preserve"> 삼분대</t>
  </si>
  <si>
    <t>株이직</t>
  </si>
  <si>
    <t xml:space="preserve"> 사분대</t>
  </si>
  <si>
    <t xml:space="preserve"> 총괄</t>
  </si>
  <si>
    <t xml:space="preserve"> 오분대</t>
  </si>
  <si>
    <t xml:space="preserve"> 일분대</t>
  </si>
  <si>
    <t xml:space="preserve"> 관서특공</t>
  </si>
  <si>
    <t>불눈이TV丷</t>
  </si>
  <si>
    <t>株레플</t>
  </si>
  <si>
    <t>羊농민丷</t>
  </si>
  <si>
    <t>株타이틀</t>
  </si>
  <si>
    <t>必악몽乂</t>
  </si>
  <si>
    <t>株고공행진</t>
  </si>
  <si>
    <t>株광호제</t>
  </si>
  <si>
    <t>불눈이tv丷</t>
  </si>
  <si>
    <t>株미아핑</t>
  </si>
  <si>
    <t>株성룡</t>
  </si>
  <si>
    <t>羊마속丷</t>
  </si>
  <si>
    <t>마량丷</t>
  </si>
  <si>
    <t xml:space="preserve"> 그룹 없음</t>
  </si>
  <si>
    <t>마산히야丷</t>
  </si>
  <si>
    <t>株sp슈손능</t>
  </si>
  <si>
    <t xml:space="preserve"> 육분대</t>
  </si>
  <si>
    <t>株푸른별</t>
  </si>
  <si>
    <t>콥관음병丷</t>
  </si>
  <si>
    <t>株글리</t>
  </si>
  <si>
    <t>必지존파파乂</t>
  </si>
  <si>
    <t>株글램핑</t>
  </si>
  <si>
    <t>기로로厶</t>
  </si>
  <si>
    <t>株껄껄껄</t>
  </si>
  <si>
    <t>株구라핑</t>
  </si>
  <si>
    <t>株세아사자핑</t>
  </si>
  <si>
    <t>l주l글로리</t>
  </si>
  <si>
    <t xml:space="preserve"> 경조남</t>
  </si>
  <si>
    <t>株무케</t>
  </si>
  <si>
    <t>호다닥丷</t>
  </si>
  <si>
    <t>株무무</t>
  </si>
  <si>
    <t>株산새핑</t>
  </si>
  <si>
    <t>전공 이번주</t>
    <phoneticPr fontId="1" type="noConversion"/>
  </si>
  <si>
    <t>협공이번주</t>
    <phoneticPr fontId="1" type="noConversion"/>
  </si>
  <si>
    <t>羊그루루</t>
  </si>
  <si>
    <t>251008 0시</t>
    <phoneticPr fontId="1" type="noConversion"/>
  </si>
  <si>
    <t>251009 0시</t>
    <phoneticPr fontId="1" type="noConversion"/>
  </si>
  <si>
    <t>협공 변화</t>
    <phoneticPr fontId="1" type="noConversion"/>
  </si>
  <si>
    <t>전일비 증감</t>
    <phoneticPr fontId="1" type="noConversion"/>
  </si>
  <si>
    <t>251010 0시</t>
    <phoneticPr fontId="1" type="noConversion"/>
  </si>
  <si>
    <t>251011 0시</t>
    <phoneticPr fontId="1" type="noConversion"/>
  </si>
  <si>
    <t xml:space="preserve"> 위흥</t>
  </si>
  <si>
    <t>&lt;600000</t>
    <phoneticPr fontId="1" type="noConversion"/>
  </si>
  <si>
    <t>분류</t>
    <phoneticPr fontId="1" type="noConversion"/>
  </si>
  <si>
    <t>251012 0시</t>
    <phoneticPr fontId="1" type="noConversion"/>
  </si>
  <si>
    <t>251013 0시</t>
    <phoneticPr fontId="1" type="noConversion"/>
  </si>
  <si>
    <t>&gt;200000</t>
    <phoneticPr fontId="1" type="noConversion"/>
  </si>
  <si>
    <t>&gt;100000</t>
    <phoneticPr fontId="1" type="noConversion"/>
  </si>
  <si>
    <t>이번주 총전공</t>
    <phoneticPr fontId="1" type="noConversion"/>
  </si>
  <si>
    <t>전공 월화</t>
    <phoneticPr fontId="1" type="noConversion"/>
  </si>
  <si>
    <t>전공 수</t>
    <phoneticPr fontId="1" type="noConversion"/>
  </si>
  <si>
    <t>전공 목</t>
    <phoneticPr fontId="1" type="noConversion"/>
  </si>
  <si>
    <t>전공 금</t>
    <phoneticPr fontId="1" type="noConversion"/>
  </si>
  <si>
    <t>전공 토</t>
    <phoneticPr fontId="1" type="noConversion"/>
  </si>
  <si>
    <t>전공 일</t>
    <phoneticPr fontId="1" type="noConversion"/>
  </si>
  <si>
    <t>양침</t>
    <phoneticPr fontId="1" type="noConversion"/>
  </si>
  <si>
    <t>괴도</t>
    <phoneticPr fontId="1" type="noConversion"/>
  </si>
  <si>
    <t>날</t>
    <phoneticPr fontId="1" type="noConversion"/>
  </si>
  <si>
    <t>전공 월</t>
    <phoneticPr fontId="1" type="noConversion"/>
  </si>
  <si>
    <t>협공 월</t>
    <phoneticPr fontId="1" type="noConversion"/>
  </si>
  <si>
    <t>전공 화</t>
    <phoneticPr fontId="1" type="noConversion"/>
  </si>
  <si>
    <t>&gt;0</t>
    <phoneticPr fontId="1" type="noConversion"/>
  </si>
  <si>
    <t>일간총계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</si>
  <si>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</si>
  <si>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</si>
  <si>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</si>
  <si>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전체</t>
    <phoneticPr fontId="1" type="noConversion"/>
  </si>
  <si>
    <t>문월령</t>
  </si>
  <si>
    <t>목</t>
    <phoneticPr fontId="1" type="noConversion"/>
  </si>
  <si>
    <t>W라기</t>
  </si>
  <si>
    <t xml:space="preserve"> 혁명군</t>
  </si>
  <si>
    <t>W레젠디아</t>
  </si>
  <si>
    <t>W레잰디아</t>
  </si>
  <si>
    <t>北소울</t>
  </si>
  <si>
    <t xml:space="preserve"> 관중제장</t>
  </si>
  <si>
    <t>メ애램</t>
  </si>
  <si>
    <t>W래젠디아</t>
  </si>
  <si>
    <t>GP또또</t>
  </si>
  <si>
    <t>Mx천좌</t>
  </si>
  <si>
    <t>超야마토</t>
  </si>
  <si>
    <t>우유엔코코아</t>
  </si>
  <si>
    <t>금</t>
    <phoneticPr fontId="1" type="noConversion"/>
  </si>
  <si>
    <t>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</si>
</sst>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새굴림"/>
      <family val="2"/>
      <charset val="134"/>
    </font>
    <font>
      <sz val="11"/>
      <color theme="1"/>
      <name val="맑은 고딕"/>
      <family val="3"/>
      <charset val="134"/>
      <scheme val="minor"/>
    </font>
    <font>
      <sz val="11"/>
      <color theme="1"/>
      <name val="새굴림"/>
      <family val="1"/>
      <charset val="129"/>
    </font>
    <font>
      <sz val="11"/>
      <color theme="1"/>
      <name val="맑은 고딕"/>
      <family val="1"/>
      <charset val="129"/>
      <scheme val="minor"/>
    </font>
    <font>
      <sz val="11"/>
      <color theme="1"/>
      <name val="새굴림"/>
      <family val="2"/>
      <charset val="129"/>
    </font>
    <font>
      <sz val="11"/>
      <color theme="1"/>
      <name val="NSimSun"/>
      <family val="3"/>
      <charset val="134"/>
    </font>
    <font>
      <sz val="11"/>
      <color theme="1"/>
      <name val="돋움"/>
      <family val="3"/>
      <charset val="129"/>
    </font>
    <font>
      <sz val="9"/>
      <color theme="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5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2" fillId="0" borderId="1" xfId="0" applyFont="1" applyBorder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0" fillId="0" borderId="2" xfId="0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9" fillId="7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8" borderId="0" xfId="0" applyFill="1">
      <alignment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표준" xfId="0" builtinId="0"/>
  </cellStyles>
  <dxfs count="58">
    <dxf>
      <font>
        <color rgb="FF9C0006"/>
      </font>
      <fill>
        <patternFill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2"/>
        </patternFill>
      </fill>
    </dxf>
    <dxf>
      <font>
        <color rgb="FF9C0006"/>
      </font>
      <fill>
        <patternFill>
          <bgColor theme="2"/>
        </patternFill>
      </fill>
    </dxf>
    <dxf>
      <font>
        <color rgb="FF9C0006"/>
      </font>
      <fill>
        <patternFill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2"/>
        </patternFill>
      </fill>
    </dxf>
    <dxf>
      <font>
        <color rgb="FF9C0006"/>
      </font>
      <fill>
        <patternFill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056D8-32CA-4D94-8912-FA7DF6A6D4E6}">
  <dimension ref="B2:W212"/>
  <sheetViews>
    <sheetView workbookViewId="0">
      <selection activeCell="S10" sqref="S10"/>
    </sheetView>
  </sheetViews>
  <sheetFormatPr defaultRowHeight="16.5" x14ac:dyDescent="0.3"/>
  <cols>
    <col min="9" max="9" width="3.5" style="11" customWidth="1"/>
    <col min="15" max="15" width="3.5" style="11" customWidth="1"/>
    <col min="21" max="21" width="10.875" customWidth="1"/>
  </cols>
  <sheetData>
    <row r="2" spans="2:21" x14ac:dyDescent="0.3">
      <c r="B2">
        <v>250918</v>
      </c>
      <c r="K2">
        <v>250918</v>
      </c>
      <c r="Q2" t="s">
        <v>739</v>
      </c>
      <c r="R2">
        <v>250918</v>
      </c>
      <c r="S2">
        <v>250929</v>
      </c>
      <c r="T2">
        <v>251006</v>
      </c>
      <c r="U2" t="s">
        <v>909</v>
      </c>
    </row>
    <row r="3" spans="2:21" x14ac:dyDescent="0.3">
      <c r="B3" s="6" t="s">
        <v>701</v>
      </c>
      <c r="C3" s="8" t="s">
        <v>702</v>
      </c>
      <c r="D3" s="8" t="s">
        <v>703</v>
      </c>
      <c r="E3" s="8" t="s">
        <v>704</v>
      </c>
      <c r="F3" s="8" t="s">
        <v>705</v>
      </c>
      <c r="G3" s="8" t="s">
        <v>706</v>
      </c>
      <c r="H3" s="12"/>
      <c r="K3" s="6" t="s">
        <v>717</v>
      </c>
      <c r="L3" s="6" t="s">
        <v>718</v>
      </c>
      <c r="M3" s="6" t="s">
        <v>719</v>
      </c>
      <c r="P3">
        <v>1</v>
      </c>
      <c r="Q3" s="5" t="s">
        <v>740</v>
      </c>
      <c r="R3" s="5">
        <f>VLOOKUP('전체 통계'!$Q3,'하삼주(250918)'!$A$2:$D$315,3, FALSE)</f>
        <v>7</v>
      </c>
      <c r="S3" s="5">
        <f>VLOOKUP('전체 통계'!$Q3,'하삼주 (250929)'!$A$2:$D$318,3, FALSE)</f>
        <v>6</v>
      </c>
      <c r="T3" s="5">
        <f>VLOOKUP('전체 통계'!$Q3,'하삼주 (251006)'!$A$2:$D$313,3, FALSE)</f>
        <v>5</v>
      </c>
    </row>
    <row r="4" spans="2:21" x14ac:dyDescent="0.3">
      <c r="B4" s="5" t="s">
        <v>707</v>
      </c>
      <c r="C4" s="5">
        <v>191</v>
      </c>
      <c r="D4" s="5">
        <v>165</v>
      </c>
      <c r="E4" s="5">
        <v>117</v>
      </c>
      <c r="F4" s="5">
        <v>74</v>
      </c>
      <c r="G4" s="5">
        <v>41</v>
      </c>
      <c r="K4" s="5" t="s">
        <v>713</v>
      </c>
      <c r="L4" s="5">
        <v>155</v>
      </c>
      <c r="M4" s="5">
        <v>90</v>
      </c>
      <c r="P4">
        <v>2</v>
      </c>
      <c r="Q4" s="5" t="s">
        <v>598</v>
      </c>
      <c r="R4" s="5">
        <f>VLOOKUP('전체 통계'!$Q4,'하삼주(250918)'!$A$2:$D$315,3, FALSE)</f>
        <v>21</v>
      </c>
      <c r="S4" s="5">
        <f>VLOOKUP('전체 통계'!$Q4,'하삼주 (250929)'!$A$2:$D$318,3, FALSE)</f>
        <v>12</v>
      </c>
      <c r="T4" s="5">
        <f>VLOOKUP('전체 통계'!$Q4,'하삼주 (251006)'!$A$2:$D$313,3, FALSE)</f>
        <v>11</v>
      </c>
    </row>
    <row r="5" spans="2:21" x14ac:dyDescent="0.3">
      <c r="B5" s="5" t="s">
        <v>708</v>
      </c>
      <c r="C5" s="5">
        <v>77</v>
      </c>
      <c r="D5" s="5">
        <v>34</v>
      </c>
      <c r="E5" s="5">
        <v>7</v>
      </c>
      <c r="F5" s="5">
        <v>2</v>
      </c>
      <c r="G5" s="5">
        <v>0</v>
      </c>
      <c r="K5" s="5" t="s">
        <v>714</v>
      </c>
      <c r="L5" s="5">
        <v>115</v>
      </c>
      <c r="M5" s="5">
        <v>44</v>
      </c>
      <c r="P5">
        <v>3</v>
      </c>
      <c r="Q5" s="5" t="s">
        <v>741</v>
      </c>
      <c r="R5" s="5">
        <f>VLOOKUP('전체 통계'!$Q5,'하삼주(250918)'!$A$2:$D$315,3, FALSE)</f>
        <v>11</v>
      </c>
      <c r="S5" s="5">
        <f>VLOOKUP('전체 통계'!$Q5,'하삼주 (250929)'!$A$2:$D$318,3, FALSE)</f>
        <v>10</v>
      </c>
      <c r="T5" s="5">
        <f>VLOOKUP('전체 통계'!$Q5,'하삼주 (251006)'!$A$2:$D$313,3, FALSE)</f>
        <v>13</v>
      </c>
    </row>
    <row r="6" spans="2:21" x14ac:dyDescent="0.3">
      <c r="B6" s="5" t="s">
        <v>709</v>
      </c>
      <c r="C6" s="5">
        <v>12</v>
      </c>
      <c r="D6" s="5">
        <v>1</v>
      </c>
      <c r="E6" s="5">
        <v>0</v>
      </c>
      <c r="F6" s="5">
        <v>0</v>
      </c>
      <c r="G6" s="5">
        <v>0</v>
      </c>
      <c r="K6" s="5" t="s">
        <v>715</v>
      </c>
      <c r="L6" s="5">
        <v>44</v>
      </c>
      <c r="M6" s="5">
        <v>6</v>
      </c>
      <c r="P6">
        <v>4</v>
      </c>
      <c r="Q6" s="5" t="s">
        <v>742</v>
      </c>
      <c r="R6" s="5">
        <f>VLOOKUP('전체 통계'!$Q6,'하삼주(250918)'!$A$2:$D$315,3, FALSE)</f>
        <v>22</v>
      </c>
      <c r="S6" s="5">
        <f>VLOOKUP('전체 통계'!$Q6,'하삼주 (250929)'!$A$2:$D$318,3, FALSE)</f>
        <v>19</v>
      </c>
      <c r="T6" s="5">
        <f>VLOOKUP('전체 통계'!$Q6,'하삼주 (251006)'!$A$2:$D$313,3, FALSE)</f>
        <v>14</v>
      </c>
    </row>
    <row r="7" spans="2:21" x14ac:dyDescent="0.3">
      <c r="B7" s="5" t="s">
        <v>710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K7">
        <v>250929</v>
      </c>
      <c r="P7">
        <v>5</v>
      </c>
      <c r="Q7" s="5" t="s">
        <v>14</v>
      </c>
      <c r="R7" s="5">
        <f>VLOOKUP('전체 통계'!$Q7,'하삼주(250918)'!$A$2:$D$315,3, FALSE)</f>
        <v>12</v>
      </c>
      <c r="S7" s="5">
        <f>VLOOKUP('전체 통계'!$Q7,'하삼주 (250929)'!$A$2:$D$318,3, FALSE)</f>
        <v>14</v>
      </c>
      <c r="T7" s="5">
        <f>VLOOKUP('전체 통계'!$Q7,'하삼주 (251006)'!$A$2:$D$313,3, FALSE)</f>
        <v>15</v>
      </c>
    </row>
    <row r="8" spans="2:21" x14ac:dyDescent="0.3">
      <c r="B8" s="9" t="s">
        <v>711</v>
      </c>
      <c r="C8" s="9">
        <v>280</v>
      </c>
      <c r="D8" s="9">
        <v>200</v>
      </c>
      <c r="E8" s="9">
        <v>124</v>
      </c>
      <c r="F8" s="9">
        <v>76</v>
      </c>
      <c r="G8" s="9">
        <v>41</v>
      </c>
      <c r="K8" s="6" t="s">
        <v>717</v>
      </c>
      <c r="L8" s="6" t="s">
        <v>718</v>
      </c>
      <c r="M8" s="6" t="s">
        <v>719</v>
      </c>
      <c r="P8">
        <v>6</v>
      </c>
      <c r="Q8" s="5" t="s">
        <v>743</v>
      </c>
      <c r="R8" s="5">
        <f>VLOOKUP('전체 통계'!$Q8,'하삼주(250918)'!$A$2:$D$315,3, FALSE)</f>
        <v>35</v>
      </c>
      <c r="S8" s="5">
        <f>VLOOKUP('전체 통계'!$Q8,'하삼주 (250929)'!$A$2:$D$318,3, FALSE)</f>
        <v>20</v>
      </c>
      <c r="T8" s="5">
        <f>VLOOKUP('전체 통계'!$Q8,'하삼주 (251006)'!$A$2:$D$313,3, FALSE)</f>
        <v>18</v>
      </c>
    </row>
    <row r="9" spans="2:21" x14ac:dyDescent="0.3">
      <c r="B9" s="6" t="s">
        <v>712</v>
      </c>
      <c r="C9" s="8" t="s">
        <v>702</v>
      </c>
      <c r="D9" s="8" t="s">
        <v>703</v>
      </c>
      <c r="E9" s="8" t="s">
        <v>704</v>
      </c>
      <c r="F9" s="8" t="s">
        <v>705</v>
      </c>
      <c r="G9" s="8" t="s">
        <v>706</v>
      </c>
      <c r="H9" s="12"/>
      <c r="K9" s="5" t="s">
        <v>713</v>
      </c>
      <c r="L9" s="5">
        <v>150</v>
      </c>
      <c r="M9" s="5">
        <v>79</v>
      </c>
      <c r="P9">
        <v>7</v>
      </c>
      <c r="Q9" s="5" t="s">
        <v>744</v>
      </c>
      <c r="R9" s="5">
        <f>VLOOKUP('전체 통계'!$Q9,'하삼주(250918)'!$A$2:$D$315,3, FALSE)</f>
        <v>30</v>
      </c>
      <c r="S9" s="5">
        <f>VLOOKUP('전체 통계'!$Q9,'하삼주 (250929)'!$A$2:$D$318,3, FALSE)</f>
        <v>36</v>
      </c>
      <c r="T9" s="5">
        <f>VLOOKUP('전체 통계'!$Q9,'하삼주 (251006)'!$A$2:$D$313,3, FALSE)</f>
        <v>32</v>
      </c>
    </row>
    <row r="10" spans="2:21" x14ac:dyDescent="0.3">
      <c r="B10" s="5" t="s">
        <v>713</v>
      </c>
      <c r="C10" s="5">
        <v>155</v>
      </c>
      <c r="D10" s="5">
        <v>113</v>
      </c>
      <c r="E10" s="5">
        <v>52</v>
      </c>
      <c r="F10" s="5">
        <v>21</v>
      </c>
      <c r="G10" s="5">
        <v>9</v>
      </c>
      <c r="K10" s="5" t="s">
        <v>714</v>
      </c>
      <c r="L10" s="5">
        <v>117</v>
      </c>
      <c r="M10" s="5">
        <v>54</v>
      </c>
      <c r="P10">
        <v>8</v>
      </c>
      <c r="Q10" s="5" t="s">
        <v>34</v>
      </c>
      <c r="R10" s="5">
        <f>VLOOKUP('전체 통계'!$Q10,'하삼주(250918)'!$A$2:$D$315,3, FALSE)</f>
        <v>44</v>
      </c>
      <c r="S10" s="5">
        <f>VLOOKUP('전체 통계'!$Q10,'하삼주 (250929)'!$A$2:$D$318,3, FALSE)</f>
        <v>46</v>
      </c>
      <c r="T10" s="5">
        <f>VLOOKUP('전체 통계'!$Q10,'하삼주 (251006)'!$A$2:$D$313,3, FALSE)</f>
        <v>38</v>
      </c>
    </row>
    <row r="11" spans="2:21" x14ac:dyDescent="0.3">
      <c r="B11" s="5" t="s">
        <v>714</v>
      </c>
      <c r="C11" s="5">
        <v>115</v>
      </c>
      <c r="D11" s="5">
        <v>70</v>
      </c>
      <c r="E11" s="5">
        <v>23</v>
      </c>
      <c r="F11" s="5">
        <v>3</v>
      </c>
      <c r="G11" s="5">
        <v>0</v>
      </c>
      <c r="K11" s="5" t="s">
        <v>715</v>
      </c>
      <c r="L11" s="5">
        <v>44</v>
      </c>
      <c r="M11" s="5">
        <v>7</v>
      </c>
      <c r="P11">
        <v>9</v>
      </c>
      <c r="Q11" s="5" t="s">
        <v>745</v>
      </c>
      <c r="R11" s="5">
        <f>VLOOKUP('전체 통계'!$Q11,'하삼주(250918)'!$A$2:$D$315,3, FALSE)</f>
        <v>59</v>
      </c>
      <c r="S11" s="5">
        <f>VLOOKUP('전체 통계'!$Q11,'하삼주 (250929)'!$A$2:$D$318,3, FALSE)</f>
        <v>45</v>
      </c>
      <c r="T11" s="5">
        <f>VLOOKUP('전체 통계'!$Q11,'하삼주 (251006)'!$A$2:$D$313,3, FALSE)</f>
        <v>43</v>
      </c>
    </row>
    <row r="12" spans="2:21" x14ac:dyDescent="0.3">
      <c r="B12" s="5" t="s">
        <v>715</v>
      </c>
      <c r="C12" s="5">
        <v>44</v>
      </c>
      <c r="D12" s="5">
        <v>15</v>
      </c>
      <c r="E12" s="5">
        <v>1</v>
      </c>
      <c r="F12" s="5">
        <v>0</v>
      </c>
      <c r="G12" s="5">
        <v>0</v>
      </c>
      <c r="K12">
        <v>251006</v>
      </c>
      <c r="P12">
        <v>10</v>
      </c>
      <c r="Q12" s="5" t="s">
        <v>746</v>
      </c>
      <c r="R12" s="5">
        <f>VLOOKUP('전체 통계'!$Q12,'하삼주(250918)'!$A$2:$D$315,3, FALSE)</f>
        <v>55</v>
      </c>
      <c r="S12" s="5">
        <f>VLOOKUP('전체 통계'!$Q12,'하삼주 (250929)'!$A$2:$D$318,3, FALSE)</f>
        <v>58</v>
      </c>
      <c r="T12" s="5">
        <f>VLOOKUP('전체 통계'!$Q12,'하삼주 (251006)'!$A$2:$D$313,3, FALSE)</f>
        <v>48</v>
      </c>
    </row>
    <row r="13" spans="2:21" x14ac:dyDescent="0.3">
      <c r="B13" s="5" t="s">
        <v>716</v>
      </c>
      <c r="C13" s="5">
        <v>5</v>
      </c>
      <c r="D13" s="5">
        <v>2</v>
      </c>
      <c r="E13" s="5">
        <v>0</v>
      </c>
      <c r="F13" s="5">
        <v>0</v>
      </c>
      <c r="G13" s="5">
        <v>0</v>
      </c>
      <c r="K13" s="6" t="s">
        <v>717</v>
      </c>
      <c r="L13" s="6" t="s">
        <v>718</v>
      </c>
      <c r="M13" s="6" t="s">
        <v>719</v>
      </c>
      <c r="P13">
        <v>11</v>
      </c>
      <c r="Q13" s="5" t="s">
        <v>747</v>
      </c>
      <c r="R13" s="5">
        <f>VLOOKUP('전체 통계'!$Q13,'하삼주(250918)'!$A$2:$D$315,3, FALSE)</f>
        <v>61</v>
      </c>
      <c r="S13" s="5">
        <f>VLOOKUP('전체 통계'!$Q13,'하삼주 (250929)'!$A$2:$D$318,3, FALSE)</f>
        <v>53</v>
      </c>
      <c r="T13" s="5">
        <f>VLOOKUP('전체 통계'!$Q13,'하삼주 (251006)'!$A$2:$D$313,3, FALSE)</f>
        <v>50</v>
      </c>
    </row>
    <row r="14" spans="2:21" x14ac:dyDescent="0.3">
      <c r="B14" s="9" t="s">
        <v>711</v>
      </c>
      <c r="C14" s="9">
        <v>319</v>
      </c>
      <c r="D14" s="9">
        <v>200</v>
      </c>
      <c r="E14" s="9">
        <v>76</v>
      </c>
      <c r="F14" s="9">
        <v>24</v>
      </c>
      <c r="G14" s="9">
        <v>9</v>
      </c>
      <c r="K14" s="5" t="s">
        <v>713</v>
      </c>
      <c r="L14" s="5">
        <v>146</v>
      </c>
      <c r="M14" s="5">
        <v>82</v>
      </c>
      <c r="P14">
        <v>12</v>
      </c>
      <c r="Q14" s="5" t="s">
        <v>748</v>
      </c>
      <c r="R14" s="5">
        <f>VLOOKUP('전체 통계'!$Q14,'하삼주(250918)'!$A$2:$D$315,3, FALSE)</f>
        <v>47</v>
      </c>
      <c r="S14" s="5">
        <f>VLOOKUP('전체 통계'!$Q14,'하삼주 (250929)'!$A$2:$D$318,3, FALSE)</f>
        <v>63</v>
      </c>
      <c r="T14" s="5">
        <f>VLOOKUP('전체 통계'!$Q14,'하삼주 (251006)'!$A$2:$D$313,3, FALSE)</f>
        <v>65</v>
      </c>
    </row>
    <row r="15" spans="2:21" x14ac:dyDescent="0.3">
      <c r="B15">
        <v>250929</v>
      </c>
      <c r="K15" s="5" t="s">
        <v>714</v>
      </c>
      <c r="L15" s="5">
        <v>120</v>
      </c>
      <c r="M15" s="5">
        <v>52</v>
      </c>
      <c r="P15">
        <v>13</v>
      </c>
      <c r="Q15" s="5" t="s">
        <v>749</v>
      </c>
      <c r="R15" s="5">
        <f>VLOOKUP('전체 통계'!$Q15,'하삼주(250918)'!$A$2:$D$315,3, FALSE)</f>
        <v>67</v>
      </c>
      <c r="S15" s="5">
        <f>VLOOKUP('전체 통계'!$Q15,'하삼주 (250929)'!$A$2:$D$318,3, FALSE)</f>
        <v>71</v>
      </c>
      <c r="T15" s="5">
        <f>VLOOKUP('전체 통계'!$Q15,'하삼주 (251006)'!$A$2:$D$313,3, FALSE)</f>
        <v>71</v>
      </c>
    </row>
    <row r="16" spans="2:21" x14ac:dyDescent="0.3">
      <c r="B16" s="6" t="s">
        <v>701</v>
      </c>
      <c r="C16" s="8" t="s">
        <v>702</v>
      </c>
      <c r="D16" s="8" t="s">
        <v>703</v>
      </c>
      <c r="E16" s="8" t="s">
        <v>704</v>
      </c>
      <c r="F16" s="8" t="s">
        <v>705</v>
      </c>
      <c r="G16" s="8" t="s">
        <v>706</v>
      </c>
      <c r="H16" s="12"/>
      <c r="K16" s="5" t="s">
        <v>715</v>
      </c>
      <c r="L16" s="5">
        <v>41</v>
      </c>
      <c r="M16" s="5">
        <v>6</v>
      </c>
      <c r="P16">
        <v>16</v>
      </c>
      <c r="Q16" s="5" t="s">
        <v>751</v>
      </c>
      <c r="R16" s="5">
        <f>VLOOKUP('전체 통계'!$Q18,'하삼주(250918)'!$A$2:$D$315,3, FALSE)</f>
        <v>90</v>
      </c>
      <c r="S16" s="5">
        <f>VLOOKUP('전체 통계'!$Q18,'하삼주 (250929)'!$A$2:$D$318,3, FALSE)</f>
        <v>77</v>
      </c>
      <c r="T16" s="5">
        <f>VLOOKUP('전체 통계'!$Q18,'하삼주 (251006)'!$A$2:$D$313,3, FALSE)</f>
        <v>75</v>
      </c>
    </row>
    <row r="17" spans="2:21" x14ac:dyDescent="0.3">
      <c r="B17" s="5" t="s">
        <v>707</v>
      </c>
      <c r="C17" s="5">
        <v>187</v>
      </c>
      <c r="D17" s="5">
        <v>161</v>
      </c>
      <c r="E17" s="5">
        <v>113</v>
      </c>
      <c r="F17" s="5">
        <v>68</v>
      </c>
      <c r="G17" s="5">
        <v>38</v>
      </c>
      <c r="P17">
        <v>14</v>
      </c>
      <c r="Q17" s="5" t="s">
        <v>750</v>
      </c>
      <c r="R17" s="5">
        <f>VLOOKUP('전체 통계'!$Q16,'하삼주(250918)'!$A$2:$D$315,3, FALSE)</f>
        <v>92</v>
      </c>
      <c r="S17" s="5">
        <f>VLOOKUP('전체 통계'!$Q16,'하삼주 (250929)'!$A$2:$D$318,3, FALSE)</f>
        <v>86</v>
      </c>
      <c r="T17" s="5">
        <f>VLOOKUP('전체 통계'!$Q16,'하삼주 (251006)'!$A$2:$D$313,3, FALSE)</f>
        <v>73</v>
      </c>
    </row>
    <row r="18" spans="2:21" x14ac:dyDescent="0.3">
      <c r="B18" s="5" t="s">
        <v>708</v>
      </c>
      <c r="C18" s="5">
        <v>78</v>
      </c>
      <c r="D18" s="5">
        <v>41</v>
      </c>
      <c r="E18" s="5">
        <v>8</v>
      </c>
      <c r="F18" s="5">
        <v>3</v>
      </c>
      <c r="G18" s="5">
        <v>0</v>
      </c>
      <c r="P18">
        <v>15</v>
      </c>
      <c r="Q18" s="5" t="s">
        <v>599</v>
      </c>
      <c r="R18" s="5">
        <f>VLOOKUP('전체 통계'!$Q17,'하삼주(250918)'!$A$2:$D$315,3, FALSE)</f>
        <v>62</v>
      </c>
      <c r="S18" s="5">
        <f>VLOOKUP('전체 통계'!$Q17,'하삼주 (250929)'!$A$2:$D$318,3, FALSE)</f>
        <v>73</v>
      </c>
      <c r="T18" s="5">
        <f>VLOOKUP('전체 통계'!$Q17,'하삼주 (251006)'!$A$2:$D$313,3, FALSE)</f>
        <v>74</v>
      </c>
    </row>
    <row r="19" spans="2:21" x14ac:dyDescent="0.3">
      <c r="B19" s="5" t="s">
        <v>709</v>
      </c>
      <c r="C19" s="5">
        <v>17</v>
      </c>
      <c r="D19" s="5">
        <v>4</v>
      </c>
      <c r="E19" s="5">
        <v>0</v>
      </c>
      <c r="F19" s="5">
        <v>0</v>
      </c>
      <c r="G19" s="5">
        <v>0</v>
      </c>
      <c r="P19">
        <v>17</v>
      </c>
      <c r="Q19" s="5" t="s">
        <v>752</v>
      </c>
      <c r="R19" s="5">
        <f>VLOOKUP('전체 통계'!$Q19,'하삼주(250918)'!$A$2:$D$315,3, FALSE)</f>
        <v>111</v>
      </c>
      <c r="S19" s="5">
        <f>VLOOKUP('전체 통계'!$Q19,'하삼주 (250929)'!$A$2:$D$318,3, FALSE)</f>
        <v>88</v>
      </c>
      <c r="T19" s="5">
        <f>VLOOKUP('전체 통계'!$Q19,'하삼주 (251006)'!$A$2:$D$313,3, FALSE)</f>
        <v>76</v>
      </c>
    </row>
    <row r="20" spans="2:21" x14ac:dyDescent="0.3">
      <c r="B20" s="5" t="s">
        <v>710</v>
      </c>
      <c r="C20" s="5">
        <v>1</v>
      </c>
      <c r="D20" s="5">
        <v>0</v>
      </c>
      <c r="E20" s="5">
        <v>0</v>
      </c>
      <c r="F20" s="5">
        <v>0</v>
      </c>
      <c r="G20" s="5">
        <v>0</v>
      </c>
      <c r="P20">
        <v>18</v>
      </c>
      <c r="Q20" s="5" t="s">
        <v>753</v>
      </c>
      <c r="R20" s="5">
        <f>VLOOKUP('전체 통계'!$Q20,'하삼주(250918)'!$A$2:$D$315,3, FALSE)</f>
        <v>79</v>
      </c>
      <c r="S20" s="5">
        <f>VLOOKUP('전체 통계'!$Q20,'하삼주 (250929)'!$A$2:$D$318,3, FALSE)</f>
        <v>76</v>
      </c>
      <c r="T20" s="5">
        <f>VLOOKUP('전체 통계'!$Q20,'하삼주 (251006)'!$A$2:$D$313,3, FALSE)</f>
        <v>78</v>
      </c>
    </row>
    <row r="21" spans="2:21" x14ac:dyDescent="0.3">
      <c r="B21" s="9" t="s">
        <v>711</v>
      </c>
      <c r="C21" s="9">
        <v>283</v>
      </c>
      <c r="D21" s="9">
        <v>206</v>
      </c>
      <c r="E21" s="9">
        <v>121</v>
      </c>
      <c r="F21" s="9">
        <v>71</v>
      </c>
      <c r="G21" s="9">
        <v>38</v>
      </c>
      <c r="P21">
        <v>19</v>
      </c>
      <c r="Q21" s="5" t="s">
        <v>754</v>
      </c>
      <c r="R21" s="5">
        <f>VLOOKUP('전체 통계'!$Q21,'하삼주(250918)'!$A$2:$D$315,3, FALSE)</f>
        <v>68</v>
      </c>
      <c r="S21" s="5">
        <f>VLOOKUP('전체 통계'!$Q21,'하삼주 (250929)'!$A$2:$D$318,3, FALSE)</f>
        <v>99</v>
      </c>
      <c r="T21" s="5">
        <f>VLOOKUP('전체 통계'!$Q21,'하삼주 (251006)'!$A$2:$D$313,3, FALSE)</f>
        <v>101</v>
      </c>
      <c r="U21" t="s">
        <v>910</v>
      </c>
    </row>
    <row r="22" spans="2:21" x14ac:dyDescent="0.3">
      <c r="B22" s="6" t="s">
        <v>712</v>
      </c>
      <c r="C22" s="8" t="s">
        <v>702</v>
      </c>
      <c r="D22" s="8" t="s">
        <v>703</v>
      </c>
      <c r="E22" s="8" t="s">
        <v>704</v>
      </c>
      <c r="F22" s="8" t="s">
        <v>705</v>
      </c>
      <c r="G22" s="8" t="s">
        <v>706</v>
      </c>
      <c r="H22" s="12"/>
      <c r="P22">
        <v>20</v>
      </c>
      <c r="Q22" s="5" t="s">
        <v>755</v>
      </c>
      <c r="R22" s="5">
        <f>VLOOKUP('전체 통계'!$Q22,'하삼주(250918)'!$A$2:$D$315,3, FALSE)</f>
        <v>144</v>
      </c>
      <c r="S22" s="5">
        <f>VLOOKUP('전체 통계'!$Q22,'하삼주 (250929)'!$A$2:$D$318,3, FALSE)</f>
        <v>134</v>
      </c>
      <c r="T22" s="5">
        <f>VLOOKUP('전체 통계'!$Q22,'하삼주 (251006)'!$A$2:$D$313,3, FALSE)</f>
        <v>105</v>
      </c>
    </row>
    <row r="23" spans="2:21" x14ac:dyDescent="0.3">
      <c r="B23" s="5" t="s">
        <v>713</v>
      </c>
      <c r="C23" s="5">
        <v>150</v>
      </c>
      <c r="D23" s="5">
        <v>107</v>
      </c>
      <c r="E23" s="5">
        <v>49</v>
      </c>
      <c r="F23" s="5">
        <v>20</v>
      </c>
      <c r="G23" s="5">
        <v>9</v>
      </c>
      <c r="P23">
        <v>21</v>
      </c>
      <c r="Q23" s="5" t="s">
        <v>756</v>
      </c>
      <c r="R23" s="5">
        <f>VLOOKUP('전체 통계'!$Q23,'하삼주(250918)'!$A$2:$D$315,3, FALSE)</f>
        <v>85</v>
      </c>
      <c r="S23" s="5">
        <f>VLOOKUP('전체 통계'!$Q23,'하삼주 (250929)'!$A$2:$D$318,3, FALSE)</f>
        <v>102</v>
      </c>
      <c r="T23" s="5">
        <f>VLOOKUP('전체 통계'!$Q23,'하삼주 (251006)'!$A$2:$D$313,3, FALSE)</f>
        <v>111</v>
      </c>
      <c r="U23" t="s">
        <v>910</v>
      </c>
    </row>
    <row r="24" spans="2:21" x14ac:dyDescent="0.3">
      <c r="B24" s="5" t="s">
        <v>714</v>
      </c>
      <c r="C24" s="5">
        <v>117</v>
      </c>
      <c r="D24" s="5">
        <v>73</v>
      </c>
      <c r="E24" s="5">
        <v>27</v>
      </c>
      <c r="F24" s="5">
        <v>9</v>
      </c>
      <c r="G24" s="5">
        <v>3</v>
      </c>
      <c r="P24">
        <v>22</v>
      </c>
      <c r="Q24" s="5" t="s">
        <v>757</v>
      </c>
      <c r="R24" s="5">
        <f>VLOOKUP('전체 통계'!$Q24,'하삼주(250918)'!$A$2:$D$315,3, FALSE)</f>
        <v>82</v>
      </c>
      <c r="S24" s="5">
        <f>VLOOKUP('전체 통계'!$Q24,'하삼주 (250929)'!$A$2:$D$318,3, FALSE)</f>
        <v>109</v>
      </c>
      <c r="T24" s="5">
        <f>VLOOKUP('전체 통계'!$Q24,'하삼주 (251006)'!$A$2:$D$313,3, FALSE)</f>
        <v>121</v>
      </c>
      <c r="U24" t="s">
        <v>910</v>
      </c>
    </row>
    <row r="25" spans="2:21" x14ac:dyDescent="0.3">
      <c r="B25" s="5" t="s">
        <v>715</v>
      </c>
      <c r="C25" s="5">
        <v>44</v>
      </c>
      <c r="D25" s="5">
        <v>13</v>
      </c>
      <c r="E25" s="5">
        <v>3</v>
      </c>
      <c r="F25" s="5">
        <v>0</v>
      </c>
      <c r="G25" s="5">
        <v>0</v>
      </c>
      <c r="P25">
        <v>23</v>
      </c>
      <c r="Q25" s="5" t="s">
        <v>758</v>
      </c>
      <c r="R25" s="5">
        <f>VLOOKUP('전체 통계'!$Q25,'하삼주(250918)'!$A$2:$D$315,3, FALSE)</f>
        <v>153</v>
      </c>
      <c r="S25" s="5">
        <f>VLOOKUP('전체 통계'!$Q25,'하삼주 (250929)'!$A$2:$D$318,3, FALSE)</f>
        <v>145</v>
      </c>
      <c r="T25" s="5">
        <f>VLOOKUP('전체 통계'!$Q25,'하삼주 (251006)'!$A$2:$D$313,3, FALSE)</f>
        <v>124</v>
      </c>
    </row>
    <row r="26" spans="2:21" x14ac:dyDescent="0.3">
      <c r="B26" s="5" t="s">
        <v>716</v>
      </c>
      <c r="C26" s="5">
        <v>6</v>
      </c>
      <c r="D26" s="5">
        <v>1</v>
      </c>
      <c r="E26" s="5">
        <v>0</v>
      </c>
      <c r="F26" s="5">
        <v>0</v>
      </c>
      <c r="G26" s="5">
        <v>0</v>
      </c>
      <c r="P26">
        <v>24</v>
      </c>
      <c r="Q26" s="5" t="s">
        <v>759</v>
      </c>
      <c r="R26" s="5">
        <f>VLOOKUP('전체 통계'!$Q26,'하삼주(250918)'!$A$2:$D$315,3, FALSE)</f>
        <v>211</v>
      </c>
      <c r="S26" s="5">
        <f>VLOOKUP('전체 통계'!$Q26,'하삼주 (250929)'!$A$2:$D$318,3, FALSE)</f>
        <v>143</v>
      </c>
      <c r="T26" s="5">
        <f>VLOOKUP('전체 통계'!$Q26,'하삼주 (251006)'!$A$2:$D$313,3, FALSE)</f>
        <v>128</v>
      </c>
      <c r="U26" t="s">
        <v>907</v>
      </c>
    </row>
    <row r="27" spans="2:21" x14ac:dyDescent="0.3">
      <c r="B27" s="9" t="s">
        <v>711</v>
      </c>
      <c r="C27" s="9">
        <v>317</v>
      </c>
      <c r="D27" s="9">
        <v>194</v>
      </c>
      <c r="E27" s="9">
        <v>79</v>
      </c>
      <c r="F27" s="9">
        <v>29</v>
      </c>
      <c r="G27" s="9">
        <v>12</v>
      </c>
      <c r="P27">
        <v>25</v>
      </c>
      <c r="Q27" s="5" t="s">
        <v>760</v>
      </c>
      <c r="R27" s="5">
        <f>VLOOKUP('전체 통계'!$Q27,'하삼주(250918)'!$A$2:$D$315,3, FALSE)</f>
        <v>123</v>
      </c>
      <c r="S27" s="5">
        <f>VLOOKUP('전체 통계'!$Q27,'하삼주 (250929)'!$A$2:$D$318,3, FALSE)</f>
        <v>132</v>
      </c>
      <c r="T27" s="5">
        <f>VLOOKUP('전체 통계'!$Q27,'하삼주 (251006)'!$A$2:$D$313,3, FALSE)</f>
        <v>132</v>
      </c>
    </row>
    <row r="28" spans="2:21" x14ac:dyDescent="0.3">
      <c r="B28">
        <v>251006</v>
      </c>
      <c r="P28">
        <v>26</v>
      </c>
      <c r="Q28" s="5" t="s">
        <v>761</v>
      </c>
      <c r="R28" s="5">
        <f>VLOOKUP('전체 통계'!$Q28,'하삼주(250918)'!$A$2:$D$315,3, FALSE)</f>
        <v>115</v>
      </c>
      <c r="S28" s="5">
        <f>VLOOKUP('전체 통계'!$Q28,'하삼주 (250929)'!$A$2:$D$318,3, FALSE)</f>
        <v>146</v>
      </c>
      <c r="T28" s="5">
        <f>VLOOKUP('전체 통계'!$Q28,'하삼주 (251006)'!$A$2:$D$313,3, FALSE)</f>
        <v>137</v>
      </c>
    </row>
    <row r="29" spans="2:21" x14ac:dyDescent="0.3">
      <c r="B29" s="6" t="s">
        <v>701</v>
      </c>
      <c r="C29" s="8" t="s">
        <v>702</v>
      </c>
      <c r="D29" s="8" t="s">
        <v>703</v>
      </c>
      <c r="E29" s="8" t="s">
        <v>704</v>
      </c>
      <c r="F29" s="8" t="s">
        <v>705</v>
      </c>
      <c r="G29" s="8" t="s">
        <v>706</v>
      </c>
      <c r="P29">
        <v>29</v>
      </c>
      <c r="Q29" s="5" t="s">
        <v>764</v>
      </c>
      <c r="R29" s="5">
        <f>VLOOKUP('전체 통계'!$Q31,'하삼주(250918)'!$A$2:$D$315,3, FALSE)</f>
        <v>158</v>
      </c>
      <c r="S29" s="5">
        <f>VLOOKUP('전체 통계'!$Q31,'하삼주 (250929)'!$A$2:$D$318,3, FALSE)</f>
        <v>153</v>
      </c>
      <c r="T29" s="5">
        <f>VLOOKUP('전체 통계'!$Q31,'하삼주 (251006)'!$A$2:$D$313,3, FALSE)</f>
        <v>150</v>
      </c>
      <c r="U29" t="s">
        <v>910</v>
      </c>
    </row>
    <row r="30" spans="2:21" x14ac:dyDescent="0.3">
      <c r="B30" s="5" t="s">
        <v>707</v>
      </c>
      <c r="C30" s="5">
        <v>188</v>
      </c>
      <c r="D30" s="5">
        <v>162</v>
      </c>
      <c r="E30" s="5">
        <v>116</v>
      </c>
      <c r="F30" s="5">
        <v>68</v>
      </c>
      <c r="G30" s="5">
        <v>35</v>
      </c>
      <c r="P30">
        <v>28</v>
      </c>
      <c r="Q30" s="5" t="s">
        <v>763</v>
      </c>
      <c r="R30" s="5">
        <f>VLOOKUP('전체 통계'!$Q30,'하삼주(250918)'!$A$2:$D$315,3, FALSE)</f>
        <v>170</v>
      </c>
      <c r="S30" s="5">
        <f>VLOOKUP('전체 통계'!$Q30,'하삼주 (250929)'!$A$2:$D$318,3, FALSE)</f>
        <v>148</v>
      </c>
      <c r="T30" s="5">
        <f>VLOOKUP('전체 통계'!$Q30,'하삼주 (251006)'!$A$2:$D$313,3, FALSE)</f>
        <v>146</v>
      </c>
    </row>
    <row r="31" spans="2:21" x14ac:dyDescent="0.3">
      <c r="B31" s="5" t="s">
        <v>708</v>
      </c>
      <c r="C31" s="5">
        <v>80</v>
      </c>
      <c r="D31" s="5">
        <v>43</v>
      </c>
      <c r="E31" s="5">
        <v>9</v>
      </c>
      <c r="F31" s="5">
        <v>3</v>
      </c>
      <c r="G31" s="5">
        <v>1</v>
      </c>
      <c r="P31">
        <v>27</v>
      </c>
      <c r="Q31" s="5" t="s">
        <v>762</v>
      </c>
      <c r="R31" s="5">
        <f>VLOOKUP('전체 통계'!$Q29,'하삼주(250918)'!$A$2:$D$315,3, FALSE)</f>
        <v>87</v>
      </c>
      <c r="S31" s="5">
        <f>VLOOKUP('전체 통계'!$Q29,'하삼주 (250929)'!$A$2:$D$318,3, FALSE)</f>
        <v>91</v>
      </c>
      <c r="T31" s="5">
        <f>VLOOKUP('전체 통계'!$Q29,'하삼주 (251006)'!$A$2:$D$313,3, FALSE)</f>
        <v>142</v>
      </c>
    </row>
    <row r="32" spans="2:21" x14ac:dyDescent="0.3">
      <c r="B32" s="5" t="s">
        <v>709</v>
      </c>
      <c r="C32" s="5">
        <v>19</v>
      </c>
      <c r="D32" s="5">
        <v>4</v>
      </c>
      <c r="E32" s="5">
        <v>0</v>
      </c>
      <c r="F32" s="5">
        <v>0</v>
      </c>
      <c r="G32" s="5">
        <v>0</v>
      </c>
      <c r="P32">
        <v>30</v>
      </c>
      <c r="Q32" s="5" t="s">
        <v>765</v>
      </c>
      <c r="R32" s="5">
        <f>VLOOKUP('전체 통계'!$Q32,'하삼주(250918)'!$A$2:$D$315,3, FALSE)</f>
        <v>201</v>
      </c>
      <c r="S32" s="5">
        <f>VLOOKUP('전체 통계'!$Q32,'하삼주 (250929)'!$A$2:$D$318,3, FALSE)</f>
        <v>171</v>
      </c>
      <c r="T32" s="5">
        <f>VLOOKUP('전체 통계'!$Q32,'하삼주 (251006)'!$A$2:$D$313,3, FALSE)</f>
        <v>151</v>
      </c>
    </row>
    <row r="33" spans="2:21" x14ac:dyDescent="0.3">
      <c r="B33" s="5" t="s">
        <v>710</v>
      </c>
      <c r="C33" s="5">
        <v>1</v>
      </c>
      <c r="D33" s="5">
        <v>0</v>
      </c>
      <c r="E33" s="5">
        <v>0</v>
      </c>
      <c r="F33" s="5">
        <v>0</v>
      </c>
      <c r="G33" s="5">
        <v>0</v>
      </c>
      <c r="P33">
        <v>31</v>
      </c>
      <c r="Q33" s="5" t="s">
        <v>766</v>
      </c>
      <c r="R33" s="5">
        <f>VLOOKUP('전체 통계'!$Q33,'하삼주(250918)'!$A$2:$D$315,3, FALSE)</f>
        <v>132</v>
      </c>
      <c r="S33" s="5">
        <f>VLOOKUP('전체 통계'!$Q33,'하삼주 (250929)'!$A$2:$D$318,3, FALSE)</f>
        <v>147</v>
      </c>
      <c r="T33" s="5">
        <f>VLOOKUP('전체 통계'!$Q33,'하삼주 (251006)'!$A$2:$D$313,3, FALSE)</f>
        <v>153</v>
      </c>
    </row>
    <row r="34" spans="2:21" x14ac:dyDescent="0.3">
      <c r="B34" s="9" t="s">
        <v>711</v>
      </c>
      <c r="C34" s="9">
        <v>288</v>
      </c>
      <c r="D34" s="9">
        <v>209</v>
      </c>
      <c r="E34" s="9">
        <v>125</v>
      </c>
      <c r="F34" s="9">
        <v>71</v>
      </c>
      <c r="G34" s="9">
        <v>36</v>
      </c>
      <c r="P34">
        <v>32</v>
      </c>
      <c r="Q34" s="5" t="s">
        <v>767</v>
      </c>
      <c r="R34" s="5">
        <f>VLOOKUP('전체 통계'!$Q34,'하삼주(250918)'!$A$2:$D$315,3, FALSE)</f>
        <v>192</v>
      </c>
      <c r="S34" s="5">
        <f>VLOOKUP('전체 통계'!$Q34,'하삼주 (250929)'!$A$2:$D$318,3, FALSE)</f>
        <v>154</v>
      </c>
      <c r="T34" s="5">
        <f>VLOOKUP('전체 통계'!$Q34,'하삼주 (251006)'!$A$2:$D$313,3, FALSE)</f>
        <v>156</v>
      </c>
    </row>
    <row r="35" spans="2:21" x14ac:dyDescent="0.3">
      <c r="B35" s="6" t="s">
        <v>712</v>
      </c>
      <c r="C35" s="8" t="s">
        <v>702</v>
      </c>
      <c r="D35" s="8" t="s">
        <v>703</v>
      </c>
      <c r="E35" s="8" t="s">
        <v>704</v>
      </c>
      <c r="F35" s="8" t="s">
        <v>705</v>
      </c>
      <c r="G35" s="8" t="s">
        <v>706</v>
      </c>
      <c r="P35">
        <v>33</v>
      </c>
      <c r="Q35" s="5" t="s">
        <v>104</v>
      </c>
      <c r="R35" s="5">
        <f>VLOOKUP('전체 통계'!$Q35,'하삼주(250918)'!$A$2:$D$315,3, FALSE)</f>
        <v>137</v>
      </c>
      <c r="S35" s="5">
        <f>VLOOKUP('전체 통계'!$Q35,'하삼주 (250929)'!$A$2:$D$318,3, FALSE)</f>
        <v>173</v>
      </c>
      <c r="T35" s="5">
        <f>VLOOKUP('전체 통계'!$Q35,'하삼주 (251006)'!$A$2:$D$313,3, FALSE)</f>
        <v>159</v>
      </c>
    </row>
    <row r="36" spans="2:21" x14ac:dyDescent="0.3">
      <c r="B36" s="5" t="s">
        <v>713</v>
      </c>
      <c r="C36" s="5">
        <v>146</v>
      </c>
      <c r="D36" s="5">
        <v>106</v>
      </c>
      <c r="E36" s="5">
        <v>48</v>
      </c>
      <c r="F36" s="5">
        <v>18</v>
      </c>
      <c r="G36" s="5">
        <v>11</v>
      </c>
      <c r="P36">
        <v>34</v>
      </c>
      <c r="Q36" s="17" t="s">
        <v>768</v>
      </c>
      <c r="R36" s="17">
        <f>VLOOKUP('전체 통계'!$Q36,'하삼주(250918)'!$A$2:$D$315,3, FALSE)</f>
        <v>126</v>
      </c>
      <c r="S36" s="17">
        <f>VLOOKUP('전체 통계'!$Q36,'하삼주 (250929)'!$A$2:$D$318,3, FALSE)</f>
        <v>151</v>
      </c>
      <c r="T36" s="17">
        <f>VLOOKUP('전체 통계'!$Q36,'하삼주 (251006)'!$A$2:$D$313,3, FALSE)</f>
        <v>161</v>
      </c>
      <c r="U36" t="s">
        <v>910</v>
      </c>
    </row>
    <row r="37" spans="2:21" x14ac:dyDescent="0.3">
      <c r="B37" s="5" t="s">
        <v>714</v>
      </c>
      <c r="C37" s="5">
        <v>120</v>
      </c>
      <c r="D37" s="5">
        <v>72</v>
      </c>
      <c r="E37" s="5">
        <v>25</v>
      </c>
      <c r="F37" s="5">
        <v>11</v>
      </c>
      <c r="G37" s="5">
        <v>3</v>
      </c>
      <c r="P37">
        <v>36</v>
      </c>
      <c r="Q37" s="5" t="s">
        <v>770</v>
      </c>
      <c r="R37" s="5">
        <f>VLOOKUP('전체 통계'!$Q38,'하삼주(250918)'!$A$2:$D$315,3, FALSE)</f>
        <v>146</v>
      </c>
      <c r="S37" s="5">
        <f>VLOOKUP('전체 통계'!$Q38,'하삼주 (250929)'!$A$2:$D$318,3, FALSE)</f>
        <v>169</v>
      </c>
      <c r="T37" s="5">
        <f>VLOOKUP('전체 통계'!$Q38,'하삼주 (251006)'!$A$2:$D$313,3, FALSE)</f>
        <v>169</v>
      </c>
    </row>
    <row r="38" spans="2:21" x14ac:dyDescent="0.3">
      <c r="B38" s="5" t="s">
        <v>715</v>
      </c>
      <c r="C38" s="5">
        <v>41</v>
      </c>
      <c r="D38" s="5">
        <v>12</v>
      </c>
      <c r="E38" s="5">
        <v>2</v>
      </c>
      <c r="F38" s="5">
        <v>0</v>
      </c>
      <c r="G38" s="5">
        <v>0</v>
      </c>
      <c r="P38">
        <v>35</v>
      </c>
      <c r="Q38" s="5" t="s">
        <v>769</v>
      </c>
      <c r="R38" s="5">
        <f>VLOOKUP('전체 통계'!$Q37,'하삼주(250918)'!$A$2:$D$315,3, FALSE)</f>
        <v>166</v>
      </c>
      <c r="S38" s="5">
        <f>VLOOKUP('전체 통계'!$Q37,'하삼주 (250929)'!$A$2:$D$318,3, FALSE)</f>
        <v>178</v>
      </c>
      <c r="T38" s="5">
        <f>VLOOKUP('전체 통계'!$Q37,'하삼주 (251006)'!$A$2:$D$313,3, FALSE)</f>
        <v>167</v>
      </c>
    </row>
    <row r="39" spans="2:21" x14ac:dyDescent="0.3">
      <c r="B39" s="5" t="s">
        <v>716</v>
      </c>
      <c r="C39" s="5">
        <v>5</v>
      </c>
      <c r="D39" s="5">
        <v>1</v>
      </c>
      <c r="E39" s="5">
        <v>0</v>
      </c>
      <c r="F39" s="5">
        <v>0</v>
      </c>
      <c r="G39" s="5">
        <v>0</v>
      </c>
      <c r="P39">
        <v>37</v>
      </c>
      <c r="Q39" s="5" t="s">
        <v>771</v>
      </c>
      <c r="R39" s="5">
        <f>VLOOKUP('전체 통계'!$Q39,'하삼주(250918)'!$A$2:$D$315,3, FALSE)</f>
        <v>220</v>
      </c>
      <c r="S39" s="5">
        <f>VLOOKUP('전체 통계'!$Q39,'하삼주 (250929)'!$A$2:$D$318,3, FALSE)</f>
        <v>172</v>
      </c>
      <c r="T39" s="5">
        <f>VLOOKUP('전체 통계'!$Q39,'하삼주 (251006)'!$A$2:$D$313,3, FALSE)</f>
        <v>170</v>
      </c>
    </row>
    <row r="40" spans="2:21" x14ac:dyDescent="0.3">
      <c r="B40" s="9" t="s">
        <v>711</v>
      </c>
      <c r="C40" s="9">
        <v>312</v>
      </c>
      <c r="D40" s="9">
        <v>191</v>
      </c>
      <c r="E40" s="9">
        <v>75</v>
      </c>
      <c r="F40" s="9">
        <v>29</v>
      </c>
      <c r="G40" s="9">
        <v>14</v>
      </c>
      <c r="P40">
        <v>38</v>
      </c>
      <c r="Q40" s="5" t="s">
        <v>772</v>
      </c>
      <c r="R40" s="5">
        <f>VLOOKUP('전체 통계'!$Q40,'하삼주(250918)'!$A$2:$D$315,3, FALSE)</f>
        <v>206</v>
      </c>
      <c r="S40" s="5">
        <f>VLOOKUP('전체 통계'!$Q40,'하삼주 (250929)'!$A$2:$D$318,3, FALSE)</f>
        <v>192</v>
      </c>
      <c r="T40" s="5">
        <f>VLOOKUP('전체 통계'!$Q40,'하삼주 (251006)'!$A$2:$D$313,3, FALSE)</f>
        <v>172</v>
      </c>
    </row>
    <row r="41" spans="2:21" x14ac:dyDescent="0.3">
      <c r="P41">
        <v>39</v>
      </c>
      <c r="Q41" s="5" t="s">
        <v>773</v>
      </c>
      <c r="R41" s="5">
        <f>VLOOKUP('전체 통계'!$Q41,'하삼주(250918)'!$A$2:$D$315,3, FALSE)</f>
        <v>163</v>
      </c>
      <c r="S41" s="5">
        <f>VLOOKUP('전체 통계'!$Q41,'하삼주 (250929)'!$A$2:$D$318,3, FALSE)</f>
        <v>175</v>
      </c>
      <c r="T41" s="5">
        <f>VLOOKUP('전체 통계'!$Q41,'하삼주 (251006)'!$A$2:$D$313,3, FALSE)</f>
        <v>174</v>
      </c>
    </row>
    <row r="42" spans="2:21" x14ac:dyDescent="0.3">
      <c r="P42">
        <v>40</v>
      </c>
      <c r="Q42" s="5" t="s">
        <v>774</v>
      </c>
      <c r="R42" s="5">
        <f>VLOOKUP('전체 통계'!$Q42,'하삼주(250918)'!$A$2:$D$315,3, FALSE)</f>
        <v>196</v>
      </c>
      <c r="S42" s="5">
        <f>VLOOKUP('전체 통계'!$Q42,'하삼주 (250929)'!$A$2:$D$318,3, FALSE)</f>
        <v>200</v>
      </c>
      <c r="T42" s="5">
        <f>VLOOKUP('전체 통계'!$Q42,'하삼주 (251006)'!$A$2:$D$313,3, FALSE)</f>
        <v>175</v>
      </c>
    </row>
    <row r="43" spans="2:21" x14ac:dyDescent="0.3">
      <c r="P43">
        <v>41</v>
      </c>
      <c r="Q43" s="5" t="s">
        <v>775</v>
      </c>
      <c r="R43" s="5">
        <f>VLOOKUP('전체 통계'!$Q43,'하삼주(250918)'!$A$2:$D$315,3, FALSE)</f>
        <v>179</v>
      </c>
      <c r="S43" s="5">
        <f>VLOOKUP('전체 통계'!$Q43,'하삼주 (250929)'!$A$2:$D$318,3, FALSE)</f>
        <v>189</v>
      </c>
      <c r="T43" s="5">
        <f>VLOOKUP('전체 통계'!$Q43,'하삼주 (251006)'!$A$2:$D$313,3, FALSE)</f>
        <v>183</v>
      </c>
    </row>
    <row r="44" spans="2:21" x14ac:dyDescent="0.3">
      <c r="P44">
        <v>43</v>
      </c>
      <c r="Q44" s="5" t="s">
        <v>777</v>
      </c>
      <c r="R44" s="5">
        <f>VLOOKUP('전체 통계'!$Q45,'하삼주(250918)'!$A$2:$D$315,3, FALSE)</f>
        <v>134</v>
      </c>
      <c r="S44" s="5">
        <f>VLOOKUP('전체 통계'!$Q45,'하삼주 (250929)'!$A$2:$D$318,3, FALSE)</f>
        <v>184</v>
      </c>
      <c r="T44" s="5">
        <f>VLOOKUP('전체 통계'!$Q45,'하삼주 (251006)'!$A$2:$D$313,3, FALSE)</f>
        <v>190</v>
      </c>
    </row>
    <row r="45" spans="2:21" x14ac:dyDescent="0.3">
      <c r="P45">
        <v>44</v>
      </c>
      <c r="Q45" s="17" t="s">
        <v>778</v>
      </c>
      <c r="R45" s="17">
        <f>VLOOKUP('전체 통계'!$Q46,'하삼주(250918)'!$A$2:$D$315,3, FALSE)</f>
        <v>175</v>
      </c>
      <c r="S45" s="17">
        <f>VLOOKUP('전체 통계'!$Q46,'하삼주 (250929)'!$A$2:$D$318,3, FALSE)</f>
        <v>186</v>
      </c>
      <c r="T45" s="17">
        <f>VLOOKUP('전체 통계'!$Q46,'하삼주 (251006)'!$A$2:$D$313,3, FALSE)</f>
        <v>193</v>
      </c>
    </row>
    <row r="46" spans="2:21" x14ac:dyDescent="0.3">
      <c r="P46">
        <v>48</v>
      </c>
      <c r="Q46" s="5" t="s">
        <v>132</v>
      </c>
      <c r="R46" s="5">
        <f>VLOOKUP('전체 통계'!$Q50,'하삼주(250918)'!$A$2:$D$315,3, FALSE)</f>
        <v>174</v>
      </c>
      <c r="S46" s="5">
        <f>VLOOKUP('전체 통계'!$Q50,'하삼주 (250929)'!$A$2:$D$318,3, FALSE)</f>
        <v>198</v>
      </c>
      <c r="T46" s="5">
        <f>VLOOKUP('전체 통계'!$Q50,'하삼주 (251006)'!$A$2:$D$313,3, FALSE)</f>
        <v>197</v>
      </c>
    </row>
    <row r="47" spans="2:21" x14ac:dyDescent="0.3">
      <c r="P47">
        <v>45</v>
      </c>
      <c r="Q47" s="5" t="s">
        <v>139</v>
      </c>
      <c r="R47" s="5">
        <f>VLOOKUP('전체 통계'!$Q47,'하삼주(250918)'!$A$2:$D$315,3, FALSE)</f>
        <v>183</v>
      </c>
      <c r="S47" s="5">
        <f>VLOOKUP('전체 통계'!$Q47,'하삼주 (250929)'!$A$2:$D$318,3, FALSE)</f>
        <v>211</v>
      </c>
      <c r="T47" s="5">
        <f>VLOOKUP('전체 통계'!$Q47,'하삼주 (251006)'!$A$2:$D$313,3, FALSE)</f>
        <v>194</v>
      </c>
    </row>
    <row r="48" spans="2:21" x14ac:dyDescent="0.3">
      <c r="P48">
        <v>50</v>
      </c>
      <c r="Q48" s="5" t="s">
        <v>782</v>
      </c>
      <c r="R48" s="5">
        <f>VLOOKUP('전체 통계'!$Q52,'하삼주(250918)'!$A$2:$D$315,3, FALSE)</f>
        <v>177</v>
      </c>
      <c r="S48" s="5">
        <f>VLOOKUP('전체 통계'!$Q52,'하삼주 (250929)'!$A$2:$D$318,3, FALSE)</f>
        <v>179</v>
      </c>
      <c r="T48" s="5">
        <f>VLOOKUP('전체 통계'!$Q52,'하삼주 (251006)'!$A$2:$D$313,3, FALSE)</f>
        <v>204</v>
      </c>
    </row>
    <row r="49" spans="16:20" x14ac:dyDescent="0.3">
      <c r="P49">
        <v>42</v>
      </c>
      <c r="Q49" s="5" t="s">
        <v>776</v>
      </c>
      <c r="R49" s="5">
        <f>VLOOKUP('전체 통계'!$Q44,'하삼주(250918)'!$A$2:$D$315,3, FALSE)</f>
        <v>133</v>
      </c>
      <c r="S49" s="5">
        <f>VLOOKUP('전체 통계'!$Q44,'하삼주 (250929)'!$A$2:$D$318,3, FALSE)</f>
        <v>174</v>
      </c>
      <c r="T49" s="5">
        <f>VLOOKUP('전체 통계'!$Q44,'하삼주 (251006)'!$A$2:$D$313,3, FALSE)</f>
        <v>187</v>
      </c>
    </row>
    <row r="50" spans="16:20" x14ac:dyDescent="0.3">
      <c r="P50">
        <v>47</v>
      </c>
      <c r="Q50" s="5" t="s">
        <v>780</v>
      </c>
      <c r="R50" s="5">
        <f>VLOOKUP('전체 통계'!$Q49,'하삼주(250918)'!$A$2:$D$315,3, FALSE)</f>
        <v>194</v>
      </c>
      <c r="S50" s="5">
        <f>VLOOKUP('전체 통계'!$Q49,'하삼주 (250929)'!$A$2:$D$318,3, FALSE)</f>
        <v>195</v>
      </c>
      <c r="T50" s="5">
        <f>VLOOKUP('전체 통계'!$Q49,'하삼주 (251006)'!$A$2:$D$313,3, FALSE)</f>
        <v>196</v>
      </c>
    </row>
    <row r="51" spans="16:20" x14ac:dyDescent="0.3">
      <c r="P51">
        <v>46</v>
      </c>
      <c r="Q51" s="5" t="s">
        <v>779</v>
      </c>
      <c r="R51" s="5">
        <f>VLOOKUP('전체 통계'!$Q48,'하삼주(250918)'!$A$2:$D$315,3, FALSE)</f>
        <v>169</v>
      </c>
      <c r="S51" s="5">
        <f>VLOOKUP('전체 통계'!$Q48,'하삼주 (250929)'!$A$2:$D$318,3, FALSE)</f>
        <v>191</v>
      </c>
      <c r="T51" s="5">
        <f>VLOOKUP('전체 통계'!$Q48,'하삼주 (251006)'!$A$2:$D$313,3, FALSE)</f>
        <v>195</v>
      </c>
    </row>
    <row r="52" spans="16:20" x14ac:dyDescent="0.3">
      <c r="P52">
        <v>49</v>
      </c>
      <c r="Q52" s="5" t="s">
        <v>781</v>
      </c>
      <c r="R52" s="5">
        <f>VLOOKUP('전체 통계'!$Q51,'하삼주(250918)'!$A$2:$D$315,3, FALSE)</f>
        <v>241</v>
      </c>
      <c r="S52" s="5">
        <f>VLOOKUP('전체 통계'!$Q51,'하삼주 (250929)'!$A$2:$D$318,3, FALSE)</f>
        <v>216</v>
      </c>
      <c r="T52" s="5">
        <f>VLOOKUP('전체 통계'!$Q51,'하삼주 (251006)'!$A$2:$D$313,3, FALSE)</f>
        <v>202</v>
      </c>
    </row>
    <row r="53" spans="16:20" x14ac:dyDescent="0.3">
      <c r="P53">
        <v>54</v>
      </c>
      <c r="Q53" s="5" t="s">
        <v>119</v>
      </c>
      <c r="R53" s="5">
        <f>VLOOKUP('전체 통계'!$Q56,'하삼주(250918)'!$A$2:$D$315,3, FALSE)</f>
        <v>215</v>
      </c>
      <c r="S53" s="5">
        <f>VLOOKUP('전체 통계'!$Q56,'하삼주 (250929)'!$A$2:$D$318,3, FALSE)</f>
        <v>224</v>
      </c>
      <c r="T53" s="5">
        <f>VLOOKUP('전체 통계'!$Q56,'하삼주 (251006)'!$A$2:$D$313,3, FALSE)</f>
        <v>212</v>
      </c>
    </row>
    <row r="54" spans="16:20" x14ac:dyDescent="0.3">
      <c r="P54">
        <v>52</v>
      </c>
      <c r="Q54" s="5" t="s">
        <v>784</v>
      </c>
      <c r="R54" s="5">
        <f>VLOOKUP('전체 통계'!$Q54,'하삼주(250918)'!$A$2:$D$315,3, FALSE)</f>
        <v>207</v>
      </c>
      <c r="S54" s="5">
        <f>VLOOKUP('전체 통계'!$Q54,'하삼주 (250929)'!$A$2:$D$318,3, FALSE)</f>
        <v>215</v>
      </c>
      <c r="T54" s="5">
        <f>VLOOKUP('전체 통계'!$Q54,'하삼주 (251006)'!$A$2:$D$313,3, FALSE)</f>
        <v>210</v>
      </c>
    </row>
    <row r="55" spans="16:20" x14ac:dyDescent="0.3">
      <c r="P55">
        <v>51</v>
      </c>
      <c r="Q55" s="5" t="s">
        <v>783</v>
      </c>
      <c r="R55" s="5">
        <f>VLOOKUP('전체 통계'!$Q53,'하삼주(250918)'!$A$2:$D$315,3, FALSE)</f>
        <v>157</v>
      </c>
      <c r="S55" s="5">
        <f>VLOOKUP('전체 통계'!$Q53,'하삼주 (250929)'!$A$2:$D$318,3, FALSE)</f>
        <v>210</v>
      </c>
      <c r="T55" s="5">
        <f>VLOOKUP('전체 통계'!$Q53,'하삼주 (251006)'!$A$2:$D$313,3, FALSE)</f>
        <v>205</v>
      </c>
    </row>
    <row r="56" spans="16:20" x14ac:dyDescent="0.3">
      <c r="P56">
        <v>53</v>
      </c>
      <c r="Q56" s="5" t="s">
        <v>785</v>
      </c>
      <c r="R56" s="5">
        <f>VLOOKUP('전체 통계'!$Q55,'하삼주(250918)'!$A$2:$D$315,3, FALSE)</f>
        <v>152</v>
      </c>
      <c r="S56" s="5">
        <f>VLOOKUP('전체 통계'!$Q55,'하삼주 (250929)'!$A$2:$D$318,3, FALSE)</f>
        <v>217</v>
      </c>
      <c r="T56" s="5">
        <f>VLOOKUP('전체 통계'!$Q55,'하삼주 (251006)'!$A$2:$D$313,3, FALSE)</f>
        <v>211</v>
      </c>
    </row>
    <row r="57" spans="16:20" x14ac:dyDescent="0.3">
      <c r="P57">
        <v>56</v>
      </c>
      <c r="Q57" s="5" t="s">
        <v>787</v>
      </c>
      <c r="R57" s="5">
        <f>VLOOKUP('전체 통계'!$Q58,'하삼주(250918)'!$A$2:$D$315,3, FALSE)</f>
        <v>151</v>
      </c>
      <c r="S57" s="5">
        <f>VLOOKUP('전체 통계'!$Q58,'하삼주 (250929)'!$A$2:$D$318,3, FALSE)</f>
        <v>204</v>
      </c>
      <c r="T57" s="5">
        <f>VLOOKUP('전체 통계'!$Q58,'하삼주 (251006)'!$A$2:$D$313,3, FALSE)</f>
        <v>218</v>
      </c>
    </row>
    <row r="58" spans="16:20" x14ac:dyDescent="0.3">
      <c r="P58">
        <v>57</v>
      </c>
      <c r="Q58" s="5" t="s">
        <v>788</v>
      </c>
      <c r="R58" s="5">
        <f>VLOOKUP('전체 통계'!$Q59,'하삼주(250918)'!$A$2:$D$315,3, FALSE)</f>
        <v>242</v>
      </c>
      <c r="S58" s="5">
        <f>VLOOKUP('전체 통계'!$Q59,'하삼주 (250929)'!$A$2:$D$318,3, FALSE)</f>
        <v>223</v>
      </c>
      <c r="T58" s="5">
        <f>VLOOKUP('전체 통계'!$Q59,'하삼주 (251006)'!$A$2:$D$313,3, FALSE)</f>
        <v>219</v>
      </c>
    </row>
    <row r="59" spans="16:20" x14ac:dyDescent="0.3">
      <c r="P59">
        <v>55</v>
      </c>
      <c r="Q59" s="5" t="s">
        <v>786</v>
      </c>
      <c r="R59" s="5">
        <f>VLOOKUP('전체 통계'!$Q57,'하삼주(250918)'!$A$2:$D$315,3, FALSE)</f>
        <v>188</v>
      </c>
      <c r="S59" s="5">
        <f>VLOOKUP('전체 통계'!$Q57,'하삼주 (250929)'!$A$2:$D$318,3, FALSE)</f>
        <v>212</v>
      </c>
      <c r="T59" s="5">
        <f>VLOOKUP('전체 통계'!$Q57,'하삼주 (251006)'!$A$2:$D$313,3, FALSE)</f>
        <v>216</v>
      </c>
    </row>
    <row r="60" spans="16:20" x14ac:dyDescent="0.3">
      <c r="P60">
        <v>58</v>
      </c>
      <c r="Q60" s="5" t="s">
        <v>789</v>
      </c>
      <c r="R60" s="5">
        <f>VLOOKUP('전체 통계'!$Q60,'하삼주(250918)'!$A$2:$D$315,3, FALSE)</f>
        <v>223</v>
      </c>
      <c r="S60" s="5">
        <f>VLOOKUP('전체 통계'!$Q60,'하삼주 (250929)'!$A$2:$D$318,3, FALSE)</f>
        <v>221</v>
      </c>
      <c r="T60" s="5">
        <f>VLOOKUP('전체 통계'!$Q60,'하삼주 (251006)'!$A$2:$D$313,3, FALSE)</f>
        <v>225</v>
      </c>
    </row>
    <row r="61" spans="16:20" x14ac:dyDescent="0.3">
      <c r="P61">
        <v>59</v>
      </c>
      <c r="Q61" s="5" t="s">
        <v>790</v>
      </c>
      <c r="R61" s="5">
        <f>VLOOKUP('전체 통계'!$Q61,'하삼주(250918)'!$A$2:$D$315,3, FALSE)</f>
        <v>198</v>
      </c>
      <c r="S61" s="5">
        <f>VLOOKUP('전체 통계'!$Q61,'하삼주 (250929)'!$A$2:$D$318,3, FALSE)</f>
        <v>225</v>
      </c>
      <c r="T61" s="5">
        <f>VLOOKUP('전체 통계'!$Q61,'하삼주 (251006)'!$A$2:$D$313,3, FALSE)</f>
        <v>228</v>
      </c>
    </row>
    <row r="62" spans="16:20" x14ac:dyDescent="0.3">
      <c r="P62">
        <v>60</v>
      </c>
      <c r="Q62" s="5" t="s">
        <v>791</v>
      </c>
      <c r="R62" s="5">
        <f>VLOOKUP('전체 통계'!$Q62,'하삼주(250918)'!$A$2:$D$315,3, FALSE)</f>
        <v>186</v>
      </c>
      <c r="S62" s="5">
        <f>VLOOKUP('전체 통계'!$Q62,'하삼주 (250929)'!$A$2:$D$318,3, FALSE)</f>
        <v>196</v>
      </c>
      <c r="T62" s="5">
        <f>VLOOKUP('전체 통계'!$Q62,'하삼주 (251006)'!$A$2:$D$313,3, FALSE)</f>
        <v>230</v>
      </c>
    </row>
    <row r="63" spans="16:20" x14ac:dyDescent="0.3">
      <c r="P63">
        <v>63</v>
      </c>
      <c r="Q63" s="5" t="s">
        <v>794</v>
      </c>
      <c r="R63" s="5">
        <f>VLOOKUP('전체 통계'!$Q65,'하삼주(250918)'!$A$2:$D$315,3, FALSE)</f>
        <v>239</v>
      </c>
      <c r="S63" s="5">
        <f>VLOOKUP('전체 통계'!$Q65,'하삼주 (250929)'!$A$2:$D$318,3, FALSE)</f>
        <v>272</v>
      </c>
      <c r="T63" s="5">
        <f>VLOOKUP('전체 통계'!$Q65,'하삼주 (251006)'!$A$2:$D$313,3, FALSE)</f>
        <v>243</v>
      </c>
    </row>
    <row r="64" spans="16:20" x14ac:dyDescent="0.3">
      <c r="P64">
        <v>65</v>
      </c>
      <c r="Q64" s="5" t="s">
        <v>796</v>
      </c>
      <c r="R64" s="5">
        <f>VLOOKUP('전체 통계'!$Q67,'하삼주(250918)'!$A$2:$D$315,3, FALSE)</f>
        <v>262</v>
      </c>
      <c r="S64" s="5">
        <f>VLOOKUP('전체 통계'!$Q67,'하삼주 (250929)'!$A$2:$D$318,3, FALSE)</f>
        <v>255</v>
      </c>
      <c r="T64" s="5">
        <f>VLOOKUP('전체 통계'!$Q67,'하삼주 (251006)'!$A$2:$D$313,3, FALSE)</f>
        <v>249</v>
      </c>
    </row>
    <row r="65" spans="16:20" x14ac:dyDescent="0.3">
      <c r="P65">
        <v>61</v>
      </c>
      <c r="Q65" s="5" t="s">
        <v>792</v>
      </c>
      <c r="R65" s="5">
        <f>VLOOKUP('전체 통계'!$Q63,'하삼주(250918)'!$A$2:$D$315,3, FALSE)</f>
        <v>167</v>
      </c>
      <c r="S65" s="5">
        <f>VLOOKUP('전체 통계'!$Q63,'하삼주 (250929)'!$A$2:$D$318,3, FALSE)</f>
        <v>233</v>
      </c>
      <c r="T65" s="5">
        <f>VLOOKUP('전체 통계'!$Q63,'하삼주 (251006)'!$A$2:$D$313,3, FALSE)</f>
        <v>241</v>
      </c>
    </row>
    <row r="66" spans="16:20" x14ac:dyDescent="0.3">
      <c r="P66">
        <v>64</v>
      </c>
      <c r="Q66" s="5" t="s">
        <v>795</v>
      </c>
      <c r="R66" s="5">
        <f>VLOOKUP('전체 통계'!$Q66,'하삼주(250918)'!$A$2:$D$315,3, FALSE)</f>
        <v>222</v>
      </c>
      <c r="S66" s="5">
        <f>VLOOKUP('전체 통계'!$Q66,'하삼주 (250929)'!$A$2:$D$318,3, FALSE)</f>
        <v>254</v>
      </c>
      <c r="T66" s="5">
        <f>VLOOKUP('전체 통계'!$Q66,'하삼주 (251006)'!$A$2:$D$313,3, FALSE)</f>
        <v>247</v>
      </c>
    </row>
    <row r="67" spans="16:20" x14ac:dyDescent="0.3">
      <c r="P67">
        <v>62</v>
      </c>
      <c r="Q67" s="5" t="s">
        <v>793</v>
      </c>
      <c r="R67" s="5">
        <f>VLOOKUP('전체 통계'!$Q64,'하삼주(250918)'!$A$2:$D$315,3, FALSE)</f>
        <v>213</v>
      </c>
      <c r="S67" s="5">
        <f>VLOOKUP('전체 통계'!$Q64,'하삼주 (250929)'!$A$2:$D$318,3, FALSE)</f>
        <v>234</v>
      </c>
      <c r="T67" s="5">
        <f>VLOOKUP('전체 통계'!$Q64,'하삼주 (251006)'!$A$2:$D$313,3, FALSE)</f>
        <v>242</v>
      </c>
    </row>
    <row r="68" spans="16:20" x14ac:dyDescent="0.3">
      <c r="P68">
        <v>67</v>
      </c>
      <c r="Q68" s="5" t="s">
        <v>189</v>
      </c>
      <c r="R68" s="5">
        <f>VLOOKUP('전체 통계'!$Q69,'하삼주(250918)'!$A$2:$D$315,3, FALSE)</f>
        <v>275</v>
      </c>
      <c r="S68" s="5">
        <f>VLOOKUP('전체 통계'!$Q69,'하삼주 (250929)'!$A$2:$D$318,3, FALSE)</f>
        <v>262</v>
      </c>
      <c r="T68" s="5">
        <f>VLOOKUP('전체 통계'!$Q69,'하삼주 (251006)'!$A$2:$D$313,3, FALSE)</f>
        <v>254</v>
      </c>
    </row>
    <row r="69" spans="16:20" x14ac:dyDescent="0.3">
      <c r="P69">
        <v>66</v>
      </c>
      <c r="Q69" s="5" t="s">
        <v>221</v>
      </c>
      <c r="R69" s="5">
        <f>VLOOKUP('전체 통계'!$Q68,'하삼주(250918)'!$A$2:$D$315,3, FALSE)</f>
        <v>234</v>
      </c>
      <c r="S69" s="5">
        <f>VLOOKUP('전체 통계'!$Q68,'하삼주 (250929)'!$A$2:$D$318,3, FALSE)</f>
        <v>252</v>
      </c>
      <c r="T69" s="5">
        <f>VLOOKUP('전체 통계'!$Q68,'하삼주 (251006)'!$A$2:$D$313,3, FALSE)</f>
        <v>252</v>
      </c>
    </row>
    <row r="70" spans="16:20" x14ac:dyDescent="0.3">
      <c r="P70">
        <v>105</v>
      </c>
      <c r="Q70" s="5" t="s">
        <v>320</v>
      </c>
      <c r="R70" s="5">
        <f>VLOOKUP('전체 통계'!$Q107,'하삼주(250918)'!$A$2:$D$315,3, FALSE)</f>
        <v>283</v>
      </c>
      <c r="S70" s="5">
        <f>VLOOKUP('전체 통계'!$Q107,'하삼주 (250929)'!$A$2:$D$318,3, FALSE)</f>
        <v>350</v>
      </c>
      <c r="T70" s="5">
        <f>VLOOKUP('전체 통계'!$Q107,'하삼주 (251006)'!$A$2:$D$313,3, FALSE)</f>
        <v>392</v>
      </c>
    </row>
    <row r="71" spans="16:20" x14ac:dyDescent="0.3">
      <c r="P71">
        <v>68</v>
      </c>
      <c r="Q71" s="5" t="s">
        <v>797</v>
      </c>
      <c r="R71" s="5">
        <f>VLOOKUP('전체 통계'!$Q70,'하삼주(250918)'!$A$2:$D$315,3, FALSE)</f>
        <v>275</v>
      </c>
      <c r="S71" s="5">
        <f>VLOOKUP('전체 통계'!$Q70,'하삼주 (250929)'!$A$2:$D$318,3, FALSE)</f>
        <v>262</v>
      </c>
      <c r="T71" s="5">
        <f>VLOOKUP('전체 통계'!$Q70,'하삼주 (251006)'!$A$2:$D$313,3, FALSE)</f>
        <v>254</v>
      </c>
    </row>
    <row r="72" spans="16:20" x14ac:dyDescent="0.3">
      <c r="P72">
        <v>69</v>
      </c>
      <c r="Q72" s="5" t="s">
        <v>798</v>
      </c>
      <c r="R72" s="5">
        <f>VLOOKUP('전체 통계'!$Q71,'하삼주(250918)'!$A$2:$D$315,3, FALSE)</f>
        <v>273</v>
      </c>
      <c r="S72" s="5">
        <f>VLOOKUP('전체 통계'!$Q71,'하삼주 (250929)'!$A$2:$D$318,3, FALSE)</f>
        <v>301</v>
      </c>
      <c r="T72" s="5">
        <f>VLOOKUP('전체 통계'!$Q71,'하삼주 (251006)'!$A$2:$D$313,3, FALSE)</f>
        <v>256</v>
      </c>
    </row>
    <row r="73" spans="16:20" x14ac:dyDescent="0.3">
      <c r="P73">
        <v>75</v>
      </c>
      <c r="Q73" s="5" t="s">
        <v>802</v>
      </c>
      <c r="R73" s="5">
        <f>VLOOKUP('전체 통계'!$Q77,'하삼주(250918)'!$A$2:$D$315,3, FALSE)</f>
        <v>256</v>
      </c>
      <c r="S73" s="5">
        <f>VLOOKUP('전체 통계'!$Q77,'하삼주 (250929)'!$A$2:$D$318,3, FALSE)</f>
        <v>259</v>
      </c>
      <c r="T73" s="5">
        <f>VLOOKUP('전체 통계'!$Q77,'하삼주 (251006)'!$A$2:$D$313,3, FALSE)</f>
        <v>277</v>
      </c>
    </row>
    <row r="74" spans="16:20" x14ac:dyDescent="0.3">
      <c r="P74">
        <v>70</v>
      </c>
      <c r="Q74" s="5" t="s">
        <v>799</v>
      </c>
      <c r="R74" s="5">
        <f>VLOOKUP('전체 통계'!$Q72,'하삼주(250918)'!$A$2:$D$315,3, FALSE)</f>
        <v>251</v>
      </c>
      <c r="S74" s="5">
        <f>VLOOKUP('전체 통계'!$Q72,'하삼주 (250929)'!$A$2:$D$318,3, FALSE)</f>
        <v>278</v>
      </c>
      <c r="T74" s="5">
        <f>VLOOKUP('전체 통계'!$Q72,'하삼주 (251006)'!$A$2:$D$313,3, FALSE)</f>
        <v>261</v>
      </c>
    </row>
    <row r="75" spans="16:20" x14ac:dyDescent="0.3">
      <c r="P75">
        <v>73</v>
      </c>
      <c r="Q75" s="5" t="s">
        <v>801</v>
      </c>
      <c r="R75" s="5">
        <f>VLOOKUP('전체 통계'!$Q75,'하삼주(250918)'!$A$2:$D$315,3, FALSE)</f>
        <v>287</v>
      </c>
      <c r="S75" s="5">
        <f>VLOOKUP('전체 통계'!$Q75,'하삼주 (250929)'!$A$2:$D$318,3, FALSE)</f>
        <v>291</v>
      </c>
      <c r="T75" s="5">
        <f>VLOOKUP('전체 통계'!$Q75,'하삼주 (251006)'!$A$2:$D$313,3, FALSE)</f>
        <v>275</v>
      </c>
    </row>
    <row r="76" spans="16:20" x14ac:dyDescent="0.3">
      <c r="P76">
        <v>74</v>
      </c>
      <c r="Q76" s="5" t="s">
        <v>295</v>
      </c>
      <c r="R76" s="5">
        <f>VLOOKUP('전체 통계'!$Q76,'하삼주(250918)'!$A$2:$D$315,3, FALSE)</f>
        <v>367</v>
      </c>
      <c r="S76" s="5">
        <f>VLOOKUP('전체 통계'!$Q76,'하삼주 (250929)'!$A$2:$D$318,3, FALSE)</f>
        <v>318</v>
      </c>
      <c r="T76" s="5">
        <f>VLOOKUP('전체 통계'!$Q76,'하삼주 (251006)'!$A$2:$D$313,3, FALSE)</f>
        <v>276</v>
      </c>
    </row>
    <row r="77" spans="16:20" x14ac:dyDescent="0.3">
      <c r="P77">
        <v>81</v>
      </c>
      <c r="Q77" s="5" t="s">
        <v>807</v>
      </c>
      <c r="R77" s="5">
        <f>VLOOKUP('전체 통계'!$Q83,'하삼주(250918)'!$A$2:$D$315,3, FALSE)</f>
        <v>269</v>
      </c>
      <c r="S77" s="5">
        <f>VLOOKUP('전체 통계'!$Q83,'하삼주 (250929)'!$A$2:$D$318,3, FALSE)</f>
        <v>336</v>
      </c>
      <c r="T77" s="5">
        <f>VLOOKUP('전체 통계'!$Q83,'하삼주 (251006)'!$A$2:$D$313,3, FALSE)</f>
        <v>289</v>
      </c>
    </row>
    <row r="78" spans="16:20" x14ac:dyDescent="0.3">
      <c r="P78">
        <v>71</v>
      </c>
      <c r="Q78" s="5" t="s">
        <v>800</v>
      </c>
      <c r="R78" s="5">
        <f>VLOOKUP('전체 통계'!$Q73,'하삼주(250918)'!$A$2:$D$315,3, FALSE)</f>
        <v>284</v>
      </c>
      <c r="S78" s="5">
        <f>VLOOKUP('전체 통계'!$Q73,'하삼주 (250929)'!$A$2:$D$318,3, FALSE)</f>
        <v>266</v>
      </c>
      <c r="T78" s="5">
        <f>VLOOKUP('전체 통계'!$Q73,'하삼주 (251006)'!$A$2:$D$313,3, FALSE)</f>
        <v>272</v>
      </c>
    </row>
    <row r="79" spans="16:20" x14ac:dyDescent="0.3">
      <c r="P79">
        <v>76</v>
      </c>
      <c r="Q79" s="5" t="s">
        <v>803</v>
      </c>
      <c r="R79" s="5">
        <f>VLOOKUP('전체 통계'!$Q78,'하삼주(250918)'!$A$2:$D$315,3, FALSE)</f>
        <v>264</v>
      </c>
      <c r="S79" s="5">
        <f>VLOOKUP('전체 통계'!$Q78,'하삼주 (250929)'!$A$2:$D$318,3, FALSE)</f>
        <v>293</v>
      </c>
      <c r="T79" s="5">
        <f>VLOOKUP('전체 통계'!$Q78,'하삼주 (251006)'!$A$2:$D$313,3, FALSE)</f>
        <v>279</v>
      </c>
    </row>
    <row r="80" spans="16:20" x14ac:dyDescent="0.3">
      <c r="P80">
        <v>80</v>
      </c>
      <c r="Q80" s="5" t="s">
        <v>806</v>
      </c>
      <c r="R80" s="5">
        <f>VLOOKUP('전체 통계'!$Q82,'하삼주(250918)'!$A$2:$D$315,3, FALSE)</f>
        <v>340</v>
      </c>
      <c r="S80" s="5">
        <f>VLOOKUP('전체 통계'!$Q82,'하삼주 (250929)'!$A$2:$D$318,3, FALSE)</f>
        <v>325</v>
      </c>
      <c r="T80" s="5">
        <f>VLOOKUP('전체 통계'!$Q82,'하삼주 (251006)'!$A$2:$D$313,3, FALSE)</f>
        <v>288</v>
      </c>
    </row>
    <row r="81" spans="16:20" x14ac:dyDescent="0.3">
      <c r="P81">
        <v>72</v>
      </c>
      <c r="Q81" s="5" t="s">
        <v>252</v>
      </c>
      <c r="R81" s="5">
        <f>VLOOKUP('전체 통계'!$Q74,'하삼주(250918)'!$A$2:$D$315,3, FALSE)</f>
        <v>387</v>
      </c>
      <c r="S81" s="5">
        <f>VLOOKUP('전체 통계'!$Q74,'하삼주 (250929)'!$A$2:$D$318,3, FALSE)</f>
        <v>320</v>
      </c>
      <c r="T81" s="5">
        <f>VLOOKUP('전체 통계'!$Q74,'하삼주 (251006)'!$A$2:$D$313,3, FALSE)</f>
        <v>274</v>
      </c>
    </row>
    <row r="82" spans="16:20" x14ac:dyDescent="0.3">
      <c r="P82">
        <v>77</v>
      </c>
      <c r="Q82" s="5" t="s">
        <v>804</v>
      </c>
      <c r="R82" s="5">
        <f>VLOOKUP('전체 통계'!$Q79,'하삼주(250918)'!$A$2:$D$315,3, FALSE)</f>
        <v>243</v>
      </c>
      <c r="S82" s="5">
        <f>VLOOKUP('전체 통계'!$Q79,'하삼주 (250929)'!$A$2:$D$318,3, FALSE)</f>
        <v>275</v>
      </c>
      <c r="T82" s="5">
        <f>VLOOKUP('전체 통계'!$Q79,'하삼주 (251006)'!$A$2:$D$313,3, FALSE)</f>
        <v>280</v>
      </c>
    </row>
    <row r="83" spans="16:20" x14ac:dyDescent="0.3">
      <c r="P83">
        <v>78</v>
      </c>
      <c r="Q83" s="5" t="s">
        <v>600</v>
      </c>
      <c r="R83" s="5">
        <f>VLOOKUP('전체 통계'!$Q80,'하삼주(250918)'!$A$2:$D$315,3, FALSE)</f>
        <v>203</v>
      </c>
      <c r="S83" s="5">
        <f>VLOOKUP('전체 통계'!$Q80,'하삼주 (250929)'!$A$2:$D$318,3, FALSE)</f>
        <v>248</v>
      </c>
      <c r="T83" s="5">
        <f>VLOOKUP('전체 통계'!$Q80,'하삼주 (251006)'!$A$2:$D$313,3, FALSE)</f>
        <v>281</v>
      </c>
    </row>
    <row r="84" spans="16:20" x14ac:dyDescent="0.3">
      <c r="P84">
        <v>79</v>
      </c>
      <c r="Q84" s="5" t="s">
        <v>805</v>
      </c>
      <c r="R84" s="5">
        <f>VLOOKUP('전체 통계'!$Q81,'하삼주(250918)'!$A$2:$D$315,3, FALSE)</f>
        <v>307</v>
      </c>
      <c r="S84" s="5">
        <f>VLOOKUP('전체 통계'!$Q81,'하삼주 (250929)'!$A$2:$D$318,3, FALSE)</f>
        <v>319</v>
      </c>
      <c r="T84" s="5">
        <f>VLOOKUP('전체 통계'!$Q81,'하삼주 (251006)'!$A$2:$D$313,3, FALSE)</f>
        <v>284</v>
      </c>
    </row>
    <row r="85" spans="16:20" x14ac:dyDescent="0.3">
      <c r="P85">
        <v>82</v>
      </c>
      <c r="Q85" s="5" t="s">
        <v>808</v>
      </c>
      <c r="R85" s="5">
        <f>VLOOKUP('전체 통계'!$Q84,'하삼주(250918)'!$A$2:$D$315,3, FALSE)</f>
        <v>319</v>
      </c>
      <c r="S85" s="5">
        <f>VLOOKUP('전체 통계'!$Q84,'하삼주 (250929)'!$A$2:$D$318,3, FALSE)</f>
        <v>300</v>
      </c>
      <c r="T85" s="5">
        <f>VLOOKUP('전체 통계'!$Q84,'하삼주 (251006)'!$A$2:$D$313,3, FALSE)</f>
        <v>290</v>
      </c>
    </row>
    <row r="86" spans="16:20" x14ac:dyDescent="0.3">
      <c r="P86">
        <v>85</v>
      </c>
      <c r="Q86" s="5" t="s">
        <v>246</v>
      </c>
      <c r="R86" s="5">
        <f>VLOOKUP('전체 통계'!$Q87,'하삼주(250918)'!$A$2:$D$315,3, FALSE)</f>
        <v>255</v>
      </c>
      <c r="S86" s="5">
        <f>VLOOKUP('전체 통계'!$Q87,'하삼주 (250929)'!$A$2:$D$318,3, FALSE)</f>
        <v>310</v>
      </c>
      <c r="T86" s="5">
        <f>VLOOKUP('전체 통계'!$Q87,'하삼주 (251006)'!$A$2:$D$313,3, FALSE)</f>
        <v>304</v>
      </c>
    </row>
    <row r="87" spans="16:20" x14ac:dyDescent="0.3">
      <c r="P87">
        <v>84</v>
      </c>
      <c r="Q87" s="5" t="s">
        <v>810</v>
      </c>
      <c r="R87" s="5">
        <f>VLOOKUP('전체 통계'!$Q86,'하삼주(250918)'!$A$2:$D$315,3, FALSE)</f>
        <v>301</v>
      </c>
      <c r="S87" s="5">
        <f>VLOOKUP('전체 통계'!$Q86,'하삼주 (250929)'!$A$2:$D$318,3, FALSE)</f>
        <v>285</v>
      </c>
      <c r="T87" s="5">
        <f>VLOOKUP('전체 통계'!$Q86,'하삼주 (251006)'!$A$2:$D$313,3, FALSE)</f>
        <v>300</v>
      </c>
    </row>
    <row r="88" spans="16:20" x14ac:dyDescent="0.3">
      <c r="P88">
        <v>83</v>
      </c>
      <c r="Q88" s="5" t="s">
        <v>809</v>
      </c>
      <c r="R88" s="5">
        <f>VLOOKUP('전체 통계'!$Q85,'하삼주(250918)'!$A$2:$D$315,3, FALSE)</f>
        <v>303</v>
      </c>
      <c r="S88" s="5">
        <f>VLOOKUP('전체 통계'!$Q85,'하삼주 (250929)'!$A$2:$D$318,3, FALSE)</f>
        <v>321</v>
      </c>
      <c r="T88" s="5">
        <f>VLOOKUP('전체 통계'!$Q85,'하삼주 (251006)'!$A$2:$D$313,3, FALSE)</f>
        <v>296</v>
      </c>
    </row>
    <row r="89" spans="16:20" x14ac:dyDescent="0.3">
      <c r="P89">
        <v>86</v>
      </c>
      <c r="Q89" s="5" t="s">
        <v>218</v>
      </c>
      <c r="R89" s="5">
        <f>VLOOKUP('전체 통계'!$Q88,'하삼주(250918)'!$A$2:$D$315,3, FALSE)</f>
        <v>228</v>
      </c>
      <c r="S89" s="5">
        <f>VLOOKUP('전체 통계'!$Q88,'하삼주 (250929)'!$A$2:$D$318,3, FALSE)</f>
        <v>280</v>
      </c>
      <c r="T89" s="5">
        <f>VLOOKUP('전체 통계'!$Q88,'하삼주 (251006)'!$A$2:$D$313,3, FALSE)</f>
        <v>306</v>
      </c>
    </row>
    <row r="90" spans="16:20" x14ac:dyDescent="0.3">
      <c r="P90">
        <v>90</v>
      </c>
      <c r="Q90" s="5" t="s">
        <v>813</v>
      </c>
      <c r="R90" s="5">
        <f>VLOOKUP('전체 통계'!$Q92,'하삼주(250918)'!$A$2:$D$315,3, FALSE)</f>
        <v>261</v>
      </c>
      <c r="S90" s="5">
        <f>VLOOKUP('전체 통계'!$Q92,'하삼주 (250929)'!$A$2:$D$318,3, FALSE)</f>
        <v>322</v>
      </c>
      <c r="T90" s="5">
        <f>VLOOKUP('전체 통계'!$Q92,'하삼주 (251006)'!$A$2:$D$313,3, FALSE)</f>
        <v>324</v>
      </c>
    </row>
    <row r="91" spans="16:20" x14ac:dyDescent="0.3">
      <c r="P91">
        <v>89</v>
      </c>
      <c r="Q91" s="5" t="s">
        <v>286</v>
      </c>
      <c r="R91" s="5">
        <f>VLOOKUP('전체 통계'!$Q91,'하삼주(250918)'!$A$2:$D$315,3, FALSE)</f>
        <v>353</v>
      </c>
      <c r="S91" s="5">
        <f>VLOOKUP('전체 통계'!$Q91,'하삼주 (250929)'!$A$2:$D$318,3, FALSE)</f>
        <v>347</v>
      </c>
      <c r="T91" s="5">
        <f>VLOOKUP('전체 통계'!$Q91,'하삼주 (251006)'!$A$2:$D$313,3, FALSE)</f>
        <v>323</v>
      </c>
    </row>
    <row r="92" spans="16:20" x14ac:dyDescent="0.3">
      <c r="P92">
        <v>87</v>
      </c>
      <c r="Q92" s="5" t="s">
        <v>811</v>
      </c>
      <c r="R92" s="5">
        <f>VLOOKUP('전체 통계'!$Q89,'하삼주(250918)'!$A$2:$D$315,3, FALSE)</f>
        <v>272</v>
      </c>
      <c r="S92" s="5">
        <f>VLOOKUP('전체 통계'!$Q89,'하삼주 (250929)'!$A$2:$D$318,3, FALSE)</f>
        <v>309</v>
      </c>
      <c r="T92" s="5">
        <f>VLOOKUP('전체 통계'!$Q89,'하삼주 (251006)'!$A$2:$D$313,3, FALSE)</f>
        <v>312</v>
      </c>
    </row>
    <row r="93" spans="16:20" x14ac:dyDescent="0.3">
      <c r="P93">
        <v>91</v>
      </c>
      <c r="Q93" s="5" t="s">
        <v>269</v>
      </c>
      <c r="R93" s="5">
        <f>VLOOKUP('전체 통계'!$Q93,'하삼주(250918)'!$A$2:$D$315,3, FALSE)</f>
        <v>328</v>
      </c>
      <c r="S93" s="5">
        <f>VLOOKUP('전체 통계'!$Q93,'하삼주 (250929)'!$A$2:$D$318,3, FALSE)</f>
        <v>340</v>
      </c>
      <c r="T93" s="5">
        <f>VLOOKUP('전체 통계'!$Q93,'하삼주 (251006)'!$A$2:$D$313,3, FALSE)</f>
        <v>325</v>
      </c>
    </row>
    <row r="94" spans="16:20" x14ac:dyDescent="0.3">
      <c r="P94">
        <v>88</v>
      </c>
      <c r="Q94" s="5" t="s">
        <v>812</v>
      </c>
      <c r="R94" s="5">
        <f>VLOOKUP('전체 통계'!$Q90,'하삼주(250918)'!$A$2:$D$315,3, FALSE)</f>
        <v>252</v>
      </c>
      <c r="S94" s="5">
        <f>VLOOKUP('전체 통계'!$Q90,'하삼주 (250929)'!$A$2:$D$318,3, FALSE)</f>
        <v>332</v>
      </c>
      <c r="T94" s="5">
        <f>VLOOKUP('전체 통계'!$Q90,'하삼주 (251006)'!$A$2:$D$313,3, FALSE)</f>
        <v>321</v>
      </c>
    </row>
    <row r="95" spans="16:20" x14ac:dyDescent="0.3">
      <c r="P95">
        <v>93</v>
      </c>
      <c r="Q95" s="5" t="s">
        <v>815</v>
      </c>
      <c r="R95" s="5">
        <f>VLOOKUP('전체 통계'!$Q95,'하삼주(250918)'!$A$2:$D$315,3, FALSE)</f>
        <v>286</v>
      </c>
      <c r="S95" s="5">
        <f>VLOOKUP('전체 통계'!$Q95,'하삼주 (250929)'!$A$2:$D$318,3, FALSE)</f>
        <v>317</v>
      </c>
      <c r="T95" s="5">
        <f>VLOOKUP('전체 통계'!$Q95,'하삼주 (251006)'!$A$2:$D$313,3, FALSE)</f>
        <v>330</v>
      </c>
    </row>
    <row r="96" spans="16:20" x14ac:dyDescent="0.3">
      <c r="P96">
        <v>92</v>
      </c>
      <c r="Q96" s="5" t="s">
        <v>814</v>
      </c>
      <c r="R96" s="5">
        <f>VLOOKUP('전체 통계'!$Q94,'하삼주(250918)'!$A$2:$D$315,3, FALSE)</f>
        <v>365</v>
      </c>
      <c r="S96" s="5">
        <f>VLOOKUP('전체 통계'!$Q94,'하삼주 (250929)'!$A$2:$D$318,3, FALSE)</f>
        <v>346</v>
      </c>
      <c r="T96" s="5">
        <f>VLOOKUP('전체 통계'!$Q94,'하삼주 (251006)'!$A$2:$D$313,3, FALSE)</f>
        <v>327</v>
      </c>
    </row>
    <row r="97" spans="16:20" x14ac:dyDescent="0.3">
      <c r="P97">
        <v>95</v>
      </c>
      <c r="Q97" s="5" t="s">
        <v>817</v>
      </c>
      <c r="R97" s="5">
        <f>VLOOKUP('전체 통계'!$Q97,'하삼주(250918)'!$A$2:$D$315,3, FALSE)</f>
        <v>352</v>
      </c>
      <c r="S97" s="5">
        <f>VLOOKUP('전체 통계'!$Q97,'하삼주 (250929)'!$A$2:$D$318,3, FALSE)</f>
        <v>342</v>
      </c>
      <c r="T97" s="5">
        <f>VLOOKUP('전체 통계'!$Q97,'하삼주 (251006)'!$A$2:$D$313,3, FALSE)</f>
        <v>341</v>
      </c>
    </row>
    <row r="98" spans="16:20" x14ac:dyDescent="0.3">
      <c r="P98">
        <v>94</v>
      </c>
      <c r="Q98" s="5" t="s">
        <v>816</v>
      </c>
      <c r="R98" s="5">
        <f>VLOOKUP('전체 통계'!$Q96,'하삼주(250918)'!$A$2:$D$315,3, FALSE)</f>
        <v>227</v>
      </c>
      <c r="S98" s="5">
        <f>VLOOKUP('전체 통계'!$Q96,'하삼주 (250929)'!$A$2:$D$318,3, FALSE)</f>
        <v>330</v>
      </c>
      <c r="T98" s="5">
        <f>VLOOKUP('전체 통계'!$Q96,'하삼주 (251006)'!$A$2:$D$313,3, FALSE)</f>
        <v>334</v>
      </c>
    </row>
    <row r="99" spans="16:20" x14ac:dyDescent="0.3">
      <c r="P99">
        <v>96</v>
      </c>
      <c r="Q99" s="5" t="s">
        <v>601</v>
      </c>
      <c r="R99" s="5">
        <f>VLOOKUP('전체 통계'!$Q98,'하삼주(250918)'!$A$2:$D$315,3, FALSE)</f>
        <v>298</v>
      </c>
      <c r="S99" s="5">
        <f>VLOOKUP('전체 통계'!$Q98,'하삼주 (250929)'!$A$2:$D$318,3, FALSE)</f>
        <v>335</v>
      </c>
      <c r="T99" s="5">
        <f>VLOOKUP('전체 통계'!$Q98,'하삼주 (251006)'!$A$2:$D$313,3, FALSE)</f>
        <v>343</v>
      </c>
    </row>
    <row r="100" spans="16:20" x14ac:dyDescent="0.3">
      <c r="P100">
        <v>97</v>
      </c>
      <c r="Q100" s="5" t="s">
        <v>818</v>
      </c>
      <c r="R100" s="5">
        <f>VLOOKUP('전체 통계'!$Q99,'하삼주(250918)'!$A$2:$D$315,3, FALSE)</f>
        <v>379</v>
      </c>
      <c r="S100" s="5">
        <f>VLOOKUP('전체 통계'!$Q99,'하삼주 (250929)'!$A$2:$D$318,3, FALSE)</f>
        <v>365</v>
      </c>
      <c r="T100" s="5">
        <f>VLOOKUP('전체 통계'!$Q99,'하삼주 (251006)'!$A$2:$D$313,3, FALSE)</f>
        <v>348</v>
      </c>
    </row>
    <row r="101" spans="16:20" x14ac:dyDescent="0.3">
      <c r="P101">
        <v>98</v>
      </c>
      <c r="Q101" s="5" t="s">
        <v>819</v>
      </c>
      <c r="R101" s="5">
        <f>VLOOKUP('전체 통계'!$Q100,'하삼주(250918)'!$A$2:$D$315,3, FALSE)</f>
        <v>350</v>
      </c>
      <c r="S101" s="5">
        <f>VLOOKUP('전체 통계'!$Q100,'하삼주 (250929)'!$A$2:$D$318,3, FALSE)</f>
        <v>374</v>
      </c>
      <c r="T101" s="5">
        <f>VLOOKUP('전체 통계'!$Q100,'하삼주 (251006)'!$A$2:$D$313,3, FALSE)</f>
        <v>357</v>
      </c>
    </row>
    <row r="102" spans="16:20" x14ac:dyDescent="0.3">
      <c r="P102">
        <v>99</v>
      </c>
      <c r="Q102" s="5" t="s">
        <v>820</v>
      </c>
      <c r="R102" s="5">
        <f>VLOOKUP('전체 통계'!$Q101,'하삼주(250918)'!$A$2:$D$315,3, FALSE)</f>
        <v>288</v>
      </c>
      <c r="S102" s="5">
        <f>VLOOKUP('전체 통계'!$Q101,'하삼주 (250929)'!$A$2:$D$318,3, FALSE)</f>
        <v>337</v>
      </c>
      <c r="T102" s="5">
        <f>VLOOKUP('전체 통계'!$Q101,'하삼주 (251006)'!$A$2:$D$313,3, FALSE)</f>
        <v>359</v>
      </c>
    </row>
    <row r="103" spans="16:20" x14ac:dyDescent="0.3">
      <c r="P103">
        <v>101</v>
      </c>
      <c r="Q103" s="5" t="s">
        <v>162</v>
      </c>
      <c r="R103" s="5">
        <f>VLOOKUP('전체 통계'!$Q103,'하삼주(250918)'!$A$2:$D$315,3, FALSE)</f>
        <v>205</v>
      </c>
      <c r="S103" s="5">
        <f>VLOOKUP('전체 통계'!$Q103,'하삼주 (250929)'!$A$2:$D$318,3, FALSE)</f>
        <v>311</v>
      </c>
      <c r="T103" s="5">
        <f>VLOOKUP('전체 통계'!$Q103,'하삼주 (251006)'!$A$2:$D$313,3, FALSE)</f>
        <v>370</v>
      </c>
    </row>
    <row r="104" spans="16:20" x14ac:dyDescent="0.3">
      <c r="P104">
        <v>100</v>
      </c>
      <c r="Q104" s="5" t="s">
        <v>821</v>
      </c>
      <c r="R104" s="5">
        <f>VLOOKUP('전체 통계'!$Q102,'하삼주(250918)'!$A$2:$D$315,3, FALSE)</f>
        <v>333</v>
      </c>
      <c r="S104" s="5">
        <f>VLOOKUP('전체 통계'!$Q102,'하삼주 (250929)'!$A$2:$D$318,3, FALSE)</f>
        <v>367</v>
      </c>
      <c r="T104" s="5">
        <f>VLOOKUP('전체 통계'!$Q102,'하삼주 (251006)'!$A$2:$D$313,3, FALSE)</f>
        <v>361</v>
      </c>
    </row>
    <row r="105" spans="16:20" x14ac:dyDescent="0.3">
      <c r="P105">
        <v>102</v>
      </c>
      <c r="Q105" s="5" t="s">
        <v>822</v>
      </c>
      <c r="R105" s="5">
        <f>VLOOKUP('전체 통계'!$Q104,'하삼주(250918)'!$A$2:$D$315,3, FALSE)</f>
        <v>372</v>
      </c>
      <c r="S105" s="5">
        <f>VLOOKUP('전체 통계'!$Q104,'하삼주 (250929)'!$A$2:$D$318,3, FALSE)</f>
        <v>382</v>
      </c>
      <c r="T105" s="5">
        <f>VLOOKUP('전체 통계'!$Q104,'하삼주 (251006)'!$A$2:$D$313,3, FALSE)</f>
        <v>373</v>
      </c>
    </row>
    <row r="106" spans="16:20" x14ac:dyDescent="0.3">
      <c r="P106">
        <v>103</v>
      </c>
      <c r="Q106" s="5" t="s">
        <v>823</v>
      </c>
      <c r="R106" s="5">
        <f>VLOOKUP('전체 통계'!$Q105,'하삼주(250918)'!$A$2:$D$315,3, FALSE)</f>
        <v>368</v>
      </c>
      <c r="S106" s="5">
        <f>VLOOKUP('전체 통계'!$Q105,'하삼주 (250929)'!$A$2:$D$318,3, FALSE)</f>
        <v>375</v>
      </c>
      <c r="T106" s="5">
        <f>VLOOKUP('전체 통계'!$Q105,'하삼주 (251006)'!$A$2:$D$313,3, FALSE)</f>
        <v>378</v>
      </c>
    </row>
    <row r="107" spans="16:20" x14ac:dyDescent="0.3">
      <c r="P107">
        <v>104</v>
      </c>
      <c r="Q107" s="5" t="s">
        <v>824</v>
      </c>
      <c r="R107" s="5">
        <f>VLOOKUP('전체 통계'!$Q106,'하삼주(250918)'!$A$2:$D$315,3, FALSE)</f>
        <v>344</v>
      </c>
      <c r="S107" s="5">
        <f>VLOOKUP('전체 통계'!$Q106,'하삼주 (250929)'!$A$2:$D$318,3, FALSE)</f>
        <v>381</v>
      </c>
      <c r="T107" s="5">
        <f>VLOOKUP('전체 통계'!$Q106,'하삼주 (251006)'!$A$2:$D$313,3, FALSE)</f>
        <v>381</v>
      </c>
    </row>
    <row r="108" spans="16:20" x14ac:dyDescent="0.3">
      <c r="P108">
        <v>106</v>
      </c>
      <c r="Q108" s="5" t="s">
        <v>602</v>
      </c>
      <c r="R108" s="5">
        <f>VLOOKUP('전체 통계'!$Q108,'하삼주(250918)'!$A$2:$D$315,3, FALSE)</f>
        <v>417</v>
      </c>
      <c r="S108" s="5">
        <f>VLOOKUP('전체 통계'!$Q108,'하삼주 (250929)'!$A$2:$D$318,3, FALSE)</f>
        <v>417</v>
      </c>
      <c r="T108" s="5">
        <f>VLOOKUP('전체 통계'!$Q108,'하삼주 (251006)'!$A$2:$D$313,3, FALSE)</f>
        <v>398</v>
      </c>
    </row>
    <row r="109" spans="16:20" x14ac:dyDescent="0.3">
      <c r="P109">
        <v>107</v>
      </c>
      <c r="Q109" s="5" t="s">
        <v>307</v>
      </c>
      <c r="R109" s="5">
        <f>VLOOKUP('전체 통계'!$Q109,'하삼주(250918)'!$A$2:$D$315,3, FALSE)</f>
        <v>382</v>
      </c>
      <c r="S109" s="5">
        <f>VLOOKUP('전체 통계'!$Q109,'하삼주 (250929)'!$A$2:$D$318,3, FALSE)</f>
        <v>394</v>
      </c>
      <c r="T109" s="5">
        <f>VLOOKUP('전체 통계'!$Q109,'하삼주 (251006)'!$A$2:$D$313,3, FALSE)</f>
        <v>400</v>
      </c>
    </row>
    <row r="110" spans="16:20" x14ac:dyDescent="0.3">
      <c r="P110">
        <v>108</v>
      </c>
      <c r="Q110" s="5" t="s">
        <v>338</v>
      </c>
      <c r="R110" s="5">
        <f>VLOOKUP('전체 통계'!$Q110,'하삼주(250918)'!$A$2:$D$315,3, FALSE)</f>
        <v>421</v>
      </c>
      <c r="S110" s="5">
        <f>VLOOKUP('전체 통계'!$Q110,'하삼주 (250929)'!$A$2:$D$318,3, FALSE)</f>
        <v>391</v>
      </c>
      <c r="T110" s="5">
        <f>VLOOKUP('전체 통계'!$Q110,'하삼주 (251006)'!$A$2:$D$313,3, FALSE)</f>
        <v>405</v>
      </c>
    </row>
    <row r="111" spans="16:20" x14ac:dyDescent="0.3">
      <c r="P111">
        <v>110</v>
      </c>
      <c r="Q111" s="5" t="s">
        <v>334</v>
      </c>
      <c r="R111" s="5">
        <f>VLOOKUP('전체 통계'!$Q112,'하삼주(250918)'!$A$2:$D$315,3, FALSE)</f>
        <v>373</v>
      </c>
      <c r="S111" s="5">
        <f>VLOOKUP('전체 통계'!$Q112,'하삼주 (250929)'!$A$2:$D$318,3, FALSE)</f>
        <v>397</v>
      </c>
      <c r="T111" s="5">
        <f>VLOOKUP('전체 통계'!$Q112,'하삼주 (251006)'!$A$2:$D$313,3, FALSE)</f>
        <v>411</v>
      </c>
    </row>
    <row r="112" spans="16:20" x14ac:dyDescent="0.3">
      <c r="P112">
        <v>109</v>
      </c>
      <c r="Q112" s="17" t="s">
        <v>825</v>
      </c>
      <c r="R112" s="17">
        <f>VLOOKUP('전체 통계'!$Q111,'하삼주(250918)'!$A$2:$D$315,3, FALSE)</f>
        <v>414</v>
      </c>
      <c r="S112" s="17">
        <f>VLOOKUP('전체 통계'!$Q111,'하삼주 (250929)'!$A$2:$D$318,3, FALSE)</f>
        <v>408</v>
      </c>
      <c r="T112" s="17">
        <f>VLOOKUP('전체 통계'!$Q111,'하삼주 (251006)'!$A$2:$D$313,3, FALSE)</f>
        <v>408</v>
      </c>
    </row>
    <row r="113" spans="16:21" x14ac:dyDescent="0.3">
      <c r="P113">
        <v>111</v>
      </c>
      <c r="Q113" s="5" t="s">
        <v>826</v>
      </c>
      <c r="R113" s="5">
        <f>VLOOKUP('전체 통계'!$Q113,'하삼주(250918)'!$A$2:$D$315,3, FALSE)</f>
        <v>423</v>
      </c>
      <c r="S113" s="5">
        <f>VLOOKUP('전체 통계'!$Q113,'하삼주 (250929)'!$A$2:$D$318,3, FALSE)</f>
        <v>430</v>
      </c>
      <c r="T113" s="5">
        <f>VLOOKUP('전체 통계'!$Q113,'하삼주 (251006)'!$A$2:$D$313,3, FALSE)</f>
        <v>423</v>
      </c>
    </row>
    <row r="114" spans="16:21" x14ac:dyDescent="0.3">
      <c r="P114">
        <v>115</v>
      </c>
      <c r="Q114" s="17" t="s">
        <v>828</v>
      </c>
      <c r="R114" s="17">
        <f>VLOOKUP('전체 통계'!$Q117,'하삼주(250918)'!$A$2:$D$315,3, FALSE)</f>
        <v>450</v>
      </c>
      <c r="S114" s="17">
        <f>VLOOKUP('전체 통계'!$Q117,'하삼주 (250929)'!$A$2:$D$318,3, FALSE)</f>
        <v>463</v>
      </c>
      <c r="T114" s="17">
        <f>VLOOKUP('전체 통계'!$Q117,'하삼주 (251006)'!$A$2:$D$313,3, FALSE)</f>
        <v>439</v>
      </c>
      <c r="U114" t="s">
        <v>910</v>
      </c>
    </row>
    <row r="115" spans="16:21" x14ac:dyDescent="0.3">
      <c r="P115">
        <v>113</v>
      </c>
      <c r="Q115" s="5" t="s">
        <v>373</v>
      </c>
      <c r="R115" s="5">
        <f>VLOOKUP('전체 통계'!$Q115,'하삼주(250918)'!$A$2:$D$315,3, FALSE)</f>
        <v>465</v>
      </c>
      <c r="S115" s="5">
        <f>VLOOKUP('전체 통계'!$Q115,'하삼주 (250929)'!$A$2:$D$318,3, FALSE)</f>
        <v>437</v>
      </c>
      <c r="T115" s="5">
        <f>VLOOKUP('전체 통계'!$Q115,'하삼주 (251006)'!$A$2:$D$313,3, FALSE)</f>
        <v>432</v>
      </c>
    </row>
    <row r="116" spans="16:21" x14ac:dyDescent="0.3">
      <c r="P116">
        <v>112</v>
      </c>
      <c r="Q116" s="17" t="s">
        <v>827</v>
      </c>
      <c r="R116" s="17">
        <f>VLOOKUP('전체 통계'!$Q114,'하삼주(250918)'!$A$2:$D$315,3, FALSE)</f>
        <v>371</v>
      </c>
      <c r="S116" s="17">
        <f>VLOOKUP('전체 통계'!$Q114,'하삼주 (250929)'!$A$2:$D$318,3, FALSE)</f>
        <v>406</v>
      </c>
      <c r="T116" s="17">
        <f>VLOOKUP('전체 통계'!$Q114,'하삼주 (251006)'!$A$2:$D$313,3, FALSE)</f>
        <v>430</v>
      </c>
      <c r="U116" t="s">
        <v>910</v>
      </c>
    </row>
    <row r="117" spans="16:21" x14ac:dyDescent="0.3">
      <c r="P117">
        <v>114</v>
      </c>
      <c r="Q117" s="5" t="s">
        <v>362</v>
      </c>
      <c r="R117" s="5">
        <f>VLOOKUP('전체 통계'!$Q116,'하삼주(250918)'!$A$2:$D$315,3, FALSE)</f>
        <v>394</v>
      </c>
      <c r="S117" s="5">
        <f>VLOOKUP('전체 통계'!$Q116,'하삼주 (250929)'!$A$2:$D$318,3, FALSE)</f>
        <v>410</v>
      </c>
      <c r="T117" s="5">
        <f>VLOOKUP('전체 통계'!$Q116,'하삼주 (251006)'!$A$2:$D$313,3, FALSE)</f>
        <v>438</v>
      </c>
    </row>
    <row r="118" spans="16:21" x14ac:dyDescent="0.3">
      <c r="P118">
        <v>116</v>
      </c>
      <c r="Q118" s="5" t="s">
        <v>603</v>
      </c>
      <c r="R118" s="5">
        <f>VLOOKUP('전체 통계'!$Q118,'하삼주(250918)'!$A$2:$D$315,3, FALSE)</f>
        <v>419</v>
      </c>
      <c r="S118" s="5">
        <f>VLOOKUP('전체 통계'!$Q118,'하삼주 (250929)'!$A$2:$D$318,3, FALSE)</f>
        <v>446</v>
      </c>
      <c r="T118" s="5">
        <f>VLOOKUP('전체 통계'!$Q118,'하삼주 (251006)'!$A$2:$D$313,3, FALSE)</f>
        <v>440</v>
      </c>
    </row>
    <row r="119" spans="16:21" x14ac:dyDescent="0.3">
      <c r="P119">
        <v>117</v>
      </c>
      <c r="Q119" s="5" t="s">
        <v>350</v>
      </c>
      <c r="R119" s="5">
        <f>VLOOKUP('전체 통계'!$Q119,'하삼주(250918)'!$A$2:$D$315,3, FALSE)</f>
        <v>435</v>
      </c>
      <c r="S119" s="5">
        <f>VLOOKUP('전체 통계'!$Q119,'하삼주 (250929)'!$A$2:$D$318,3, FALSE)</f>
        <v>460</v>
      </c>
      <c r="T119" s="5">
        <f>VLOOKUP('전체 통계'!$Q119,'하삼주 (251006)'!$A$2:$D$313,3, FALSE)</f>
        <v>446</v>
      </c>
    </row>
    <row r="120" spans="16:21" x14ac:dyDescent="0.3">
      <c r="P120">
        <v>118</v>
      </c>
      <c r="Q120" s="5" t="s">
        <v>315</v>
      </c>
      <c r="R120" s="5">
        <f>VLOOKUP('전체 통계'!$Q120,'하삼주(250918)'!$A$2:$D$315,3, FALSE)</f>
        <v>392</v>
      </c>
      <c r="S120" s="5">
        <f>VLOOKUP('전체 통계'!$Q120,'하삼주 (250929)'!$A$2:$D$318,3, FALSE)</f>
        <v>454</v>
      </c>
      <c r="T120" s="5">
        <f>VLOOKUP('전체 통계'!$Q120,'하삼주 (251006)'!$A$2:$D$313,3, FALSE)</f>
        <v>450</v>
      </c>
    </row>
    <row r="121" spans="16:21" x14ac:dyDescent="0.3">
      <c r="P121">
        <v>119</v>
      </c>
      <c r="Q121" s="5" t="s">
        <v>829</v>
      </c>
      <c r="R121" s="5">
        <f>VLOOKUP('전체 통계'!$Q121,'하삼주(250918)'!$A$2:$D$315,3, FALSE)</f>
        <v>518</v>
      </c>
      <c r="S121" s="5">
        <f>VLOOKUP('전체 통계'!$Q121,'하삼주 (250929)'!$A$2:$D$318,3, FALSE)</f>
        <v>471</v>
      </c>
      <c r="T121" s="5">
        <f>VLOOKUP('전체 통계'!$Q121,'하삼주 (251006)'!$A$2:$D$313,3, FALSE)</f>
        <v>451</v>
      </c>
    </row>
    <row r="122" spans="16:21" x14ac:dyDescent="0.3">
      <c r="P122">
        <v>120</v>
      </c>
      <c r="Q122" s="5" t="s">
        <v>830</v>
      </c>
      <c r="R122" s="5">
        <f>VLOOKUP('전체 통계'!$Q122,'하삼주(250918)'!$A$2:$D$315,3, FALSE)</f>
        <v>472</v>
      </c>
      <c r="S122" s="5">
        <f>VLOOKUP('전체 통계'!$Q122,'하삼주 (250929)'!$A$2:$D$318,3, FALSE)</f>
        <v>464</v>
      </c>
      <c r="T122" s="5">
        <f>VLOOKUP('전체 통계'!$Q122,'하삼주 (251006)'!$A$2:$D$313,3, FALSE)</f>
        <v>458</v>
      </c>
    </row>
    <row r="123" spans="16:21" x14ac:dyDescent="0.3">
      <c r="P123">
        <v>122</v>
      </c>
      <c r="Q123" s="17" t="s">
        <v>832</v>
      </c>
      <c r="R123" s="17">
        <f>VLOOKUP('전체 통계'!$Q124,'하삼주(250918)'!$A$2:$D$315,3, FALSE)</f>
        <v>265</v>
      </c>
      <c r="S123" s="17">
        <f>VLOOKUP('전체 통계'!$Q124,'하삼주 (250929)'!$A$2:$D$318,3, FALSE)</f>
        <v>434</v>
      </c>
      <c r="T123" s="17">
        <f>VLOOKUP('전체 통계'!$Q124,'하삼주 (251006)'!$A$2:$D$313,3, FALSE)</f>
        <v>464</v>
      </c>
      <c r="U123" t="s">
        <v>910</v>
      </c>
    </row>
    <row r="124" spans="16:21" x14ac:dyDescent="0.3">
      <c r="P124">
        <v>121</v>
      </c>
      <c r="Q124" s="5" t="s">
        <v>831</v>
      </c>
      <c r="R124" s="5">
        <f>VLOOKUP('전체 통계'!$Q123,'하삼주(250918)'!$A$2:$D$315,3, FALSE)</f>
        <v>335</v>
      </c>
      <c r="S124" s="5">
        <f>VLOOKUP('전체 통계'!$Q123,'하삼주 (250929)'!$A$2:$D$318,3, FALSE)</f>
        <v>441</v>
      </c>
      <c r="T124" s="5">
        <f>VLOOKUP('전체 통계'!$Q123,'하삼주 (251006)'!$A$2:$D$313,3, FALSE)</f>
        <v>460</v>
      </c>
    </row>
    <row r="125" spans="16:21" x14ac:dyDescent="0.3">
      <c r="P125">
        <v>123</v>
      </c>
      <c r="Q125" s="5" t="s">
        <v>372</v>
      </c>
      <c r="R125" s="5">
        <f>VLOOKUP('전체 통계'!$Q125,'하삼주(250918)'!$A$2:$D$315,3, FALSE)</f>
        <v>464</v>
      </c>
      <c r="S125" s="5">
        <f>VLOOKUP('전체 통계'!$Q125,'하삼주 (250929)'!$A$2:$D$318,3, FALSE)</f>
        <v>450</v>
      </c>
      <c r="T125" s="5">
        <f>VLOOKUP('전체 통계'!$Q125,'하삼주 (251006)'!$A$2:$D$313,3, FALSE)</f>
        <v>467</v>
      </c>
    </row>
    <row r="126" spans="16:21" x14ac:dyDescent="0.3">
      <c r="P126">
        <v>124</v>
      </c>
      <c r="Q126" s="6" t="s">
        <v>833</v>
      </c>
      <c r="R126" s="6">
        <f>VLOOKUP('전체 통계'!$Q126,'하삼주(250918)'!$A$2:$D$315,3, FALSE)</f>
        <v>533</v>
      </c>
      <c r="S126" s="6">
        <f>VLOOKUP('전체 통계'!$Q126,'하삼주 (250929)'!$A$2:$D$318,3, FALSE)</f>
        <v>490</v>
      </c>
      <c r="T126" s="6">
        <f>VLOOKUP('전체 통계'!$Q126,'하삼주 (251006)'!$A$2:$D$313,3, FALSE)</f>
        <v>469</v>
      </c>
      <c r="U126" t="s">
        <v>907</v>
      </c>
    </row>
    <row r="127" spans="16:21" x14ac:dyDescent="0.3">
      <c r="P127">
        <v>125</v>
      </c>
      <c r="Q127" s="5" t="s">
        <v>834</v>
      </c>
      <c r="R127" s="5">
        <f>VLOOKUP('전체 통계'!$Q127,'하삼주(250918)'!$A$2:$D$315,3, FALSE)</f>
        <v>590</v>
      </c>
      <c r="S127" s="5">
        <f>VLOOKUP('전체 통계'!$Q127,'하삼주 (250929)'!$A$2:$D$318,3, FALSE)</f>
        <v>509</v>
      </c>
      <c r="T127" s="5">
        <f>VLOOKUP('전체 통계'!$Q127,'하삼주 (251006)'!$A$2:$D$313,3, FALSE)</f>
        <v>474</v>
      </c>
    </row>
    <row r="128" spans="16:21" x14ac:dyDescent="0.3">
      <c r="P128">
        <v>126</v>
      </c>
      <c r="Q128" s="5" t="s">
        <v>835</v>
      </c>
      <c r="R128" s="5">
        <f>VLOOKUP('전체 통계'!$Q128,'하삼주(250918)'!$A$2:$D$315,3, FALSE)</f>
        <v>347</v>
      </c>
      <c r="S128" s="5">
        <f>VLOOKUP('전체 통계'!$Q128,'하삼주 (250929)'!$A$2:$D$318,3, FALSE)</f>
        <v>448</v>
      </c>
      <c r="T128" s="5">
        <f>VLOOKUP('전체 통계'!$Q128,'하삼주 (251006)'!$A$2:$D$313,3, FALSE)</f>
        <v>483</v>
      </c>
    </row>
    <row r="129" spans="16:20" x14ac:dyDescent="0.3">
      <c r="P129">
        <v>127</v>
      </c>
      <c r="Q129" s="5" t="s">
        <v>836</v>
      </c>
      <c r="R129" s="5">
        <f>VLOOKUP('전체 통계'!$Q129,'하삼주(250918)'!$A$2:$D$315,3, FALSE)</f>
        <v>567</v>
      </c>
      <c r="S129" s="5">
        <f>VLOOKUP('전체 통계'!$Q129,'하삼주 (250929)'!$A$2:$D$318,3, FALSE)</f>
        <v>527</v>
      </c>
      <c r="T129" s="5">
        <f>VLOOKUP('전체 통계'!$Q129,'하삼주 (251006)'!$A$2:$D$313,3, FALSE)</f>
        <v>491</v>
      </c>
    </row>
    <row r="130" spans="16:20" x14ac:dyDescent="0.3">
      <c r="P130">
        <v>129</v>
      </c>
      <c r="Q130" s="5" t="s">
        <v>838</v>
      </c>
      <c r="R130" s="5">
        <f>VLOOKUP('전체 통계'!$Q131,'하삼주(250918)'!$A$2:$D$315,3, FALSE)</f>
        <v>433</v>
      </c>
      <c r="S130" s="5">
        <f>VLOOKUP('전체 통계'!$Q131,'하삼주 (250929)'!$A$2:$D$318,3, FALSE)</f>
        <v>521</v>
      </c>
      <c r="T130" s="5">
        <f>VLOOKUP('전체 통계'!$Q131,'하삼주 (251006)'!$A$2:$D$313,3, FALSE)</f>
        <v>499</v>
      </c>
    </row>
    <row r="131" spans="16:20" x14ac:dyDescent="0.3">
      <c r="P131">
        <v>128</v>
      </c>
      <c r="Q131" s="5" t="s">
        <v>837</v>
      </c>
      <c r="R131" s="5">
        <f>VLOOKUP('전체 통계'!$Q130,'하삼주(250918)'!$A$2:$D$315,3, FALSE)</f>
        <v>498</v>
      </c>
      <c r="S131" s="5">
        <f>VLOOKUP('전체 통계'!$Q130,'하삼주 (250929)'!$A$2:$D$318,3, FALSE)</f>
        <v>479</v>
      </c>
      <c r="T131" s="5">
        <f>VLOOKUP('전체 통계'!$Q130,'하삼주 (251006)'!$A$2:$D$313,3, FALSE)</f>
        <v>496</v>
      </c>
    </row>
    <row r="132" spans="16:20" x14ac:dyDescent="0.3">
      <c r="P132">
        <v>130</v>
      </c>
      <c r="Q132" s="5" t="s">
        <v>839</v>
      </c>
      <c r="R132" s="5">
        <f>VLOOKUP('전체 통계'!$Q132,'하삼주(250918)'!$A$2:$D$315,3, FALSE)</f>
        <v>531</v>
      </c>
      <c r="S132" s="5">
        <f>VLOOKUP('전체 통계'!$Q132,'하삼주 (250929)'!$A$2:$D$318,3, FALSE)</f>
        <v>520</v>
      </c>
      <c r="T132" s="5">
        <f>VLOOKUP('전체 통계'!$Q132,'하삼주 (251006)'!$A$2:$D$313,3, FALSE)</f>
        <v>503</v>
      </c>
    </row>
    <row r="133" spans="16:20" x14ac:dyDescent="0.3">
      <c r="P133">
        <v>131</v>
      </c>
      <c r="Q133" s="5" t="s">
        <v>840</v>
      </c>
      <c r="R133" s="5">
        <f>VLOOKUP('전체 통계'!$Q133,'하삼주(250918)'!$A$2:$D$315,3, FALSE)</f>
        <v>497</v>
      </c>
      <c r="S133" s="5">
        <f>VLOOKUP('전체 통계'!$Q133,'하삼주 (250929)'!$A$2:$D$318,3, FALSE)</f>
        <v>524</v>
      </c>
      <c r="T133" s="5">
        <f>VLOOKUP('전체 통계'!$Q133,'하삼주 (251006)'!$A$2:$D$313,3, FALSE)</f>
        <v>504</v>
      </c>
    </row>
    <row r="134" spans="16:20" x14ac:dyDescent="0.3">
      <c r="P134">
        <v>134</v>
      </c>
      <c r="Q134" s="5" t="s">
        <v>842</v>
      </c>
      <c r="R134" s="5">
        <f>VLOOKUP('전체 통계'!$Q136,'하삼주(250918)'!$A$2:$D$315,3, FALSE)</f>
        <v>452</v>
      </c>
      <c r="S134" s="5">
        <f>VLOOKUP('전체 통계'!$Q136,'하삼주 (250929)'!$A$2:$D$318,3, FALSE)</f>
        <v>526</v>
      </c>
      <c r="T134" s="5">
        <f>VLOOKUP('전체 통계'!$Q136,'하삼주 (251006)'!$A$2:$D$313,3, FALSE)</f>
        <v>517</v>
      </c>
    </row>
    <row r="135" spans="16:20" x14ac:dyDescent="0.3">
      <c r="P135">
        <v>133</v>
      </c>
      <c r="Q135" s="5" t="s">
        <v>604</v>
      </c>
      <c r="R135" s="5">
        <f>VLOOKUP('전체 통계'!$Q135,'하삼주(250918)'!$A$2:$D$315,3, FALSE)</f>
        <v>449</v>
      </c>
      <c r="S135" s="5">
        <f>VLOOKUP('전체 통계'!$Q135,'하삼주 (250929)'!$A$2:$D$318,3, FALSE)</f>
        <v>512</v>
      </c>
      <c r="T135" s="5">
        <f>VLOOKUP('전체 통계'!$Q135,'하삼주 (251006)'!$A$2:$D$313,3, FALSE)</f>
        <v>516</v>
      </c>
    </row>
    <row r="136" spans="16:20" x14ac:dyDescent="0.3">
      <c r="P136">
        <v>132</v>
      </c>
      <c r="Q136" s="5" t="s">
        <v>841</v>
      </c>
      <c r="R136" s="5">
        <f>VLOOKUP('전체 통계'!$Q134,'하삼주(250918)'!$A$2:$D$315,3, FALSE)</f>
        <v>411</v>
      </c>
      <c r="S136" s="5">
        <f>VLOOKUP('전체 통계'!$Q134,'하삼주 (250929)'!$A$2:$D$318,3, FALSE)</f>
        <v>491</v>
      </c>
      <c r="T136" s="5">
        <f>VLOOKUP('전체 통계'!$Q134,'하삼주 (251006)'!$A$2:$D$313,3, FALSE)</f>
        <v>515</v>
      </c>
    </row>
    <row r="137" spans="16:20" x14ac:dyDescent="0.3">
      <c r="P137">
        <v>135</v>
      </c>
      <c r="Q137" s="5" t="s">
        <v>843</v>
      </c>
      <c r="R137" s="5" t="e">
        <f>VLOOKUP('전체 통계'!$Q137,'하삼주(250918)'!$A$2:$D$315,3, FALSE)</f>
        <v>#N/A</v>
      </c>
      <c r="S137" s="5">
        <f>VLOOKUP('전체 통계'!$Q137,'하삼주 (250929)'!$A$2:$D$318,3, FALSE)</f>
        <v>571</v>
      </c>
      <c r="T137" s="5">
        <f>VLOOKUP('전체 통계'!$Q137,'하삼주 (251006)'!$A$2:$D$313,3, FALSE)</f>
        <v>542</v>
      </c>
    </row>
    <row r="138" spans="16:20" x14ac:dyDescent="0.3">
      <c r="P138">
        <v>137</v>
      </c>
      <c r="Q138" s="5" t="s">
        <v>405</v>
      </c>
      <c r="R138" s="5">
        <f>VLOOKUP('전체 통계'!$Q139,'하삼주(250918)'!$A$2:$D$315,3, FALSE)</f>
        <v>502</v>
      </c>
      <c r="S138" s="5">
        <f>VLOOKUP('전체 통계'!$Q139,'하삼주 (250929)'!$A$2:$D$318,3, FALSE)</f>
        <v>600</v>
      </c>
      <c r="T138" s="5">
        <f>VLOOKUP('전체 통계'!$Q139,'하삼주 (251006)'!$A$2:$D$313,3, FALSE)</f>
        <v>553</v>
      </c>
    </row>
    <row r="139" spans="16:20" x14ac:dyDescent="0.3">
      <c r="P139">
        <v>138</v>
      </c>
      <c r="Q139" s="5" t="s">
        <v>845</v>
      </c>
      <c r="R139" s="5" t="e">
        <f>VLOOKUP('전체 통계'!$Q140,'하삼주(250918)'!$A$2:$D$315,3, FALSE)</f>
        <v>#N/A</v>
      </c>
      <c r="S139" s="5">
        <f>VLOOKUP('전체 통계'!$Q140,'하삼주 (250929)'!$A$2:$D$318,3, FALSE)</f>
        <v>529</v>
      </c>
      <c r="T139" s="5">
        <f>VLOOKUP('전체 통계'!$Q140,'하삼주 (251006)'!$A$2:$D$313,3, FALSE)</f>
        <v>561</v>
      </c>
    </row>
    <row r="140" spans="16:20" x14ac:dyDescent="0.3">
      <c r="P140">
        <v>136</v>
      </c>
      <c r="Q140" s="5" t="s">
        <v>844</v>
      </c>
      <c r="R140" s="5">
        <f>VLOOKUP('전체 통계'!$Q138,'하삼주(250918)'!$A$2:$D$315,3, FALSE)</f>
        <v>505</v>
      </c>
      <c r="S140" s="5">
        <f>VLOOKUP('전체 통계'!$Q138,'하삼주 (250929)'!$A$2:$D$318,3, FALSE)</f>
        <v>578</v>
      </c>
      <c r="T140" s="5">
        <f>VLOOKUP('전체 통계'!$Q138,'하삼주 (251006)'!$A$2:$D$313,3, FALSE)</f>
        <v>551</v>
      </c>
    </row>
    <row r="141" spans="16:20" x14ac:dyDescent="0.3">
      <c r="P141">
        <v>139</v>
      </c>
      <c r="Q141" s="5" t="s">
        <v>846</v>
      </c>
      <c r="R141" s="5">
        <f>VLOOKUP('전체 통계'!$Q141,'하삼주(250918)'!$A$2:$D$315,3, FALSE)</f>
        <v>538</v>
      </c>
      <c r="S141" s="5">
        <f>VLOOKUP('전체 통계'!$Q141,'하삼주 (250929)'!$A$2:$D$318,3, FALSE)</f>
        <v>588</v>
      </c>
      <c r="T141" s="5">
        <f>VLOOKUP('전체 통계'!$Q141,'하삼주 (251006)'!$A$2:$D$313,3, FALSE)</f>
        <v>571</v>
      </c>
    </row>
    <row r="142" spans="16:20" x14ac:dyDescent="0.3">
      <c r="P142">
        <v>141</v>
      </c>
      <c r="Q142" s="5" t="s">
        <v>469</v>
      </c>
      <c r="R142" s="5">
        <f>VLOOKUP('전체 통계'!$Q143,'하삼주(250918)'!$A$2:$D$315,3, FALSE)</f>
        <v>541</v>
      </c>
      <c r="S142" s="5">
        <f>VLOOKUP('전체 통계'!$Q143,'하삼주 (250929)'!$A$2:$D$318,3, FALSE)</f>
        <v>585</v>
      </c>
      <c r="T142" s="5">
        <f>VLOOKUP('전체 통계'!$Q143,'하삼주 (251006)'!$A$2:$D$313,3, FALSE)</f>
        <v>583</v>
      </c>
    </row>
    <row r="143" spans="16:20" x14ac:dyDescent="0.3">
      <c r="P143">
        <v>142</v>
      </c>
      <c r="Q143" s="5" t="s">
        <v>848</v>
      </c>
      <c r="R143" s="5">
        <f>VLOOKUP('전체 통계'!$Q144,'하삼주(250918)'!$A$2:$D$315,3, FALSE)</f>
        <v>529</v>
      </c>
      <c r="S143" s="5">
        <f>VLOOKUP('전체 통계'!$Q144,'하삼주 (250929)'!$A$2:$D$318,3, FALSE)</f>
        <v>583</v>
      </c>
      <c r="T143" s="5">
        <f>VLOOKUP('전체 통계'!$Q144,'하삼주 (251006)'!$A$2:$D$313,3, FALSE)</f>
        <v>588</v>
      </c>
    </row>
    <row r="144" spans="16:20" x14ac:dyDescent="0.3">
      <c r="P144">
        <v>144</v>
      </c>
      <c r="Q144" s="5" t="s">
        <v>850</v>
      </c>
      <c r="R144" s="5">
        <f>VLOOKUP('전체 통계'!$Q146,'하삼주(250918)'!$A$2:$D$315,3, FALSE)</f>
        <v>550</v>
      </c>
      <c r="S144" s="5" t="e">
        <f>VLOOKUP('전체 통계'!$Q146,'하삼주 (250929)'!$A$2:$D$318,3, FALSE)</f>
        <v>#N/A</v>
      </c>
      <c r="T144" s="5">
        <f>VLOOKUP('전체 통계'!$Q146,'하삼주 (251006)'!$A$2:$D$313,3, FALSE)</f>
        <v>598</v>
      </c>
    </row>
    <row r="145" spans="16:23" x14ac:dyDescent="0.3">
      <c r="P145">
        <v>145</v>
      </c>
      <c r="Q145" s="5" t="s">
        <v>851</v>
      </c>
      <c r="R145" s="5">
        <f>VLOOKUP('전체 통계'!$Q147,'하삼주(250918)'!$A$2:$D$315,3, FALSE)</f>
        <v>463</v>
      </c>
      <c r="S145" s="5">
        <f>VLOOKUP('전체 통계'!$Q147,'하삼주 (250929)'!$A$2:$D$318,3, FALSE)</f>
        <v>570</v>
      </c>
      <c r="T145" s="5">
        <f>VLOOKUP('전체 통계'!$Q147,'하삼주 (251006)'!$A$2:$D$313,3, FALSE)</f>
        <v>599</v>
      </c>
    </row>
    <row r="146" spans="16:23" x14ac:dyDescent="0.3">
      <c r="P146">
        <v>143</v>
      </c>
      <c r="Q146" s="5" t="s">
        <v>849</v>
      </c>
      <c r="R146" s="5">
        <f>VLOOKUP('전체 통계'!$Q145,'하삼주(250918)'!$A$2:$D$315,3, FALSE)</f>
        <v>503</v>
      </c>
      <c r="S146" s="5">
        <f>VLOOKUP('전체 통계'!$Q145,'하삼주 (250929)'!$A$2:$D$318,3, FALSE)</f>
        <v>549</v>
      </c>
      <c r="T146" s="5">
        <f>VLOOKUP('전체 통계'!$Q145,'하삼주 (251006)'!$A$2:$D$313,3, FALSE)</f>
        <v>596</v>
      </c>
    </row>
    <row r="147" spans="16:23" x14ac:dyDescent="0.3">
      <c r="P147">
        <v>147</v>
      </c>
      <c r="Q147" s="17" t="s">
        <v>853</v>
      </c>
      <c r="R147" s="17">
        <f>VLOOKUP('전체 통계'!$Q149,'하삼주(250918)'!$A$2:$D$315,3, FALSE)</f>
        <v>561</v>
      </c>
      <c r="S147" s="17" t="e">
        <f>VLOOKUP('전체 통계'!$Q149,'하삼주 (250929)'!$A$2:$D$318,3, FALSE)</f>
        <v>#N/A</v>
      </c>
      <c r="T147" s="17" t="e">
        <f>VLOOKUP('전체 통계'!$Q149,'하삼주 (251006)'!$A$2:$D$313,3, FALSE)</f>
        <v>#N/A</v>
      </c>
      <c r="U147" t="s">
        <v>910</v>
      </c>
    </row>
    <row r="148" spans="16:23" x14ac:dyDescent="0.3">
      <c r="P148">
        <v>140</v>
      </c>
      <c r="Q148" s="5" t="s">
        <v>847</v>
      </c>
      <c r="R148" s="5">
        <f>VLOOKUP('전체 통계'!$Q142,'하삼주(250918)'!$A$2:$D$315,3, FALSE)</f>
        <v>576</v>
      </c>
      <c r="S148" s="5">
        <f>VLOOKUP('전체 통계'!$Q142,'하삼주 (250929)'!$A$2:$D$318,3, FALSE)</f>
        <v>562</v>
      </c>
      <c r="T148" s="5">
        <f>VLOOKUP('전체 통계'!$Q142,'하삼주 (251006)'!$A$2:$D$313,3, FALSE)</f>
        <v>573</v>
      </c>
    </row>
    <row r="149" spans="16:23" x14ac:dyDescent="0.3">
      <c r="P149">
        <v>146</v>
      </c>
      <c r="Q149" s="5" t="s">
        <v>852</v>
      </c>
      <c r="R149" s="5">
        <f>VLOOKUP('전체 통계'!$Q148,'하삼주(250918)'!$A$2:$D$315,3, FALSE)</f>
        <v>507</v>
      </c>
      <c r="S149" s="5">
        <f>VLOOKUP('전체 통계'!$Q148,'하삼주 (250929)'!$A$2:$D$318,3, FALSE)</f>
        <v>544</v>
      </c>
      <c r="T149" s="5" t="e">
        <f>VLOOKUP('전체 통계'!$Q148,'하삼주 (251006)'!$A$2:$D$313,3, FALSE)</f>
        <v>#N/A</v>
      </c>
    </row>
    <row r="150" spans="16:23" x14ac:dyDescent="0.3">
      <c r="P150">
        <v>148</v>
      </c>
      <c r="Q150" s="18" t="s">
        <v>324</v>
      </c>
      <c r="R150" s="18">
        <f>VLOOKUP('전체 통계'!$Q150,'하삼주(250918)'!$A$2:$D$315,3, FALSE)</f>
        <v>402</v>
      </c>
      <c r="S150" s="18">
        <f>VLOOKUP('전체 통계'!$Q150,'하삼주 (250929)'!$A$2:$D$318,3, FALSE)</f>
        <v>533</v>
      </c>
      <c r="T150" s="18" t="e">
        <f>VLOOKUP('전체 통계'!$Q150,'하삼주 (251006)'!$A$2:$D$313,3, FALSE)</f>
        <v>#N/A</v>
      </c>
      <c r="U150" t="s">
        <v>908</v>
      </c>
      <c r="V150">
        <v>148</v>
      </c>
      <c r="W150">
        <v>1640524</v>
      </c>
    </row>
    <row r="151" spans="16:23" x14ac:dyDescent="0.3">
      <c r="P151">
        <v>149</v>
      </c>
      <c r="Q151" s="18" t="s">
        <v>854</v>
      </c>
      <c r="R151" s="18">
        <f>VLOOKUP('전체 통계'!$Q151,'하삼주(250918)'!$A$2:$D$315,3, FALSE)</f>
        <v>468</v>
      </c>
      <c r="S151" s="18">
        <f>VLOOKUP('전체 통계'!$Q151,'하삼주 (250929)'!$A$2:$D$318,3, FALSE)</f>
        <v>593</v>
      </c>
      <c r="T151" s="18" t="e">
        <f>VLOOKUP('전체 통계'!$Q151,'하삼주 (251006)'!$A$2:$D$313,3, FALSE)</f>
        <v>#N/A</v>
      </c>
      <c r="U151" t="s">
        <v>908</v>
      </c>
      <c r="V151">
        <v>149</v>
      </c>
      <c r="W151">
        <v>1535119</v>
      </c>
    </row>
    <row r="152" spans="16:23" x14ac:dyDescent="0.3">
      <c r="P152">
        <v>150</v>
      </c>
      <c r="Q152" s="18" t="s">
        <v>855</v>
      </c>
      <c r="R152" s="18">
        <f>VLOOKUP('전체 통계'!$Q152,'하삼주(250918)'!$A$2:$D$315,3, FALSE)</f>
        <v>516</v>
      </c>
      <c r="S152" s="18" t="e">
        <f>VLOOKUP('전체 통계'!$Q152,'하삼주 (250929)'!$A$2:$D$318,3, FALSE)</f>
        <v>#N/A</v>
      </c>
      <c r="T152" s="18" t="e">
        <f>VLOOKUP('전체 통계'!$Q152,'하삼주 (251006)'!$A$2:$D$313,3, FALSE)</f>
        <v>#N/A</v>
      </c>
      <c r="U152" t="s">
        <v>915</v>
      </c>
      <c r="V152">
        <v>150</v>
      </c>
      <c r="W152">
        <v>1632987</v>
      </c>
    </row>
    <row r="153" spans="16:23" x14ac:dyDescent="0.3">
      <c r="P153">
        <v>151</v>
      </c>
      <c r="Q153" s="18" t="s">
        <v>856</v>
      </c>
      <c r="R153" s="18">
        <f>VLOOKUP('전체 통계'!$Q153,'하삼주(250918)'!$A$2:$D$315,3, FALSE)</f>
        <v>506</v>
      </c>
      <c r="S153" s="18">
        <f>VLOOKUP('전체 통계'!$Q153,'하삼주 (250929)'!$A$2:$D$318,3, FALSE)</f>
        <v>560</v>
      </c>
      <c r="T153" s="18" t="e">
        <f>VLOOKUP('전체 통계'!$Q153,'하삼주 (251006)'!$A$2:$D$313,3, FALSE)</f>
        <v>#N/A</v>
      </c>
      <c r="U153" t="s">
        <v>916</v>
      </c>
      <c r="V153">
        <v>151</v>
      </c>
      <c r="W153">
        <v>1548758</v>
      </c>
    </row>
    <row r="154" spans="16:23" x14ac:dyDescent="0.3">
      <c r="P154">
        <v>152</v>
      </c>
      <c r="Q154" s="18" t="s">
        <v>857</v>
      </c>
      <c r="R154" s="18" t="e">
        <f>VLOOKUP('전체 통계'!$Q154,'하삼주(250918)'!$A$2:$D$315,3, FALSE)</f>
        <v>#N/A</v>
      </c>
      <c r="S154" s="18" t="e">
        <f>VLOOKUP('전체 통계'!$Q154,'하삼주 (250929)'!$A$2:$D$318,3, FALSE)</f>
        <v>#N/A</v>
      </c>
      <c r="T154" s="18" t="e">
        <f>VLOOKUP('전체 통계'!$Q154,'하삼주 (251006)'!$A$2:$D$313,3, FALSE)</f>
        <v>#N/A</v>
      </c>
      <c r="U154" t="s">
        <v>913</v>
      </c>
      <c r="V154">
        <v>152</v>
      </c>
      <c r="W154">
        <v>1720943</v>
      </c>
    </row>
    <row r="155" spans="16:23" x14ac:dyDescent="0.3">
      <c r="P155">
        <v>153</v>
      </c>
      <c r="Q155" s="18" t="s">
        <v>858</v>
      </c>
      <c r="R155" s="18">
        <f>VLOOKUP('전체 통계'!$Q155,'하삼주(250918)'!$A$2:$D$315,3, FALSE)</f>
        <v>552</v>
      </c>
      <c r="S155" s="18" t="e">
        <f>VLOOKUP('전체 통계'!$Q155,'하삼주 (250929)'!$A$2:$D$318,3, FALSE)</f>
        <v>#N/A</v>
      </c>
      <c r="T155" s="18" t="e">
        <f>VLOOKUP('전체 통계'!$Q155,'하삼주 (251006)'!$A$2:$D$313,3, FALSE)</f>
        <v>#N/A</v>
      </c>
      <c r="U155" t="s">
        <v>913</v>
      </c>
      <c r="V155">
        <v>153</v>
      </c>
      <c r="W155">
        <v>1501038</v>
      </c>
    </row>
    <row r="156" spans="16:23" x14ac:dyDescent="0.3">
      <c r="P156">
        <v>154</v>
      </c>
      <c r="Q156" s="18" t="s">
        <v>859</v>
      </c>
      <c r="R156" s="18" t="e">
        <f>VLOOKUP('전체 통계'!$Q156,'하삼주(250918)'!$A$2:$D$315,3, FALSE)</f>
        <v>#N/A</v>
      </c>
      <c r="S156" s="18" t="e">
        <f>VLOOKUP('전체 통계'!$Q156,'하삼주 (250929)'!$A$2:$D$318,3, FALSE)</f>
        <v>#N/A</v>
      </c>
      <c r="T156" s="18" t="e">
        <f>VLOOKUP('전체 통계'!$Q156,'하삼주 (251006)'!$A$2:$D$313,3, FALSE)</f>
        <v>#N/A</v>
      </c>
      <c r="U156" t="s">
        <v>913</v>
      </c>
      <c r="V156">
        <v>154</v>
      </c>
      <c r="W156">
        <v>1759738</v>
      </c>
    </row>
    <row r="157" spans="16:23" x14ac:dyDescent="0.3">
      <c r="P157">
        <v>155</v>
      </c>
      <c r="Q157" s="18" t="s">
        <v>860</v>
      </c>
      <c r="R157" s="18" t="e">
        <f>VLOOKUP('전체 통계'!$Q157,'하삼주(250918)'!$A$2:$D$315,3, FALSE)</f>
        <v>#N/A</v>
      </c>
      <c r="S157" s="18">
        <f>VLOOKUP('전체 통계'!$Q157,'하삼주 (250929)'!$A$2:$D$318,3, FALSE)</f>
        <v>598</v>
      </c>
      <c r="T157" s="18" t="e">
        <f>VLOOKUP('전체 통계'!$Q157,'하삼주 (251006)'!$A$2:$D$313,3, FALSE)</f>
        <v>#N/A</v>
      </c>
      <c r="U157" t="s">
        <v>914</v>
      </c>
      <c r="V157">
        <v>155</v>
      </c>
      <c r="W157">
        <v>1525945</v>
      </c>
    </row>
    <row r="158" spans="16:23" x14ac:dyDescent="0.3">
      <c r="P158">
        <v>156</v>
      </c>
      <c r="Q158" s="18" t="s">
        <v>904</v>
      </c>
      <c r="R158" s="18" t="e">
        <f>VLOOKUP('전체 통계'!$Q158,'하삼주(250918)'!$A$2:$D$315,3, FALSE)</f>
        <v>#N/A</v>
      </c>
      <c r="S158" s="18" t="e">
        <f>VLOOKUP('전체 통계'!$Q158,'하삼주 (250929)'!$A$2:$D$318,3, FALSE)</f>
        <v>#N/A</v>
      </c>
      <c r="T158" s="18" t="e">
        <f>VLOOKUP('전체 통계'!$Q158,'하삼주 (251006)'!$A$2:$D$313,3, FALSE)</f>
        <v>#N/A</v>
      </c>
      <c r="U158" t="s">
        <v>915</v>
      </c>
      <c r="V158">
        <v>156</v>
      </c>
      <c r="W158">
        <v>1752670</v>
      </c>
    </row>
    <row r="159" spans="16:23" x14ac:dyDescent="0.3">
      <c r="P159">
        <v>157</v>
      </c>
      <c r="Q159" s="18" t="s">
        <v>861</v>
      </c>
      <c r="R159" s="18">
        <f>VLOOKUP('전체 통계'!$Q159,'하삼주(250918)'!$A$2:$D$315,3, FALSE)</f>
        <v>504</v>
      </c>
      <c r="S159" s="18">
        <f>VLOOKUP('전체 통계'!$Q159,'하삼주 (250929)'!$A$2:$D$318,3, FALSE)</f>
        <v>584</v>
      </c>
      <c r="T159" s="18" t="e">
        <f>VLOOKUP('전체 통계'!$Q159,'하삼주 (251006)'!$A$2:$D$313,3, FALSE)</f>
        <v>#N/A</v>
      </c>
      <c r="U159" t="s">
        <v>914</v>
      </c>
      <c r="V159">
        <v>157</v>
      </c>
      <c r="W159">
        <v>1325996</v>
      </c>
    </row>
    <row r="160" spans="16:23" x14ac:dyDescent="0.3">
      <c r="P160">
        <v>158</v>
      </c>
      <c r="Q160" s="18" t="s">
        <v>862</v>
      </c>
      <c r="R160" s="18" t="e">
        <f>VLOOKUP('전체 통계'!$Q160,'하삼주(250918)'!$A$2:$D$315,3, FALSE)</f>
        <v>#N/A</v>
      </c>
      <c r="S160" s="18" t="e">
        <f>VLOOKUP('전체 통계'!$Q160,'하삼주 (250929)'!$A$2:$D$318,3, FALSE)</f>
        <v>#N/A</v>
      </c>
      <c r="T160" s="18" t="e">
        <f>VLOOKUP('전체 통계'!$Q160,'하삼주 (251006)'!$A$2:$D$313,3, FALSE)</f>
        <v>#N/A</v>
      </c>
      <c r="U160" t="s">
        <v>917</v>
      </c>
      <c r="V160">
        <v>158</v>
      </c>
      <c r="W160">
        <v>1487813</v>
      </c>
    </row>
    <row r="161" spans="16:23" x14ac:dyDescent="0.3">
      <c r="P161">
        <v>159</v>
      </c>
      <c r="Q161" s="18" t="s">
        <v>863</v>
      </c>
      <c r="R161" s="18">
        <f>VLOOKUP('전체 통계'!$Q161,'하삼주(250918)'!$A$2:$D$315,3, FALSE)</f>
        <v>595</v>
      </c>
      <c r="S161" s="18" t="e">
        <f>VLOOKUP('전체 통계'!$Q161,'하삼주 (250929)'!$A$2:$D$318,3, FALSE)</f>
        <v>#N/A</v>
      </c>
      <c r="T161" s="18" t="e">
        <f>VLOOKUP('전체 통계'!$Q161,'하삼주 (251006)'!$A$2:$D$313,3, FALSE)</f>
        <v>#N/A</v>
      </c>
      <c r="U161" t="s">
        <v>915</v>
      </c>
      <c r="V161">
        <v>159</v>
      </c>
      <c r="W161">
        <v>1373819</v>
      </c>
    </row>
    <row r="162" spans="16:23" x14ac:dyDescent="0.3">
      <c r="P162">
        <v>160</v>
      </c>
      <c r="Q162" s="18" t="s">
        <v>905</v>
      </c>
      <c r="R162" s="18" t="e">
        <f>VLOOKUP('전체 통계'!$Q162,'하삼주(250918)'!$A$2:$D$315,3, FALSE)</f>
        <v>#N/A</v>
      </c>
      <c r="S162" s="18" t="e">
        <f>VLOOKUP('전체 통계'!$Q162,'하삼주 (250929)'!$A$2:$D$318,3, FALSE)</f>
        <v>#N/A</v>
      </c>
      <c r="T162" s="18" t="e">
        <f>VLOOKUP('전체 통계'!$Q162,'하삼주 (251006)'!$A$2:$D$313,3, FALSE)</f>
        <v>#N/A</v>
      </c>
      <c r="U162" t="s">
        <v>918</v>
      </c>
      <c r="V162">
        <v>160</v>
      </c>
      <c r="W162">
        <v>1512030</v>
      </c>
    </row>
    <row r="163" spans="16:23" x14ac:dyDescent="0.3">
      <c r="P163">
        <v>161</v>
      </c>
      <c r="Q163" s="18" t="s">
        <v>864</v>
      </c>
      <c r="R163" s="18" t="e">
        <f>VLOOKUP('전체 통계'!$Q163,'하삼주(250918)'!$A$2:$D$315,3, FALSE)</f>
        <v>#N/A</v>
      </c>
      <c r="S163" s="18" t="e">
        <f>VLOOKUP('전체 통계'!$Q163,'하삼주 (250929)'!$A$2:$D$318,3, FALSE)</f>
        <v>#N/A</v>
      </c>
      <c r="T163" s="18" t="e">
        <f>VLOOKUP('전체 통계'!$Q163,'하삼주 (251006)'!$A$2:$D$313,3, FALSE)</f>
        <v>#N/A</v>
      </c>
      <c r="U163" t="s">
        <v>908</v>
      </c>
      <c r="V163">
        <v>161</v>
      </c>
      <c r="W163">
        <v>1579822</v>
      </c>
    </row>
    <row r="164" spans="16:23" x14ac:dyDescent="0.3">
      <c r="P164">
        <v>162</v>
      </c>
      <c r="Q164" s="18" t="s">
        <v>906</v>
      </c>
      <c r="R164" s="18" t="e">
        <f>VLOOKUP('전체 통계'!$Q164,'하삼주(250918)'!$A$2:$D$315,3, FALSE)</f>
        <v>#N/A</v>
      </c>
      <c r="S164" s="18" t="e">
        <f>VLOOKUP('전체 통계'!$Q164,'하삼주 (250929)'!$A$2:$D$318,3, FALSE)</f>
        <v>#N/A</v>
      </c>
      <c r="T164" s="18" t="e">
        <f>VLOOKUP('전체 통계'!$Q164,'하삼주 (251006)'!$A$2:$D$313,3, FALSE)</f>
        <v>#N/A</v>
      </c>
      <c r="U164" t="s">
        <v>914</v>
      </c>
      <c r="V164">
        <v>162</v>
      </c>
      <c r="W164">
        <v>1603246</v>
      </c>
    </row>
    <row r="165" spans="16:23" x14ac:dyDescent="0.3">
      <c r="P165">
        <v>163</v>
      </c>
      <c r="Q165" s="18" t="s">
        <v>865</v>
      </c>
      <c r="R165" s="18">
        <f>VLOOKUP('전체 통계'!$Q165,'하삼주(250918)'!$A$2:$D$315,3, FALSE)</f>
        <v>539</v>
      </c>
      <c r="S165" s="18" t="e">
        <f>VLOOKUP('전체 통계'!$Q165,'하삼주 (250929)'!$A$2:$D$318,3, FALSE)</f>
        <v>#N/A</v>
      </c>
      <c r="T165" s="18" t="e">
        <f>VLOOKUP('전체 통계'!$Q165,'하삼주 (251006)'!$A$2:$D$313,3, FALSE)</f>
        <v>#N/A</v>
      </c>
      <c r="U165" t="s">
        <v>700</v>
      </c>
      <c r="V165">
        <v>163</v>
      </c>
      <c r="W165">
        <v>1353883</v>
      </c>
    </row>
    <row r="166" spans="16:23" x14ac:dyDescent="0.3">
      <c r="P166">
        <v>164</v>
      </c>
      <c r="Q166" s="18" t="s">
        <v>866</v>
      </c>
      <c r="R166" s="18">
        <f>VLOOKUP('전체 통계'!$Q166,'하삼주(250918)'!$A$2:$D$315,3, FALSE)</f>
        <v>563</v>
      </c>
      <c r="S166" s="18" t="e">
        <f>VLOOKUP('전체 통계'!$Q166,'하삼주 (250929)'!$A$2:$D$318,3, FALSE)</f>
        <v>#N/A</v>
      </c>
      <c r="T166" s="18" t="e">
        <f>VLOOKUP('전체 통계'!$Q166,'하삼주 (251006)'!$A$2:$D$313,3, FALSE)</f>
        <v>#N/A</v>
      </c>
      <c r="U166" t="s">
        <v>915</v>
      </c>
      <c r="V166">
        <v>164</v>
      </c>
      <c r="W166">
        <v>1176797</v>
      </c>
    </row>
    <row r="167" spans="16:23" x14ac:dyDescent="0.3">
      <c r="P167">
        <v>165</v>
      </c>
      <c r="Q167" s="18" t="s">
        <v>867</v>
      </c>
      <c r="R167" s="18" t="e">
        <f>VLOOKUP('전체 통계'!$Q167,'하삼주(250918)'!$A$2:$D$315,3, FALSE)</f>
        <v>#N/A</v>
      </c>
      <c r="S167" s="18" t="e">
        <f>VLOOKUP('전체 통계'!$Q167,'하삼주 (250929)'!$A$2:$D$318,3, FALSE)</f>
        <v>#N/A</v>
      </c>
      <c r="T167" s="18" t="e">
        <f>VLOOKUP('전체 통계'!$Q167,'하삼주 (251006)'!$A$2:$D$313,3, FALSE)</f>
        <v>#N/A</v>
      </c>
      <c r="U167" t="s">
        <v>915</v>
      </c>
      <c r="V167">
        <v>165</v>
      </c>
      <c r="W167">
        <v>1313790</v>
      </c>
    </row>
    <row r="168" spans="16:23" x14ac:dyDescent="0.3">
      <c r="P168">
        <v>166</v>
      </c>
      <c r="Q168" s="18" t="s">
        <v>868</v>
      </c>
      <c r="R168" s="18" t="e">
        <f>VLOOKUP('전체 통계'!$Q168,'하삼주(250918)'!$A$2:$D$315,3, FALSE)</f>
        <v>#N/A</v>
      </c>
      <c r="S168" s="18" t="e">
        <f>VLOOKUP('전체 통계'!$Q168,'하삼주 (250929)'!$A$2:$D$318,3, FALSE)</f>
        <v>#N/A</v>
      </c>
      <c r="T168" s="18" t="e">
        <f>VLOOKUP('전체 통계'!$Q168,'하삼주 (251006)'!$A$2:$D$313,3, FALSE)</f>
        <v>#N/A</v>
      </c>
      <c r="U168" t="s">
        <v>913</v>
      </c>
      <c r="V168">
        <v>166</v>
      </c>
      <c r="W168">
        <v>1232696</v>
      </c>
    </row>
    <row r="169" spans="16:23" x14ac:dyDescent="0.3">
      <c r="P169">
        <v>167</v>
      </c>
      <c r="Q169" s="18" t="s">
        <v>869</v>
      </c>
      <c r="R169" s="18" t="e">
        <f>VLOOKUP('전체 통계'!$Q169,'하삼주(250918)'!$A$2:$D$315,3, FALSE)</f>
        <v>#N/A</v>
      </c>
      <c r="S169" s="18" t="e">
        <f>VLOOKUP('전체 통계'!$Q169,'하삼주 (250929)'!$A$2:$D$318,3, FALSE)</f>
        <v>#N/A</v>
      </c>
      <c r="T169" s="18" t="e">
        <f>VLOOKUP('전체 통계'!$Q169,'하삼주 (251006)'!$A$2:$D$313,3, FALSE)</f>
        <v>#N/A</v>
      </c>
      <c r="U169" t="s">
        <v>919</v>
      </c>
      <c r="V169">
        <v>167</v>
      </c>
      <c r="W169">
        <v>1577085</v>
      </c>
    </row>
    <row r="170" spans="16:23" x14ac:dyDescent="0.3">
      <c r="P170">
        <v>168</v>
      </c>
      <c r="Q170" s="18" t="s">
        <v>870</v>
      </c>
      <c r="R170" s="18" t="e">
        <f>VLOOKUP('전체 통계'!$Q170,'하삼주(250918)'!$A$2:$D$315,3, FALSE)</f>
        <v>#N/A</v>
      </c>
      <c r="S170" s="18" t="e">
        <f>VLOOKUP('전체 통계'!$Q170,'하삼주 (250929)'!$A$2:$D$318,3, FALSE)</f>
        <v>#N/A</v>
      </c>
      <c r="T170" s="18" t="e">
        <f>VLOOKUP('전체 통계'!$Q170,'하삼주 (251006)'!$A$2:$D$313,3, FALSE)</f>
        <v>#N/A</v>
      </c>
      <c r="U170" t="s">
        <v>917</v>
      </c>
      <c r="V170">
        <v>168</v>
      </c>
      <c r="W170">
        <v>1254217</v>
      </c>
    </row>
    <row r="171" spans="16:23" x14ac:dyDescent="0.3">
      <c r="P171">
        <v>169</v>
      </c>
      <c r="Q171" s="18" t="s">
        <v>871</v>
      </c>
      <c r="R171" s="18" t="e">
        <f>VLOOKUP('전체 통계'!$Q171,'하삼주(250918)'!$A$2:$D$315,3, FALSE)</f>
        <v>#N/A</v>
      </c>
      <c r="S171" s="18" t="e">
        <f>VLOOKUP('전체 통계'!$Q171,'하삼주 (250929)'!$A$2:$D$318,3, FALSE)</f>
        <v>#N/A</v>
      </c>
      <c r="T171" s="18" t="e">
        <f>VLOOKUP('전체 통계'!$Q171,'하삼주 (251006)'!$A$2:$D$313,3, FALSE)</f>
        <v>#N/A</v>
      </c>
      <c r="U171" t="s">
        <v>913</v>
      </c>
      <c r="V171">
        <v>169</v>
      </c>
      <c r="W171">
        <v>1340870</v>
      </c>
    </row>
    <row r="172" spans="16:23" x14ac:dyDescent="0.3">
      <c r="P172">
        <v>170</v>
      </c>
      <c r="Q172" s="18" t="s">
        <v>872</v>
      </c>
      <c r="R172" s="18" t="e">
        <f>VLOOKUP('전체 통계'!$Q172,'하삼주(250918)'!$A$2:$D$315,3, FALSE)</f>
        <v>#N/A</v>
      </c>
      <c r="S172" s="18" t="e">
        <f>VLOOKUP('전체 통계'!$Q172,'하삼주 (250929)'!$A$2:$D$318,3, FALSE)</f>
        <v>#N/A</v>
      </c>
      <c r="T172" s="18" t="e">
        <f>VLOOKUP('전체 통계'!$Q172,'하삼주 (251006)'!$A$2:$D$313,3, FALSE)</f>
        <v>#N/A</v>
      </c>
      <c r="U172" t="s">
        <v>915</v>
      </c>
      <c r="V172">
        <v>170</v>
      </c>
      <c r="W172">
        <v>1253328</v>
      </c>
    </row>
    <row r="173" spans="16:23" x14ac:dyDescent="0.3">
      <c r="P173">
        <v>171</v>
      </c>
      <c r="Q173" s="18" t="s">
        <v>873</v>
      </c>
      <c r="R173" s="18" t="e">
        <f>VLOOKUP('전체 통계'!$Q173,'하삼주(250918)'!$A$2:$D$315,3, FALSE)</f>
        <v>#N/A</v>
      </c>
      <c r="S173" s="18" t="e">
        <f>VLOOKUP('전체 통계'!$Q173,'하삼주 (250929)'!$A$2:$D$318,3, FALSE)</f>
        <v>#N/A</v>
      </c>
      <c r="T173" s="18" t="e">
        <f>VLOOKUP('전체 통계'!$Q173,'하삼주 (251006)'!$A$2:$D$313,3, FALSE)</f>
        <v>#N/A</v>
      </c>
      <c r="U173" t="s">
        <v>920</v>
      </c>
      <c r="V173">
        <v>171</v>
      </c>
      <c r="W173">
        <v>1357343</v>
      </c>
    </row>
    <row r="174" spans="16:23" x14ac:dyDescent="0.3">
      <c r="P174">
        <v>172</v>
      </c>
      <c r="Q174" s="18" t="s">
        <v>874</v>
      </c>
      <c r="R174" s="18" t="e">
        <f>VLOOKUP('전체 통계'!$Q174,'하삼주(250918)'!$A$2:$D$315,3, FALSE)</f>
        <v>#N/A</v>
      </c>
      <c r="S174" s="18" t="e">
        <f>VLOOKUP('전체 통계'!$Q174,'하삼주 (250929)'!$A$2:$D$318,3, FALSE)</f>
        <v>#N/A</v>
      </c>
      <c r="T174" s="18" t="e">
        <f>VLOOKUP('전체 통계'!$Q174,'하삼주 (251006)'!$A$2:$D$313,3, FALSE)</f>
        <v>#N/A</v>
      </c>
      <c r="U174" t="s">
        <v>916</v>
      </c>
      <c r="V174">
        <v>172</v>
      </c>
      <c r="W174">
        <v>1104897</v>
      </c>
    </row>
    <row r="175" spans="16:23" x14ac:dyDescent="0.3">
      <c r="P175">
        <v>173</v>
      </c>
      <c r="Q175" s="18" t="s">
        <v>875</v>
      </c>
      <c r="R175" s="18" t="e">
        <f>VLOOKUP('전체 통계'!$Q175,'하삼주(250918)'!$A$2:$D$315,3, FALSE)</f>
        <v>#N/A</v>
      </c>
      <c r="S175" s="18" t="e">
        <f>VLOOKUP('전체 통계'!$Q175,'하삼주 (250929)'!$A$2:$D$318,3, FALSE)</f>
        <v>#N/A</v>
      </c>
      <c r="T175" s="18" t="e">
        <f>VLOOKUP('전체 통계'!$Q175,'하삼주 (251006)'!$A$2:$D$313,3, FALSE)</f>
        <v>#N/A</v>
      </c>
      <c r="U175" t="s">
        <v>913</v>
      </c>
      <c r="V175">
        <v>173</v>
      </c>
      <c r="W175">
        <v>984487</v>
      </c>
    </row>
    <row r="176" spans="16:23" x14ac:dyDescent="0.3">
      <c r="P176">
        <v>174</v>
      </c>
      <c r="Q176" s="18" t="s">
        <v>876</v>
      </c>
      <c r="R176" s="18" t="e">
        <f>VLOOKUP('전체 통계'!$Q176,'하삼주(250918)'!$A$2:$D$315,3, FALSE)</f>
        <v>#N/A</v>
      </c>
      <c r="S176" s="18" t="e">
        <f>VLOOKUP('전체 통계'!$Q176,'하삼주 (250929)'!$A$2:$D$318,3, FALSE)</f>
        <v>#N/A</v>
      </c>
      <c r="T176" s="18" t="e">
        <f>VLOOKUP('전체 통계'!$Q176,'하삼주 (251006)'!$A$2:$D$313,3, FALSE)</f>
        <v>#N/A</v>
      </c>
      <c r="U176" t="s">
        <v>908</v>
      </c>
      <c r="V176">
        <v>174</v>
      </c>
      <c r="W176">
        <v>1064961</v>
      </c>
    </row>
    <row r="177" spans="16:23" x14ac:dyDescent="0.3">
      <c r="P177">
        <v>175</v>
      </c>
      <c r="Q177" s="18" t="s">
        <v>877</v>
      </c>
      <c r="R177" s="18" t="e">
        <f>VLOOKUP('전체 통계'!$Q177,'하삼주(250918)'!$A$2:$D$315,3, FALSE)</f>
        <v>#N/A</v>
      </c>
      <c r="S177" s="18" t="e">
        <f>VLOOKUP('전체 통계'!$Q177,'하삼주 (250929)'!$A$2:$D$318,3, FALSE)</f>
        <v>#N/A</v>
      </c>
      <c r="T177" s="18" t="e">
        <f>VLOOKUP('전체 통계'!$Q177,'하삼주 (251006)'!$A$2:$D$313,3, FALSE)</f>
        <v>#N/A</v>
      </c>
      <c r="U177" t="s">
        <v>914</v>
      </c>
      <c r="V177">
        <v>175</v>
      </c>
      <c r="W177">
        <v>1151239</v>
      </c>
    </row>
    <row r="178" spans="16:23" x14ac:dyDescent="0.3">
      <c r="P178">
        <v>176</v>
      </c>
      <c r="Q178" s="18" t="s">
        <v>878</v>
      </c>
      <c r="R178" s="18" t="e">
        <f>VLOOKUP('전체 통계'!$Q178,'하삼주(250918)'!$A$2:$D$315,3, FALSE)</f>
        <v>#N/A</v>
      </c>
      <c r="S178" s="18" t="e">
        <f>VLOOKUP('전체 통계'!$Q178,'하삼주 (250929)'!$A$2:$D$318,3, FALSE)</f>
        <v>#N/A</v>
      </c>
      <c r="T178" s="18" t="e">
        <f>VLOOKUP('전체 통계'!$Q178,'하삼주 (251006)'!$A$2:$D$313,3, FALSE)</f>
        <v>#N/A</v>
      </c>
      <c r="U178" t="s">
        <v>913</v>
      </c>
      <c r="V178">
        <v>176</v>
      </c>
      <c r="W178">
        <v>1007628</v>
      </c>
    </row>
    <row r="179" spans="16:23" x14ac:dyDescent="0.3">
      <c r="P179">
        <v>177</v>
      </c>
      <c r="Q179" s="18" t="s">
        <v>879</v>
      </c>
      <c r="R179" s="18" t="e">
        <f>VLOOKUP('전체 통계'!$Q179,'하삼주(250918)'!$A$2:$D$315,3, FALSE)</f>
        <v>#N/A</v>
      </c>
      <c r="S179" s="18" t="e">
        <f>VLOOKUP('전체 통계'!$Q179,'하삼주 (250929)'!$A$2:$D$318,3, FALSE)</f>
        <v>#N/A</v>
      </c>
      <c r="T179" s="18" t="e">
        <f>VLOOKUP('전체 통계'!$Q179,'하삼주 (251006)'!$A$2:$D$313,3, FALSE)</f>
        <v>#N/A</v>
      </c>
      <c r="U179" t="s">
        <v>914</v>
      </c>
      <c r="V179">
        <v>177</v>
      </c>
      <c r="W179">
        <v>1029827</v>
      </c>
    </row>
    <row r="180" spans="16:23" x14ac:dyDescent="0.3">
      <c r="P180">
        <v>178</v>
      </c>
      <c r="Q180" s="18" t="s">
        <v>880</v>
      </c>
      <c r="R180" s="18" t="e">
        <f>VLOOKUP('전체 통계'!$Q180,'하삼주(250918)'!$A$2:$D$315,3, FALSE)</f>
        <v>#N/A</v>
      </c>
      <c r="S180" s="18" t="e">
        <f>VLOOKUP('전체 통계'!$Q180,'하삼주 (250929)'!$A$2:$D$318,3, FALSE)</f>
        <v>#N/A</v>
      </c>
      <c r="T180" s="18" t="e">
        <f>VLOOKUP('전체 통계'!$Q180,'하삼주 (251006)'!$A$2:$D$313,3, FALSE)</f>
        <v>#N/A</v>
      </c>
      <c r="U180" t="s">
        <v>914</v>
      </c>
      <c r="V180">
        <v>178</v>
      </c>
      <c r="W180">
        <v>994540</v>
      </c>
    </row>
    <row r="181" spans="16:23" x14ac:dyDescent="0.3">
      <c r="P181">
        <v>179</v>
      </c>
      <c r="Q181" s="18" t="s">
        <v>881</v>
      </c>
      <c r="R181" s="18" t="e">
        <f>VLOOKUP('전체 통계'!$Q181,'하삼주(250918)'!$A$2:$D$315,3, FALSE)</f>
        <v>#N/A</v>
      </c>
      <c r="S181" s="18" t="e">
        <f>VLOOKUP('전체 통계'!$Q181,'하삼주 (250929)'!$A$2:$D$318,3, FALSE)</f>
        <v>#N/A</v>
      </c>
      <c r="T181" s="18" t="e">
        <f>VLOOKUP('전체 통계'!$Q181,'하삼주 (251006)'!$A$2:$D$313,3, FALSE)</f>
        <v>#N/A</v>
      </c>
      <c r="U181" t="s">
        <v>915</v>
      </c>
      <c r="V181">
        <v>179</v>
      </c>
      <c r="W181">
        <v>932067</v>
      </c>
    </row>
    <row r="182" spans="16:23" x14ac:dyDescent="0.3">
      <c r="P182">
        <v>180</v>
      </c>
      <c r="Q182" s="18" t="s">
        <v>882</v>
      </c>
      <c r="R182" s="18" t="e">
        <f>VLOOKUP('전체 통계'!$Q182,'하삼주(250918)'!$A$2:$D$315,3, FALSE)</f>
        <v>#N/A</v>
      </c>
      <c r="S182" s="18" t="e">
        <f>VLOOKUP('전체 통계'!$Q182,'하삼주 (250929)'!$A$2:$D$318,3, FALSE)</f>
        <v>#N/A</v>
      </c>
      <c r="T182" s="18" t="e">
        <f>VLOOKUP('전체 통계'!$Q182,'하삼주 (251006)'!$A$2:$D$313,3, FALSE)</f>
        <v>#N/A</v>
      </c>
      <c r="U182" t="s">
        <v>913</v>
      </c>
      <c r="V182">
        <v>180</v>
      </c>
      <c r="W182">
        <v>993148</v>
      </c>
    </row>
    <row r="183" spans="16:23" x14ac:dyDescent="0.3">
      <c r="P183">
        <v>181</v>
      </c>
      <c r="Q183" s="18" t="s">
        <v>883</v>
      </c>
      <c r="R183" s="18" t="e">
        <f>VLOOKUP('전체 통계'!$Q183,'하삼주(250918)'!$A$2:$D$315,3, FALSE)</f>
        <v>#N/A</v>
      </c>
      <c r="S183" s="18" t="e">
        <f>VLOOKUP('전체 통계'!$Q183,'하삼주 (250929)'!$A$2:$D$318,3, FALSE)</f>
        <v>#N/A</v>
      </c>
      <c r="T183" s="18" t="e">
        <f>VLOOKUP('전체 통계'!$Q183,'하삼주 (251006)'!$A$2:$D$313,3, FALSE)</f>
        <v>#N/A</v>
      </c>
      <c r="U183" t="s">
        <v>913</v>
      </c>
      <c r="V183">
        <v>181</v>
      </c>
      <c r="W183">
        <v>859837</v>
      </c>
    </row>
    <row r="184" spans="16:23" x14ac:dyDescent="0.3">
      <c r="P184">
        <v>182</v>
      </c>
      <c r="Q184" s="18" t="s">
        <v>884</v>
      </c>
      <c r="R184" s="18" t="e">
        <f>VLOOKUP('전체 통계'!$Q184,'하삼주(250918)'!$A$2:$D$315,3, FALSE)</f>
        <v>#N/A</v>
      </c>
      <c r="S184" s="18" t="e">
        <f>VLOOKUP('전체 통계'!$Q184,'하삼주 (250929)'!$A$2:$D$318,3, FALSE)</f>
        <v>#N/A</v>
      </c>
      <c r="T184" s="18" t="e">
        <f>VLOOKUP('전체 통계'!$Q184,'하삼주 (251006)'!$A$2:$D$313,3, FALSE)</f>
        <v>#N/A</v>
      </c>
      <c r="U184" t="s">
        <v>921</v>
      </c>
      <c r="V184">
        <v>182</v>
      </c>
      <c r="W184">
        <v>1483713</v>
      </c>
    </row>
    <row r="185" spans="16:23" x14ac:dyDescent="0.3">
      <c r="P185">
        <v>183</v>
      </c>
      <c r="Q185" s="18" t="s">
        <v>885</v>
      </c>
      <c r="R185" s="18" t="e">
        <f>VLOOKUP('전체 통계'!$Q185,'하삼주(250918)'!$A$2:$D$315,3, FALSE)</f>
        <v>#N/A</v>
      </c>
      <c r="S185" s="18" t="e">
        <f>VLOOKUP('전체 통계'!$Q185,'하삼주 (250929)'!$A$2:$D$318,3, FALSE)</f>
        <v>#N/A</v>
      </c>
      <c r="T185" s="18" t="e">
        <f>VLOOKUP('전체 통계'!$Q185,'하삼주 (251006)'!$A$2:$D$313,3, FALSE)</f>
        <v>#N/A</v>
      </c>
      <c r="U185" t="s">
        <v>913</v>
      </c>
      <c r="V185">
        <v>183</v>
      </c>
      <c r="W185">
        <v>942628</v>
      </c>
    </row>
    <row r="186" spans="16:23" x14ac:dyDescent="0.3">
      <c r="P186">
        <v>184</v>
      </c>
      <c r="Q186" s="18" t="s">
        <v>886</v>
      </c>
      <c r="R186" s="18" t="e">
        <f>VLOOKUP('전체 통계'!$Q186,'하삼주(250918)'!$A$2:$D$315,3, FALSE)</f>
        <v>#N/A</v>
      </c>
      <c r="S186" s="18" t="e">
        <f>VLOOKUP('전체 통계'!$Q186,'하삼주 (250929)'!$A$2:$D$318,3, FALSE)</f>
        <v>#N/A</v>
      </c>
      <c r="T186" s="18" t="e">
        <f>VLOOKUP('전체 통계'!$Q186,'하삼주 (251006)'!$A$2:$D$313,3, FALSE)</f>
        <v>#N/A</v>
      </c>
      <c r="U186" t="s">
        <v>911</v>
      </c>
      <c r="V186">
        <v>184</v>
      </c>
      <c r="W186">
        <v>958490</v>
      </c>
    </row>
    <row r="187" spans="16:23" x14ac:dyDescent="0.3">
      <c r="P187">
        <v>185</v>
      </c>
      <c r="Q187" s="18" t="s">
        <v>887</v>
      </c>
      <c r="R187" s="18" t="e">
        <f>VLOOKUP('전체 통계'!$Q187,'하삼주(250918)'!$A$2:$D$315,3, FALSE)</f>
        <v>#N/A</v>
      </c>
      <c r="S187" s="18" t="e">
        <f>VLOOKUP('전체 통계'!$Q187,'하삼주 (250929)'!$A$2:$D$318,3, FALSE)</f>
        <v>#N/A</v>
      </c>
      <c r="T187" s="18" t="e">
        <f>VLOOKUP('전체 통계'!$Q187,'하삼주 (251006)'!$A$2:$D$313,3, FALSE)</f>
        <v>#N/A</v>
      </c>
      <c r="U187" t="s">
        <v>912</v>
      </c>
      <c r="V187">
        <v>185</v>
      </c>
      <c r="W187">
        <v>1132625</v>
      </c>
    </row>
    <row r="188" spans="16:23" x14ac:dyDescent="0.3">
      <c r="P188">
        <v>186</v>
      </c>
      <c r="Q188" s="18" t="s">
        <v>888</v>
      </c>
      <c r="R188" s="18" t="e">
        <f>VLOOKUP('전체 통계'!$Q188,'하삼주(250918)'!$A$2:$D$315,3, FALSE)</f>
        <v>#N/A</v>
      </c>
      <c r="S188" s="18" t="e">
        <f>VLOOKUP('전체 통계'!$Q188,'하삼주 (250929)'!$A$2:$D$318,3, FALSE)</f>
        <v>#N/A</v>
      </c>
      <c r="T188" s="18" t="e">
        <f>VLOOKUP('전체 통계'!$Q188,'하삼주 (251006)'!$A$2:$D$313,3, FALSE)</f>
        <v>#N/A</v>
      </c>
      <c r="U188" t="s">
        <v>912</v>
      </c>
      <c r="V188">
        <v>186</v>
      </c>
      <c r="W188">
        <v>722237</v>
      </c>
    </row>
    <row r="189" spans="16:23" x14ac:dyDescent="0.3">
      <c r="P189">
        <v>187</v>
      </c>
      <c r="Q189" s="18" t="s">
        <v>889</v>
      </c>
      <c r="R189" s="18" t="e">
        <f>VLOOKUP('전체 통계'!$Q189,'하삼주(250918)'!$A$2:$D$315,3, FALSE)</f>
        <v>#N/A</v>
      </c>
      <c r="S189" s="18" t="e">
        <f>VLOOKUP('전체 통계'!$Q189,'하삼주 (250929)'!$A$2:$D$318,3, FALSE)</f>
        <v>#N/A</v>
      </c>
      <c r="T189" s="18" t="e">
        <f>VLOOKUP('전체 통계'!$Q189,'하삼주 (251006)'!$A$2:$D$313,3, FALSE)</f>
        <v>#N/A</v>
      </c>
      <c r="U189" t="s">
        <v>913</v>
      </c>
      <c r="V189">
        <v>187</v>
      </c>
      <c r="W189">
        <v>686694</v>
      </c>
    </row>
    <row r="190" spans="16:23" x14ac:dyDescent="0.3">
      <c r="P190">
        <v>188</v>
      </c>
      <c r="Q190" s="18" t="s">
        <v>890</v>
      </c>
      <c r="R190" s="18" t="e">
        <f>VLOOKUP('전체 통계'!$Q190,'하삼주(250918)'!$A$2:$D$315,3, FALSE)</f>
        <v>#N/A</v>
      </c>
      <c r="S190" s="18" t="e">
        <f>VLOOKUP('전체 통계'!$Q190,'하삼주 (250929)'!$A$2:$D$318,3, FALSE)</f>
        <v>#N/A</v>
      </c>
      <c r="T190" s="18" t="e">
        <f>VLOOKUP('전체 통계'!$Q190,'하삼주 (251006)'!$A$2:$D$313,3, FALSE)</f>
        <v>#N/A</v>
      </c>
      <c r="U190" t="s">
        <v>914</v>
      </c>
      <c r="V190">
        <v>188</v>
      </c>
      <c r="W190">
        <v>612488</v>
      </c>
    </row>
    <row r="191" spans="16:23" x14ac:dyDescent="0.3">
      <c r="P191">
        <v>189</v>
      </c>
      <c r="Q191" s="18" t="s">
        <v>891</v>
      </c>
      <c r="R191" s="18" t="e">
        <f>VLOOKUP('전체 통계'!$Q191,'하삼주(250918)'!$A$2:$D$315,3, FALSE)</f>
        <v>#N/A</v>
      </c>
      <c r="S191" s="18" t="e">
        <f>VLOOKUP('전체 통계'!$Q191,'하삼주 (250929)'!$A$2:$D$318,3, FALSE)</f>
        <v>#N/A</v>
      </c>
      <c r="T191" s="18" t="e">
        <f>VLOOKUP('전체 통계'!$Q191,'하삼주 (251006)'!$A$2:$D$313,3, FALSE)</f>
        <v>#N/A</v>
      </c>
      <c r="U191" t="s">
        <v>922</v>
      </c>
      <c r="V191">
        <v>189</v>
      </c>
      <c r="W191">
        <v>342725</v>
      </c>
    </row>
    <row r="192" spans="16:23" x14ac:dyDescent="0.3">
      <c r="P192">
        <v>190</v>
      </c>
      <c r="Q192" s="18" t="s">
        <v>892</v>
      </c>
      <c r="R192" s="18" t="e">
        <f>VLOOKUP('전체 통계'!$Q192,'하삼주(250918)'!$A$2:$D$315,3, FALSE)</f>
        <v>#N/A</v>
      </c>
      <c r="S192" s="18" t="e">
        <f>VLOOKUP('전체 통계'!$Q192,'하삼주 (250929)'!$A$2:$D$318,3, FALSE)</f>
        <v>#N/A</v>
      </c>
      <c r="T192" s="18" t="e">
        <f>VLOOKUP('전체 통계'!$Q192,'하삼주 (251006)'!$A$2:$D$313,3, FALSE)</f>
        <v>#N/A</v>
      </c>
      <c r="U192" t="s">
        <v>913</v>
      </c>
      <c r="V192">
        <v>190</v>
      </c>
      <c r="W192">
        <v>589778</v>
      </c>
    </row>
    <row r="193" spans="16:23" x14ac:dyDescent="0.3">
      <c r="P193">
        <v>191</v>
      </c>
      <c r="Q193" s="18" t="s">
        <v>893</v>
      </c>
      <c r="R193" s="18" t="e">
        <f>VLOOKUP('전체 통계'!$Q193,'하삼주(250918)'!$A$2:$D$315,3, FALSE)</f>
        <v>#N/A</v>
      </c>
      <c r="S193" s="18" t="e">
        <f>VLOOKUP('전체 통계'!$Q193,'하삼주 (250929)'!$A$2:$D$318,3, FALSE)</f>
        <v>#N/A</v>
      </c>
      <c r="T193" s="18" t="e">
        <f>VLOOKUP('전체 통계'!$Q193,'하삼주 (251006)'!$A$2:$D$313,3, FALSE)</f>
        <v>#N/A</v>
      </c>
      <c r="U193" t="s">
        <v>911</v>
      </c>
      <c r="V193">
        <v>191</v>
      </c>
      <c r="W193">
        <v>411491</v>
      </c>
    </row>
    <row r="194" spans="16:23" x14ac:dyDescent="0.3">
      <c r="P194">
        <v>192</v>
      </c>
      <c r="Q194" s="18" t="s">
        <v>894</v>
      </c>
      <c r="R194" s="18" t="e">
        <f>VLOOKUP('전체 통계'!$Q194,'하삼주(250918)'!$A$2:$D$315,3, FALSE)</f>
        <v>#N/A</v>
      </c>
      <c r="S194" s="18" t="e">
        <f>VLOOKUP('전체 통계'!$Q194,'하삼주 (250929)'!$A$2:$D$318,3, FALSE)</f>
        <v>#N/A</v>
      </c>
      <c r="T194" s="18" t="e">
        <f>VLOOKUP('전체 통계'!$Q194,'하삼주 (251006)'!$A$2:$D$313,3, FALSE)</f>
        <v>#N/A</v>
      </c>
      <c r="U194" t="s">
        <v>915</v>
      </c>
      <c r="V194">
        <v>192</v>
      </c>
      <c r="W194">
        <v>519966</v>
      </c>
    </row>
    <row r="195" spans="16:23" x14ac:dyDescent="0.3">
      <c r="P195">
        <v>193</v>
      </c>
      <c r="Q195" s="18" t="s">
        <v>895</v>
      </c>
      <c r="R195" s="18" t="e">
        <f>VLOOKUP('전체 통계'!$Q195,'하삼주(250918)'!$A$2:$D$315,3, FALSE)</f>
        <v>#N/A</v>
      </c>
      <c r="S195" s="18" t="e">
        <f>VLOOKUP('전체 통계'!$Q195,'하삼주 (250929)'!$A$2:$D$318,3, FALSE)</f>
        <v>#N/A</v>
      </c>
      <c r="T195" s="18" t="e">
        <f>VLOOKUP('전체 통계'!$Q195,'하삼주 (251006)'!$A$2:$D$313,3, FALSE)</f>
        <v>#N/A</v>
      </c>
      <c r="U195" t="s">
        <v>913</v>
      </c>
      <c r="V195">
        <v>193</v>
      </c>
      <c r="W195">
        <v>446275</v>
      </c>
    </row>
    <row r="196" spans="16:23" x14ac:dyDescent="0.3">
      <c r="P196">
        <v>194</v>
      </c>
      <c r="Q196" s="18" t="s">
        <v>896</v>
      </c>
      <c r="R196" s="18" t="e">
        <f>VLOOKUP('전체 통계'!$Q196,'하삼주(250918)'!$A$2:$D$315,3, FALSE)</f>
        <v>#N/A</v>
      </c>
      <c r="S196" s="18" t="e">
        <f>VLOOKUP('전체 통계'!$Q196,'하삼주 (250929)'!$A$2:$D$318,3, FALSE)</f>
        <v>#N/A</v>
      </c>
      <c r="T196" s="18" t="e">
        <f>VLOOKUP('전체 통계'!$Q196,'하삼주 (251006)'!$A$2:$D$313,3, FALSE)</f>
        <v>#N/A</v>
      </c>
      <c r="U196" t="s">
        <v>913</v>
      </c>
      <c r="V196">
        <v>194</v>
      </c>
      <c r="W196">
        <v>443630</v>
      </c>
    </row>
    <row r="197" spans="16:23" x14ac:dyDescent="0.3">
      <c r="P197">
        <v>195</v>
      </c>
      <c r="Q197" s="18" t="s">
        <v>897</v>
      </c>
      <c r="R197" s="18" t="e">
        <f>VLOOKUP('전체 통계'!$Q197,'하삼주(250918)'!$A$2:$D$315,3, FALSE)</f>
        <v>#N/A</v>
      </c>
      <c r="S197" s="18" t="e">
        <f>VLOOKUP('전체 통계'!$Q197,'하삼주 (250929)'!$A$2:$D$318,3, FALSE)</f>
        <v>#N/A</v>
      </c>
      <c r="T197" s="18" t="e">
        <f>VLOOKUP('전체 통계'!$Q197,'하삼주 (251006)'!$A$2:$D$313,3, FALSE)</f>
        <v>#N/A</v>
      </c>
      <c r="U197" t="s">
        <v>920</v>
      </c>
      <c r="V197">
        <v>195</v>
      </c>
      <c r="W197">
        <v>305271</v>
      </c>
    </row>
    <row r="198" spans="16:23" x14ac:dyDescent="0.3">
      <c r="P198">
        <v>196</v>
      </c>
      <c r="Q198" s="18" t="s">
        <v>898</v>
      </c>
      <c r="R198" s="18" t="e">
        <f>VLOOKUP('전체 통계'!$Q198,'하삼주(250918)'!$A$2:$D$315,3, FALSE)</f>
        <v>#N/A</v>
      </c>
      <c r="S198" s="18" t="e">
        <f>VLOOKUP('전체 통계'!$Q198,'하삼주 (250929)'!$A$2:$D$318,3, FALSE)</f>
        <v>#N/A</v>
      </c>
      <c r="T198" s="18" t="e">
        <f>VLOOKUP('전체 통계'!$Q198,'하삼주 (251006)'!$A$2:$D$313,3, FALSE)</f>
        <v>#N/A</v>
      </c>
      <c r="U198" t="s">
        <v>912</v>
      </c>
      <c r="V198">
        <v>196</v>
      </c>
      <c r="W198">
        <v>444191</v>
      </c>
    </row>
    <row r="199" spans="16:23" x14ac:dyDescent="0.3">
      <c r="P199">
        <v>197</v>
      </c>
      <c r="Q199" s="18" t="s">
        <v>899</v>
      </c>
      <c r="R199" s="18" t="e">
        <f>VLOOKUP('전체 통계'!$Q199,'하삼주(250918)'!$A$2:$D$315,3, FALSE)</f>
        <v>#N/A</v>
      </c>
      <c r="S199" s="18" t="e">
        <f>VLOOKUP('전체 통계'!$Q199,'하삼주 (250929)'!$A$2:$D$318,3, FALSE)</f>
        <v>#N/A</v>
      </c>
      <c r="T199" s="18" t="e">
        <f>VLOOKUP('전체 통계'!$Q199,'하삼주 (251006)'!$A$2:$D$313,3, FALSE)</f>
        <v>#N/A</v>
      </c>
      <c r="U199" t="s">
        <v>911</v>
      </c>
      <c r="V199">
        <v>197</v>
      </c>
      <c r="W199">
        <v>363937</v>
      </c>
    </row>
    <row r="200" spans="16:23" x14ac:dyDescent="0.3">
      <c r="P200">
        <v>198</v>
      </c>
      <c r="Q200" s="18" t="s">
        <v>900</v>
      </c>
      <c r="R200" s="18" t="e">
        <f>VLOOKUP('전체 통계'!$Q200,'하삼주(250918)'!$A$2:$D$315,3, FALSE)</f>
        <v>#N/A</v>
      </c>
      <c r="S200" s="18" t="e">
        <f>VLOOKUP('전체 통계'!$Q200,'하삼주 (250929)'!$A$2:$D$318,3, FALSE)</f>
        <v>#N/A</v>
      </c>
      <c r="T200" s="18" t="e">
        <f>VLOOKUP('전체 통계'!$Q200,'하삼주 (251006)'!$A$2:$D$313,3, FALSE)</f>
        <v>#N/A</v>
      </c>
      <c r="U200" t="s">
        <v>912</v>
      </c>
      <c r="V200">
        <v>198</v>
      </c>
      <c r="W200">
        <v>241102</v>
      </c>
    </row>
    <row r="201" spans="16:23" x14ac:dyDescent="0.3">
      <c r="P201">
        <v>199</v>
      </c>
      <c r="Q201" s="18" t="s">
        <v>901</v>
      </c>
      <c r="R201" s="18" t="e">
        <f>VLOOKUP('전체 통계'!$Q201,'하삼주(250918)'!$A$2:$D$315,3, FALSE)</f>
        <v>#N/A</v>
      </c>
      <c r="S201" s="18" t="e">
        <f>VLOOKUP('전체 통계'!$Q201,'하삼주 (250929)'!$A$2:$D$318,3, FALSE)</f>
        <v>#N/A</v>
      </c>
      <c r="T201" s="18" t="e">
        <f>VLOOKUP('전체 통계'!$Q201,'하삼주 (251006)'!$A$2:$D$313,3, FALSE)</f>
        <v>#N/A</v>
      </c>
      <c r="U201" t="s">
        <v>912</v>
      </c>
      <c r="V201">
        <v>199</v>
      </c>
      <c r="W201">
        <v>224029</v>
      </c>
    </row>
    <row r="202" spans="16:23" x14ac:dyDescent="0.3">
      <c r="P202">
        <v>200</v>
      </c>
    </row>
    <row r="203" spans="16:23" x14ac:dyDescent="0.3">
      <c r="P203">
        <v>201</v>
      </c>
      <c r="V203" t="s">
        <v>918</v>
      </c>
      <c r="W203">
        <v>1</v>
      </c>
    </row>
    <row r="204" spans="16:23" x14ac:dyDescent="0.3">
      <c r="V204" t="s">
        <v>916</v>
      </c>
      <c r="W204">
        <v>3</v>
      </c>
    </row>
    <row r="205" spans="16:23" x14ac:dyDescent="0.3">
      <c r="V205" t="s">
        <v>912</v>
      </c>
      <c r="W205">
        <v>5</v>
      </c>
    </row>
    <row r="206" spans="16:23" x14ac:dyDescent="0.3">
      <c r="V206" t="s">
        <v>917</v>
      </c>
      <c r="W206">
        <v>3</v>
      </c>
    </row>
    <row r="207" spans="16:23" x14ac:dyDescent="0.3">
      <c r="V207" t="s">
        <v>913</v>
      </c>
      <c r="W207">
        <v>13</v>
      </c>
    </row>
    <row r="208" spans="16:23" x14ac:dyDescent="0.3">
      <c r="V208" t="s">
        <v>920</v>
      </c>
      <c r="W208">
        <v>4</v>
      </c>
    </row>
    <row r="209" spans="22:23" x14ac:dyDescent="0.3">
      <c r="V209" t="s">
        <v>911</v>
      </c>
      <c r="W209">
        <v>5</v>
      </c>
    </row>
    <row r="210" spans="22:23" x14ac:dyDescent="0.3">
      <c r="V210" t="s">
        <v>914</v>
      </c>
      <c r="W210">
        <v>9</v>
      </c>
    </row>
    <row r="211" spans="22:23" x14ac:dyDescent="0.3">
      <c r="V211" t="s">
        <v>700</v>
      </c>
      <c r="W211">
        <v>3</v>
      </c>
    </row>
    <row r="212" spans="22:23" x14ac:dyDescent="0.3">
      <c r="V212" t="s">
        <v>915</v>
      </c>
      <c r="W212">
        <v>8</v>
      </c>
    </row>
  </sheetData>
  <autoFilter ref="P2:W212" xr:uid="{161056D8-32CA-4D94-8912-FA7DF6A6D4E6}">
    <sortState xmlns:xlrd2="http://schemas.microsoft.com/office/spreadsheetml/2017/richdata2" ref="P3:W212">
      <sortCondition ref="T2:T212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928C-8D2A-4407-BB5E-A21456438A4C}">
  <dimension ref="A1:Q613"/>
  <sheetViews>
    <sheetView topLeftCell="A174" workbookViewId="0">
      <selection activeCell="G541" sqref="G541"/>
    </sheetView>
  </sheetViews>
  <sheetFormatPr defaultRowHeight="16.5" x14ac:dyDescent="0.3"/>
  <cols>
    <col min="2" max="2" width="13" bestFit="1" customWidth="1"/>
  </cols>
  <sheetData>
    <row r="1" spans="1:17" x14ac:dyDescent="0.3">
      <c r="D1" s="6" t="s">
        <v>692</v>
      </c>
      <c r="E1" s="8" t="s">
        <v>695</v>
      </c>
      <c r="F1" s="8" t="s">
        <v>696</v>
      </c>
      <c r="G1" s="8" t="s">
        <v>697</v>
      </c>
      <c r="H1" s="8" t="s">
        <v>698</v>
      </c>
      <c r="I1" s="8" t="s">
        <v>699</v>
      </c>
    </row>
    <row r="2" spans="1:17" x14ac:dyDescent="0.3">
      <c r="D2" s="5" t="s">
        <v>5</v>
      </c>
      <c r="E2" s="5">
        <f>COUNTIF($C$14:$C$613,$D2)</f>
        <v>191</v>
      </c>
      <c r="F2" s="5">
        <f>COUNTIF($C$14:$C$413,$D2)</f>
        <v>165</v>
      </c>
      <c r="G2" s="5">
        <f>COUNTIF($C$14:$C$213,$D2)</f>
        <v>117</v>
      </c>
      <c r="H2" s="5">
        <f>COUNTIF($C$14:$C$113,$D2)</f>
        <v>74</v>
      </c>
      <c r="I2" s="5">
        <f>COUNTIF($C$14:$C$63,$D2)</f>
        <v>41</v>
      </c>
      <c r="O2" t="s">
        <v>656</v>
      </c>
      <c r="P2" t="s">
        <v>655</v>
      </c>
      <c r="Q2" t="s">
        <v>657</v>
      </c>
    </row>
    <row r="3" spans="1:17" x14ac:dyDescent="0.3">
      <c r="D3" s="5" t="s">
        <v>45</v>
      </c>
      <c r="E3" s="5">
        <f t="shared" ref="E3:E11" si="0">COUNTIF($C$14:$C$613,$D3)</f>
        <v>77</v>
      </c>
      <c r="F3" s="5">
        <f t="shared" ref="F3:F11" si="1">COUNTIF($C$14:$C$413,$D3)</f>
        <v>34</v>
      </c>
      <c r="G3" s="5">
        <f t="shared" ref="G3:G11" si="2">COUNTIF($C$14:$C$213,$D3)</f>
        <v>7</v>
      </c>
      <c r="H3" s="5">
        <f t="shared" ref="H3:H11" si="3">COUNTIF($C$14:$C$113,$D3)</f>
        <v>2</v>
      </c>
      <c r="I3" s="5">
        <f t="shared" ref="I3:I11" si="4">COUNTIF($C$14:$C$63,$D3)</f>
        <v>0</v>
      </c>
      <c r="O3" t="s">
        <v>495</v>
      </c>
      <c r="P3" t="s">
        <v>495</v>
      </c>
      <c r="Q3" t="s">
        <v>496</v>
      </c>
    </row>
    <row r="4" spans="1:17" x14ac:dyDescent="0.3">
      <c r="D4" s="5" t="s">
        <v>245</v>
      </c>
      <c r="E4" s="5">
        <f t="shared" si="0"/>
        <v>12</v>
      </c>
      <c r="F4" s="5">
        <f t="shared" si="1"/>
        <v>1</v>
      </c>
      <c r="G4" s="5">
        <f t="shared" si="2"/>
        <v>0</v>
      </c>
      <c r="H4" s="5">
        <f t="shared" si="3"/>
        <v>0</v>
      </c>
      <c r="I4" s="5">
        <f t="shared" si="4"/>
        <v>0</v>
      </c>
      <c r="O4" t="s">
        <v>493</v>
      </c>
      <c r="P4" t="s">
        <v>625</v>
      </c>
      <c r="Q4" s="2" t="s">
        <v>494</v>
      </c>
    </row>
    <row r="5" spans="1:17" x14ac:dyDescent="0.3">
      <c r="D5" s="5" t="s">
        <v>662</v>
      </c>
      <c r="E5" s="5">
        <f t="shared" si="0"/>
        <v>0</v>
      </c>
      <c r="F5" s="5">
        <f t="shared" si="1"/>
        <v>0</v>
      </c>
      <c r="G5" s="5">
        <f t="shared" si="2"/>
        <v>0</v>
      </c>
      <c r="H5" s="5">
        <f t="shared" si="3"/>
        <v>0</v>
      </c>
      <c r="I5" s="5">
        <f t="shared" si="4"/>
        <v>0</v>
      </c>
      <c r="O5" t="s">
        <v>497</v>
      </c>
      <c r="P5" s="7" t="s">
        <v>626</v>
      </c>
      <c r="Q5" s="4" t="s">
        <v>539</v>
      </c>
    </row>
    <row r="6" spans="1:17" x14ac:dyDescent="0.3">
      <c r="D6" s="9" t="s">
        <v>694</v>
      </c>
      <c r="E6" s="9">
        <f>SUM(E2:E5)</f>
        <v>280</v>
      </c>
      <c r="F6" s="9">
        <f t="shared" ref="F6:I6" si="5">SUM(F2:F5)</f>
        <v>200</v>
      </c>
      <c r="G6" s="9">
        <f t="shared" si="5"/>
        <v>124</v>
      </c>
      <c r="H6" s="9">
        <f t="shared" si="5"/>
        <v>76</v>
      </c>
      <c r="I6" s="9">
        <f t="shared" si="5"/>
        <v>41</v>
      </c>
      <c r="O6" t="s">
        <v>498</v>
      </c>
      <c r="P6" t="s">
        <v>498</v>
      </c>
      <c r="Q6" s="3" t="s">
        <v>499</v>
      </c>
    </row>
    <row r="7" spans="1:17" x14ac:dyDescent="0.3">
      <c r="D7" s="6" t="s">
        <v>693</v>
      </c>
      <c r="E7" s="8" t="s">
        <v>695</v>
      </c>
      <c r="F7" s="8" t="s">
        <v>696</v>
      </c>
      <c r="G7" s="8" t="s">
        <v>697</v>
      </c>
      <c r="H7" s="8" t="s">
        <v>698</v>
      </c>
      <c r="I7" s="8" t="s">
        <v>699</v>
      </c>
      <c r="O7" t="s">
        <v>500</v>
      </c>
      <c r="P7" t="s">
        <v>500</v>
      </c>
      <c r="Q7" s="3" t="s">
        <v>501</v>
      </c>
    </row>
    <row r="8" spans="1:17" x14ac:dyDescent="0.3">
      <c r="D8" s="5" t="s">
        <v>10</v>
      </c>
      <c r="E8" s="5">
        <f t="shared" si="0"/>
        <v>155</v>
      </c>
      <c r="F8" s="5">
        <f t="shared" si="1"/>
        <v>113</v>
      </c>
      <c r="G8" s="5">
        <f t="shared" si="2"/>
        <v>52</v>
      </c>
      <c r="H8" s="5">
        <f t="shared" si="3"/>
        <v>21</v>
      </c>
      <c r="I8" s="5">
        <f t="shared" si="4"/>
        <v>9</v>
      </c>
      <c r="O8" t="s">
        <v>490</v>
      </c>
      <c r="P8" s="7" t="s">
        <v>627</v>
      </c>
      <c r="Q8" s="4" t="s">
        <v>491</v>
      </c>
    </row>
    <row r="9" spans="1:17" x14ac:dyDescent="0.3">
      <c r="D9" s="5" t="s">
        <v>50</v>
      </c>
      <c r="E9" s="5">
        <f t="shared" si="0"/>
        <v>115</v>
      </c>
      <c r="F9" s="5">
        <f t="shared" si="1"/>
        <v>70</v>
      </c>
      <c r="G9" s="5">
        <f t="shared" si="2"/>
        <v>23</v>
      </c>
      <c r="H9" s="5">
        <f t="shared" si="3"/>
        <v>3</v>
      </c>
      <c r="I9" s="5">
        <f t="shared" si="4"/>
        <v>0</v>
      </c>
      <c r="O9" t="s">
        <v>492</v>
      </c>
      <c r="P9" s="7" t="s">
        <v>628</v>
      </c>
      <c r="Q9" s="4" t="s">
        <v>597</v>
      </c>
    </row>
    <row r="10" spans="1:17" x14ac:dyDescent="0.3">
      <c r="D10" s="5" t="s">
        <v>152</v>
      </c>
      <c r="E10" s="5">
        <f t="shared" si="0"/>
        <v>44</v>
      </c>
      <c r="F10" s="5">
        <f t="shared" si="1"/>
        <v>15</v>
      </c>
      <c r="G10" s="5">
        <f t="shared" si="2"/>
        <v>1</v>
      </c>
      <c r="H10" s="5">
        <f t="shared" si="3"/>
        <v>0</v>
      </c>
      <c r="I10" s="5">
        <f t="shared" si="4"/>
        <v>0</v>
      </c>
    </row>
    <row r="11" spans="1:17" x14ac:dyDescent="0.3">
      <c r="D11" s="5" t="s">
        <v>264</v>
      </c>
      <c r="E11" s="5">
        <f t="shared" si="0"/>
        <v>5</v>
      </c>
      <c r="F11" s="5">
        <f t="shared" si="1"/>
        <v>2</v>
      </c>
      <c r="G11" s="5">
        <f t="shared" si="2"/>
        <v>0</v>
      </c>
      <c r="H11" s="5">
        <f t="shared" si="3"/>
        <v>0</v>
      </c>
      <c r="I11" s="5">
        <f t="shared" si="4"/>
        <v>0</v>
      </c>
    </row>
    <row r="12" spans="1:17" x14ac:dyDescent="0.3">
      <c r="D12" s="9" t="s">
        <v>694</v>
      </c>
      <c r="E12" s="9">
        <f>SUM(E8:E11)</f>
        <v>319</v>
      </c>
      <c r="F12" s="9">
        <f t="shared" ref="F12:I12" si="6">SUM(F8:F11)</f>
        <v>200</v>
      </c>
      <c r="G12" s="9">
        <f t="shared" si="6"/>
        <v>76</v>
      </c>
      <c r="H12" s="9">
        <f t="shared" si="6"/>
        <v>24</v>
      </c>
      <c r="I12" s="9">
        <f t="shared" si="6"/>
        <v>9</v>
      </c>
    </row>
    <row r="13" spans="1:17" x14ac:dyDescent="0.3">
      <c r="A13" t="s">
        <v>1</v>
      </c>
      <c r="B13" t="s">
        <v>2</v>
      </c>
      <c r="C13" t="s">
        <v>3</v>
      </c>
    </row>
    <row r="14" spans="1:17" x14ac:dyDescent="0.3">
      <c r="A14">
        <v>1</v>
      </c>
      <c r="B14" t="s">
        <v>4</v>
      </c>
      <c r="C14" s="1" t="s">
        <v>5</v>
      </c>
    </row>
    <row r="15" spans="1:17" x14ac:dyDescent="0.3">
      <c r="A15">
        <v>2</v>
      </c>
      <c r="B15" t="s">
        <v>0</v>
      </c>
      <c r="C15" t="s">
        <v>5</v>
      </c>
      <c r="F15" s="2"/>
    </row>
    <row r="16" spans="1:17" x14ac:dyDescent="0.3">
      <c r="A16">
        <v>3</v>
      </c>
      <c r="B16" t="s">
        <v>606</v>
      </c>
      <c r="C16" t="s">
        <v>5</v>
      </c>
      <c r="F16" s="4"/>
    </row>
    <row r="17" spans="1:6" x14ac:dyDescent="0.3">
      <c r="A17">
        <v>4</v>
      </c>
      <c r="B17" t="s">
        <v>6</v>
      </c>
      <c r="C17" t="s">
        <v>5</v>
      </c>
      <c r="F17" s="3"/>
    </row>
    <row r="18" spans="1:6" x14ac:dyDescent="0.3">
      <c r="A18">
        <v>5</v>
      </c>
      <c r="B18" t="s">
        <v>7</v>
      </c>
      <c r="C18" t="s">
        <v>5</v>
      </c>
      <c r="F18" s="3"/>
    </row>
    <row r="19" spans="1:6" x14ac:dyDescent="0.3">
      <c r="A19">
        <v>6</v>
      </c>
      <c r="B19" t="s">
        <v>8</v>
      </c>
      <c r="C19" t="s">
        <v>5</v>
      </c>
      <c r="F19" s="4"/>
    </row>
    <row r="20" spans="1:6" x14ac:dyDescent="0.3">
      <c r="A20">
        <v>7</v>
      </c>
      <c r="B20" t="s">
        <v>9</v>
      </c>
      <c r="C20" t="s">
        <v>10</v>
      </c>
      <c r="F20" s="4"/>
    </row>
    <row r="21" spans="1:6" x14ac:dyDescent="0.3">
      <c r="A21">
        <v>8</v>
      </c>
      <c r="B21" t="s">
        <v>11</v>
      </c>
      <c r="C21" t="s">
        <v>5</v>
      </c>
    </row>
    <row r="22" spans="1:6" x14ac:dyDescent="0.3">
      <c r="A22">
        <v>9</v>
      </c>
      <c r="B22" t="s">
        <v>12</v>
      </c>
      <c r="C22" t="s">
        <v>5</v>
      </c>
    </row>
    <row r="23" spans="1:6" x14ac:dyDescent="0.3">
      <c r="A23">
        <v>10</v>
      </c>
      <c r="B23" t="s">
        <v>13</v>
      </c>
      <c r="C23" t="s">
        <v>5</v>
      </c>
    </row>
    <row r="24" spans="1:6" x14ac:dyDescent="0.3">
      <c r="A24">
        <v>11</v>
      </c>
      <c r="B24" t="s">
        <v>607</v>
      </c>
      <c r="C24" t="s">
        <v>10</v>
      </c>
    </row>
    <row r="25" spans="1:6" x14ac:dyDescent="0.3">
      <c r="A25">
        <v>12</v>
      </c>
      <c r="B25" t="s">
        <v>14</v>
      </c>
      <c r="C25" t="s">
        <v>10</v>
      </c>
    </row>
    <row r="26" spans="1:6" x14ac:dyDescent="0.3">
      <c r="A26">
        <v>13</v>
      </c>
      <c r="B26" t="s">
        <v>15</v>
      </c>
      <c r="C26" t="s">
        <v>5</v>
      </c>
    </row>
    <row r="27" spans="1:6" x14ac:dyDescent="0.3">
      <c r="A27">
        <v>14</v>
      </c>
      <c r="B27" t="s">
        <v>608</v>
      </c>
      <c r="C27" t="s">
        <v>5</v>
      </c>
    </row>
    <row r="28" spans="1:6" x14ac:dyDescent="0.3">
      <c r="A28">
        <v>15</v>
      </c>
      <c r="B28" t="s">
        <v>16</v>
      </c>
      <c r="C28" t="s">
        <v>5</v>
      </c>
    </row>
    <row r="29" spans="1:6" x14ac:dyDescent="0.3">
      <c r="A29">
        <v>16</v>
      </c>
      <c r="B29" t="s">
        <v>502</v>
      </c>
      <c r="C29" t="s">
        <v>5</v>
      </c>
    </row>
    <row r="30" spans="1:6" x14ac:dyDescent="0.3">
      <c r="A30">
        <v>17</v>
      </c>
      <c r="B30" t="s">
        <v>17</v>
      </c>
      <c r="C30" t="s">
        <v>5</v>
      </c>
    </row>
    <row r="31" spans="1:6" x14ac:dyDescent="0.3">
      <c r="A31">
        <v>18</v>
      </c>
      <c r="B31" t="s">
        <v>18</v>
      </c>
      <c r="C31" t="s">
        <v>5</v>
      </c>
    </row>
    <row r="32" spans="1:6" x14ac:dyDescent="0.3">
      <c r="A32">
        <v>19</v>
      </c>
      <c r="B32" t="s">
        <v>19</v>
      </c>
      <c r="C32" t="s">
        <v>5</v>
      </c>
    </row>
    <row r="33" spans="1:3" x14ac:dyDescent="0.3">
      <c r="A33">
        <v>20</v>
      </c>
      <c r="B33" t="s">
        <v>20</v>
      </c>
      <c r="C33" t="s">
        <v>5</v>
      </c>
    </row>
    <row r="34" spans="1:3" x14ac:dyDescent="0.3">
      <c r="A34">
        <v>21</v>
      </c>
      <c r="B34" t="s">
        <v>598</v>
      </c>
      <c r="C34" t="s">
        <v>10</v>
      </c>
    </row>
    <row r="35" spans="1:3" x14ac:dyDescent="0.3">
      <c r="A35">
        <v>22</v>
      </c>
      <c r="B35" t="s">
        <v>21</v>
      </c>
      <c r="C35" t="s">
        <v>10</v>
      </c>
    </row>
    <row r="36" spans="1:3" x14ac:dyDescent="0.3">
      <c r="A36">
        <v>23</v>
      </c>
      <c r="B36" t="s">
        <v>22</v>
      </c>
      <c r="C36" t="s">
        <v>5</v>
      </c>
    </row>
    <row r="37" spans="1:3" x14ac:dyDescent="0.3">
      <c r="A37">
        <v>24</v>
      </c>
      <c r="B37" t="s">
        <v>51</v>
      </c>
      <c r="C37" t="s">
        <v>5</v>
      </c>
    </row>
    <row r="38" spans="1:3" x14ac:dyDescent="0.3">
      <c r="A38">
        <v>25</v>
      </c>
      <c r="B38" t="s">
        <v>23</v>
      </c>
      <c r="C38" t="s">
        <v>5</v>
      </c>
    </row>
    <row r="39" spans="1:3" x14ac:dyDescent="0.3">
      <c r="A39">
        <v>26</v>
      </c>
      <c r="B39" t="s">
        <v>24</v>
      </c>
      <c r="C39" t="s">
        <v>5</v>
      </c>
    </row>
    <row r="40" spans="1:3" x14ac:dyDescent="0.3">
      <c r="A40">
        <v>27</v>
      </c>
      <c r="B40" t="s">
        <v>524</v>
      </c>
      <c r="C40" t="s">
        <v>5</v>
      </c>
    </row>
    <row r="41" spans="1:3" x14ac:dyDescent="0.3">
      <c r="A41">
        <v>28</v>
      </c>
      <c r="B41" t="s">
        <v>503</v>
      </c>
      <c r="C41" t="s">
        <v>5</v>
      </c>
    </row>
    <row r="42" spans="1:3" x14ac:dyDescent="0.3">
      <c r="A42">
        <v>29</v>
      </c>
      <c r="B42" t="s">
        <v>25</v>
      </c>
      <c r="C42" t="s">
        <v>5</v>
      </c>
    </row>
    <row r="43" spans="1:3" x14ac:dyDescent="0.3">
      <c r="A43">
        <v>30</v>
      </c>
      <c r="B43" t="s">
        <v>26</v>
      </c>
      <c r="C43" t="s">
        <v>10</v>
      </c>
    </row>
    <row r="44" spans="1:3" x14ac:dyDescent="0.3">
      <c r="A44">
        <v>31</v>
      </c>
      <c r="B44" t="s">
        <v>609</v>
      </c>
      <c r="C44" t="s">
        <v>5</v>
      </c>
    </row>
    <row r="45" spans="1:3" x14ac:dyDescent="0.3">
      <c r="A45">
        <v>32</v>
      </c>
      <c r="B45" t="s">
        <v>504</v>
      </c>
      <c r="C45" t="s">
        <v>5</v>
      </c>
    </row>
    <row r="46" spans="1:3" x14ac:dyDescent="0.3">
      <c r="A46">
        <v>33</v>
      </c>
      <c r="B46" t="s">
        <v>27</v>
      </c>
      <c r="C46" t="s">
        <v>5</v>
      </c>
    </row>
    <row r="47" spans="1:3" x14ac:dyDescent="0.3">
      <c r="A47">
        <v>34</v>
      </c>
      <c r="B47" t="s">
        <v>28</v>
      </c>
      <c r="C47" t="s">
        <v>5</v>
      </c>
    </row>
    <row r="48" spans="1:3" x14ac:dyDescent="0.3">
      <c r="A48">
        <v>35</v>
      </c>
      <c r="B48" t="s">
        <v>610</v>
      </c>
      <c r="C48" t="s">
        <v>10</v>
      </c>
    </row>
    <row r="49" spans="1:3" x14ac:dyDescent="0.3">
      <c r="A49">
        <v>36</v>
      </c>
      <c r="B49" t="s">
        <v>525</v>
      </c>
      <c r="C49" t="s">
        <v>5</v>
      </c>
    </row>
    <row r="50" spans="1:3" x14ac:dyDescent="0.3">
      <c r="A50">
        <v>37</v>
      </c>
      <c r="B50" t="s">
        <v>611</v>
      </c>
      <c r="C50" t="s">
        <v>5</v>
      </c>
    </row>
    <row r="51" spans="1:3" x14ac:dyDescent="0.3">
      <c r="A51">
        <v>38</v>
      </c>
      <c r="B51" t="s">
        <v>29</v>
      </c>
      <c r="C51" t="s">
        <v>5</v>
      </c>
    </row>
    <row r="52" spans="1:3" x14ac:dyDescent="0.3">
      <c r="A52">
        <v>39</v>
      </c>
      <c r="B52" t="s">
        <v>30</v>
      </c>
      <c r="C52" t="s">
        <v>5</v>
      </c>
    </row>
    <row r="53" spans="1:3" x14ac:dyDescent="0.3">
      <c r="A53">
        <v>40</v>
      </c>
      <c r="B53" t="s">
        <v>31</v>
      </c>
      <c r="C53" t="s">
        <v>5</v>
      </c>
    </row>
    <row r="54" spans="1:3" x14ac:dyDescent="0.3">
      <c r="A54">
        <v>41</v>
      </c>
      <c r="B54" t="s">
        <v>612</v>
      </c>
      <c r="C54" t="s">
        <v>5</v>
      </c>
    </row>
    <row r="55" spans="1:3" x14ac:dyDescent="0.3">
      <c r="A55">
        <v>42</v>
      </c>
      <c r="B55" t="s">
        <v>32</v>
      </c>
      <c r="C55" t="s">
        <v>5</v>
      </c>
    </row>
    <row r="56" spans="1:3" x14ac:dyDescent="0.3">
      <c r="A56">
        <v>43</v>
      </c>
      <c r="B56" t="s">
        <v>33</v>
      </c>
      <c r="C56" t="s">
        <v>5</v>
      </c>
    </row>
    <row r="57" spans="1:3" x14ac:dyDescent="0.3">
      <c r="A57">
        <v>44</v>
      </c>
      <c r="B57" t="s">
        <v>34</v>
      </c>
      <c r="C57" t="s">
        <v>10</v>
      </c>
    </row>
    <row r="58" spans="1:3" x14ac:dyDescent="0.3">
      <c r="A58">
        <v>45</v>
      </c>
      <c r="B58" t="s">
        <v>52</v>
      </c>
      <c r="C58" t="s">
        <v>5</v>
      </c>
    </row>
    <row r="59" spans="1:3" x14ac:dyDescent="0.3">
      <c r="A59">
        <v>46</v>
      </c>
      <c r="B59" t="s">
        <v>526</v>
      </c>
      <c r="C59" t="s">
        <v>5</v>
      </c>
    </row>
    <row r="60" spans="1:3" x14ac:dyDescent="0.3">
      <c r="A60">
        <v>47</v>
      </c>
      <c r="B60" t="s">
        <v>613</v>
      </c>
      <c r="C60" t="s">
        <v>10</v>
      </c>
    </row>
    <row r="61" spans="1:3" x14ac:dyDescent="0.3">
      <c r="A61">
        <v>48</v>
      </c>
      <c r="B61" t="s">
        <v>35</v>
      </c>
      <c r="C61" t="s">
        <v>5</v>
      </c>
    </row>
    <row r="62" spans="1:3" x14ac:dyDescent="0.3">
      <c r="A62">
        <v>49</v>
      </c>
      <c r="B62" t="s">
        <v>527</v>
      </c>
      <c r="C62" t="s">
        <v>5</v>
      </c>
    </row>
    <row r="63" spans="1:3" x14ac:dyDescent="0.3">
      <c r="A63">
        <v>50</v>
      </c>
      <c r="B63" t="s">
        <v>505</v>
      </c>
      <c r="C63" t="s">
        <v>5</v>
      </c>
    </row>
    <row r="64" spans="1:3" x14ac:dyDescent="0.3">
      <c r="A64">
        <v>51</v>
      </c>
      <c r="B64" t="s">
        <v>506</v>
      </c>
      <c r="C64" t="s">
        <v>5</v>
      </c>
    </row>
    <row r="65" spans="1:3" x14ac:dyDescent="0.3">
      <c r="A65">
        <v>52</v>
      </c>
      <c r="B65" t="s">
        <v>620</v>
      </c>
      <c r="C65" t="s">
        <v>5</v>
      </c>
    </row>
    <row r="66" spans="1:3" x14ac:dyDescent="0.3">
      <c r="A66">
        <v>53</v>
      </c>
      <c r="B66" t="s">
        <v>53</v>
      </c>
      <c r="C66" t="s">
        <v>5</v>
      </c>
    </row>
    <row r="67" spans="1:3" x14ac:dyDescent="0.3">
      <c r="A67">
        <v>54</v>
      </c>
      <c r="B67" t="s">
        <v>621</v>
      </c>
      <c r="C67" t="s">
        <v>5</v>
      </c>
    </row>
    <row r="68" spans="1:3" x14ac:dyDescent="0.3">
      <c r="A68">
        <v>55</v>
      </c>
      <c r="B68" t="s">
        <v>36</v>
      </c>
      <c r="C68" t="s">
        <v>10</v>
      </c>
    </row>
    <row r="69" spans="1:3" x14ac:dyDescent="0.3">
      <c r="A69">
        <v>56</v>
      </c>
      <c r="B69" t="s">
        <v>37</v>
      </c>
      <c r="C69" t="s">
        <v>5</v>
      </c>
    </row>
    <row r="70" spans="1:3" x14ac:dyDescent="0.3">
      <c r="A70">
        <v>57</v>
      </c>
      <c r="B70" t="s">
        <v>528</v>
      </c>
      <c r="C70" t="s">
        <v>5</v>
      </c>
    </row>
    <row r="71" spans="1:3" x14ac:dyDescent="0.3">
      <c r="A71">
        <v>58</v>
      </c>
      <c r="B71" t="s">
        <v>83</v>
      </c>
      <c r="C71" t="s">
        <v>5</v>
      </c>
    </row>
    <row r="72" spans="1:3" x14ac:dyDescent="0.3">
      <c r="A72">
        <v>59</v>
      </c>
      <c r="B72" t="s">
        <v>38</v>
      </c>
      <c r="C72" t="s">
        <v>10</v>
      </c>
    </row>
    <row r="73" spans="1:3" x14ac:dyDescent="0.3">
      <c r="A73">
        <v>60</v>
      </c>
      <c r="B73" t="s">
        <v>39</v>
      </c>
      <c r="C73" t="s">
        <v>5</v>
      </c>
    </row>
    <row r="74" spans="1:3" x14ac:dyDescent="0.3">
      <c r="A74">
        <v>61</v>
      </c>
      <c r="B74" t="s">
        <v>40</v>
      </c>
      <c r="C74" t="s">
        <v>10</v>
      </c>
    </row>
    <row r="75" spans="1:3" x14ac:dyDescent="0.3">
      <c r="A75">
        <v>62</v>
      </c>
      <c r="B75" t="s">
        <v>41</v>
      </c>
      <c r="C75" t="s">
        <v>10</v>
      </c>
    </row>
    <row r="76" spans="1:3" x14ac:dyDescent="0.3">
      <c r="A76">
        <v>63</v>
      </c>
      <c r="B76" t="s">
        <v>42</v>
      </c>
      <c r="C76" t="s">
        <v>5</v>
      </c>
    </row>
    <row r="77" spans="1:3" x14ac:dyDescent="0.3">
      <c r="A77">
        <v>64</v>
      </c>
      <c r="B77" t="s">
        <v>43</v>
      </c>
      <c r="C77" t="s">
        <v>5</v>
      </c>
    </row>
    <row r="78" spans="1:3" x14ac:dyDescent="0.3">
      <c r="A78">
        <v>65</v>
      </c>
      <c r="B78" t="s">
        <v>44</v>
      </c>
      <c r="C78" t="s">
        <v>45</v>
      </c>
    </row>
    <row r="79" spans="1:3" x14ac:dyDescent="0.3">
      <c r="A79">
        <v>66</v>
      </c>
      <c r="B79" t="s">
        <v>46</v>
      </c>
      <c r="C79" t="s">
        <v>5</v>
      </c>
    </row>
    <row r="80" spans="1:3" x14ac:dyDescent="0.3">
      <c r="A80">
        <v>67</v>
      </c>
      <c r="B80" t="s">
        <v>47</v>
      </c>
      <c r="C80" t="s">
        <v>10</v>
      </c>
    </row>
    <row r="81" spans="1:3" x14ac:dyDescent="0.3">
      <c r="A81">
        <v>68</v>
      </c>
      <c r="B81" t="s">
        <v>48</v>
      </c>
      <c r="C81" t="s">
        <v>10</v>
      </c>
    </row>
    <row r="82" spans="1:3" x14ac:dyDescent="0.3">
      <c r="A82">
        <v>69</v>
      </c>
      <c r="B82" t="s">
        <v>49</v>
      </c>
      <c r="C82" t="s">
        <v>5</v>
      </c>
    </row>
    <row r="83" spans="1:3" x14ac:dyDescent="0.3">
      <c r="A83">
        <v>70</v>
      </c>
      <c r="B83" t="s">
        <v>507</v>
      </c>
      <c r="C83" t="s">
        <v>5</v>
      </c>
    </row>
    <row r="84" spans="1:3" x14ac:dyDescent="0.3">
      <c r="A84">
        <v>71</v>
      </c>
      <c r="B84" t="s">
        <v>508</v>
      </c>
      <c r="C84" t="s">
        <v>5</v>
      </c>
    </row>
    <row r="85" spans="1:3" x14ac:dyDescent="0.3">
      <c r="A85">
        <v>72</v>
      </c>
      <c r="B85" t="s">
        <v>540</v>
      </c>
      <c r="C85" t="s">
        <v>50</v>
      </c>
    </row>
    <row r="86" spans="1:3" x14ac:dyDescent="0.3">
      <c r="A86">
        <v>73</v>
      </c>
      <c r="B86" t="s">
        <v>579</v>
      </c>
      <c r="C86" t="s">
        <v>45</v>
      </c>
    </row>
    <row r="87" spans="1:3" x14ac:dyDescent="0.3">
      <c r="A87">
        <v>74</v>
      </c>
      <c r="B87" t="s">
        <v>54</v>
      </c>
      <c r="C87" t="s">
        <v>5</v>
      </c>
    </row>
    <row r="88" spans="1:3" x14ac:dyDescent="0.3">
      <c r="A88">
        <v>75</v>
      </c>
      <c r="B88" t="s">
        <v>55</v>
      </c>
      <c r="C88" t="s">
        <v>5</v>
      </c>
    </row>
    <row r="89" spans="1:3" x14ac:dyDescent="0.3">
      <c r="A89">
        <v>76</v>
      </c>
      <c r="B89" t="s">
        <v>509</v>
      </c>
      <c r="C89" t="s">
        <v>5</v>
      </c>
    </row>
    <row r="90" spans="1:3" x14ac:dyDescent="0.3">
      <c r="A90">
        <v>77</v>
      </c>
      <c r="B90" t="s">
        <v>56</v>
      </c>
      <c r="C90" t="s">
        <v>5</v>
      </c>
    </row>
    <row r="91" spans="1:3" x14ac:dyDescent="0.3">
      <c r="A91">
        <v>78</v>
      </c>
      <c r="B91" t="s">
        <v>57</v>
      </c>
      <c r="C91" t="s">
        <v>5</v>
      </c>
    </row>
    <row r="92" spans="1:3" x14ac:dyDescent="0.3">
      <c r="A92">
        <v>79</v>
      </c>
      <c r="B92" t="s">
        <v>58</v>
      </c>
      <c r="C92" t="s">
        <v>10</v>
      </c>
    </row>
    <row r="93" spans="1:3" x14ac:dyDescent="0.3">
      <c r="A93">
        <v>80</v>
      </c>
      <c r="B93" t="s">
        <v>59</v>
      </c>
      <c r="C93" t="s">
        <v>5</v>
      </c>
    </row>
    <row r="94" spans="1:3" x14ac:dyDescent="0.3">
      <c r="A94">
        <v>81</v>
      </c>
      <c r="B94" t="s">
        <v>60</v>
      </c>
      <c r="C94" t="s">
        <v>5</v>
      </c>
    </row>
    <row r="95" spans="1:3" x14ac:dyDescent="0.3">
      <c r="A95">
        <v>82</v>
      </c>
      <c r="B95" t="s">
        <v>61</v>
      </c>
      <c r="C95" t="s">
        <v>10</v>
      </c>
    </row>
    <row r="96" spans="1:3" x14ac:dyDescent="0.3">
      <c r="A96">
        <v>83</v>
      </c>
      <c r="B96" t="s">
        <v>62</v>
      </c>
      <c r="C96" t="s">
        <v>5</v>
      </c>
    </row>
    <row r="97" spans="1:3" x14ac:dyDescent="0.3">
      <c r="A97">
        <v>84</v>
      </c>
      <c r="B97" t="s">
        <v>63</v>
      </c>
      <c r="C97" t="s">
        <v>5</v>
      </c>
    </row>
    <row r="98" spans="1:3" x14ac:dyDescent="0.3">
      <c r="A98">
        <v>85</v>
      </c>
      <c r="B98" t="s">
        <v>64</v>
      </c>
      <c r="C98" t="s">
        <v>10</v>
      </c>
    </row>
    <row r="99" spans="1:3" x14ac:dyDescent="0.3">
      <c r="A99">
        <v>86</v>
      </c>
      <c r="B99" t="s">
        <v>65</v>
      </c>
      <c r="C99" t="s">
        <v>5</v>
      </c>
    </row>
    <row r="100" spans="1:3" x14ac:dyDescent="0.3">
      <c r="A100">
        <v>87</v>
      </c>
      <c r="B100" t="s">
        <v>66</v>
      </c>
      <c r="C100" t="s">
        <v>10</v>
      </c>
    </row>
    <row r="101" spans="1:3" x14ac:dyDescent="0.3">
      <c r="A101">
        <v>88</v>
      </c>
      <c r="B101" t="s">
        <v>67</v>
      </c>
      <c r="C101" t="s">
        <v>5</v>
      </c>
    </row>
    <row r="102" spans="1:3" x14ac:dyDescent="0.3">
      <c r="A102">
        <v>89</v>
      </c>
      <c r="B102" t="s">
        <v>68</v>
      </c>
      <c r="C102" t="s">
        <v>5</v>
      </c>
    </row>
    <row r="103" spans="1:3" x14ac:dyDescent="0.3">
      <c r="A103">
        <v>90</v>
      </c>
      <c r="B103" t="s">
        <v>599</v>
      </c>
      <c r="C103" t="s">
        <v>10</v>
      </c>
    </row>
    <row r="104" spans="1:3" x14ac:dyDescent="0.3">
      <c r="A104">
        <v>91</v>
      </c>
      <c r="B104" t="s">
        <v>69</v>
      </c>
      <c r="C104" t="s">
        <v>5</v>
      </c>
    </row>
    <row r="105" spans="1:3" x14ac:dyDescent="0.3">
      <c r="A105">
        <v>92</v>
      </c>
      <c r="B105" t="s">
        <v>70</v>
      </c>
      <c r="C105" t="s">
        <v>10</v>
      </c>
    </row>
    <row r="106" spans="1:3" x14ac:dyDescent="0.3">
      <c r="A106">
        <v>93</v>
      </c>
      <c r="B106" t="s">
        <v>71</v>
      </c>
      <c r="C106" t="s">
        <v>5</v>
      </c>
    </row>
    <row r="107" spans="1:3" x14ac:dyDescent="0.3">
      <c r="A107">
        <v>94</v>
      </c>
      <c r="B107" t="s">
        <v>72</v>
      </c>
      <c r="C107" t="s">
        <v>50</v>
      </c>
    </row>
    <row r="108" spans="1:3" x14ac:dyDescent="0.3">
      <c r="A108">
        <v>95</v>
      </c>
      <c r="B108" t="s">
        <v>73</v>
      </c>
      <c r="C108" t="s">
        <v>5</v>
      </c>
    </row>
    <row r="109" spans="1:3" x14ac:dyDescent="0.3">
      <c r="A109">
        <v>96</v>
      </c>
      <c r="B109" t="s">
        <v>74</v>
      </c>
      <c r="C109" t="s">
        <v>5</v>
      </c>
    </row>
    <row r="110" spans="1:3" x14ac:dyDescent="0.3">
      <c r="A110">
        <v>97</v>
      </c>
      <c r="B110" t="s">
        <v>75</v>
      </c>
      <c r="C110" t="s">
        <v>5</v>
      </c>
    </row>
    <row r="111" spans="1:3" x14ac:dyDescent="0.3">
      <c r="A111">
        <v>98</v>
      </c>
      <c r="B111" t="s">
        <v>76</v>
      </c>
      <c r="C111" t="s">
        <v>5</v>
      </c>
    </row>
    <row r="112" spans="1:3" x14ac:dyDescent="0.3">
      <c r="A112">
        <v>99</v>
      </c>
      <c r="B112" t="s">
        <v>77</v>
      </c>
      <c r="C112" t="s">
        <v>50</v>
      </c>
    </row>
    <row r="113" spans="1:3" x14ac:dyDescent="0.3">
      <c r="A113">
        <v>100</v>
      </c>
      <c r="B113" t="s">
        <v>78</v>
      </c>
      <c r="C113" t="s">
        <v>5</v>
      </c>
    </row>
    <row r="114" spans="1:3" x14ac:dyDescent="0.3">
      <c r="A114">
        <v>101</v>
      </c>
      <c r="B114" t="s">
        <v>79</v>
      </c>
      <c r="C114" t="s">
        <v>5</v>
      </c>
    </row>
    <row r="115" spans="1:3" x14ac:dyDescent="0.3">
      <c r="A115">
        <v>102</v>
      </c>
      <c r="B115" t="s">
        <v>80</v>
      </c>
      <c r="C115" t="s">
        <v>50</v>
      </c>
    </row>
    <row r="116" spans="1:3" x14ac:dyDescent="0.3">
      <c r="A116">
        <v>103</v>
      </c>
      <c r="B116" t="s">
        <v>529</v>
      </c>
      <c r="C116" t="s">
        <v>5</v>
      </c>
    </row>
    <row r="117" spans="1:3" x14ac:dyDescent="0.3">
      <c r="A117">
        <v>104</v>
      </c>
      <c r="B117" t="s">
        <v>81</v>
      </c>
      <c r="C117" t="s">
        <v>5</v>
      </c>
    </row>
    <row r="118" spans="1:3" x14ac:dyDescent="0.3">
      <c r="A118">
        <v>105</v>
      </c>
      <c r="B118" t="s">
        <v>82</v>
      </c>
      <c r="C118" t="s">
        <v>5</v>
      </c>
    </row>
    <row r="119" spans="1:3" x14ac:dyDescent="0.3">
      <c r="A119">
        <v>106</v>
      </c>
      <c r="B119" t="s">
        <v>84</v>
      </c>
      <c r="C119" t="s">
        <v>5</v>
      </c>
    </row>
    <row r="120" spans="1:3" x14ac:dyDescent="0.3">
      <c r="A120">
        <v>107</v>
      </c>
      <c r="B120" t="s">
        <v>85</v>
      </c>
      <c r="C120" t="s">
        <v>5</v>
      </c>
    </row>
    <row r="121" spans="1:3" x14ac:dyDescent="0.3">
      <c r="A121">
        <v>108</v>
      </c>
      <c r="B121" t="s">
        <v>510</v>
      </c>
      <c r="C121" t="s">
        <v>5</v>
      </c>
    </row>
    <row r="122" spans="1:3" x14ac:dyDescent="0.3">
      <c r="A122">
        <v>109</v>
      </c>
      <c r="B122" t="s">
        <v>86</v>
      </c>
      <c r="C122" t="s">
        <v>5</v>
      </c>
    </row>
    <row r="123" spans="1:3" x14ac:dyDescent="0.3">
      <c r="A123">
        <v>110</v>
      </c>
      <c r="B123" t="s">
        <v>87</v>
      </c>
      <c r="C123" t="s">
        <v>5</v>
      </c>
    </row>
    <row r="124" spans="1:3" x14ac:dyDescent="0.3">
      <c r="A124">
        <v>111</v>
      </c>
      <c r="B124" t="s">
        <v>88</v>
      </c>
      <c r="C124" t="s">
        <v>10</v>
      </c>
    </row>
    <row r="125" spans="1:3" x14ac:dyDescent="0.3">
      <c r="A125">
        <v>112</v>
      </c>
      <c r="B125" t="s">
        <v>511</v>
      </c>
      <c r="C125" t="s">
        <v>5</v>
      </c>
    </row>
    <row r="126" spans="1:3" x14ac:dyDescent="0.3">
      <c r="A126">
        <v>113</v>
      </c>
      <c r="B126" t="s">
        <v>512</v>
      </c>
      <c r="C126" t="s">
        <v>5</v>
      </c>
    </row>
    <row r="127" spans="1:3" x14ac:dyDescent="0.3">
      <c r="A127">
        <v>114</v>
      </c>
      <c r="B127" t="s">
        <v>580</v>
      </c>
      <c r="C127" t="s">
        <v>45</v>
      </c>
    </row>
    <row r="128" spans="1:3" x14ac:dyDescent="0.3">
      <c r="A128">
        <v>115</v>
      </c>
      <c r="B128" t="s">
        <v>89</v>
      </c>
      <c r="C128" t="s">
        <v>10</v>
      </c>
    </row>
    <row r="129" spans="1:3" x14ac:dyDescent="0.3">
      <c r="A129">
        <v>116</v>
      </c>
      <c r="B129" t="s">
        <v>90</v>
      </c>
      <c r="C129" t="s">
        <v>5</v>
      </c>
    </row>
    <row r="130" spans="1:3" x14ac:dyDescent="0.3">
      <c r="A130">
        <v>117</v>
      </c>
      <c r="B130" t="s">
        <v>513</v>
      </c>
      <c r="C130" t="s">
        <v>5</v>
      </c>
    </row>
    <row r="131" spans="1:3" x14ac:dyDescent="0.3">
      <c r="A131">
        <v>118</v>
      </c>
      <c r="B131" t="s">
        <v>91</v>
      </c>
      <c r="C131" t="s">
        <v>45</v>
      </c>
    </row>
    <row r="132" spans="1:3" x14ac:dyDescent="0.3">
      <c r="A132">
        <v>119</v>
      </c>
      <c r="B132" t="s">
        <v>92</v>
      </c>
      <c r="C132" t="s">
        <v>5</v>
      </c>
    </row>
    <row r="133" spans="1:3" x14ac:dyDescent="0.3">
      <c r="A133">
        <v>120</v>
      </c>
      <c r="B133" t="s">
        <v>514</v>
      </c>
      <c r="C133" t="s">
        <v>5</v>
      </c>
    </row>
    <row r="134" spans="1:3" x14ac:dyDescent="0.3">
      <c r="A134">
        <v>121</v>
      </c>
      <c r="B134" t="s">
        <v>93</v>
      </c>
      <c r="C134" t="s">
        <v>5</v>
      </c>
    </row>
    <row r="135" spans="1:3" x14ac:dyDescent="0.3">
      <c r="A135">
        <v>122</v>
      </c>
      <c r="B135" t="s">
        <v>94</v>
      </c>
      <c r="C135" t="s">
        <v>5</v>
      </c>
    </row>
    <row r="136" spans="1:3" x14ac:dyDescent="0.3">
      <c r="A136">
        <v>123</v>
      </c>
      <c r="B136" t="s">
        <v>95</v>
      </c>
      <c r="C136" t="s">
        <v>10</v>
      </c>
    </row>
    <row r="137" spans="1:3" x14ac:dyDescent="0.3">
      <c r="A137">
        <v>124</v>
      </c>
      <c r="B137" t="s">
        <v>96</v>
      </c>
      <c r="C137" t="s">
        <v>5</v>
      </c>
    </row>
    <row r="138" spans="1:3" x14ac:dyDescent="0.3">
      <c r="A138">
        <v>125</v>
      </c>
      <c r="B138" t="s">
        <v>97</v>
      </c>
      <c r="C138" t="s">
        <v>5</v>
      </c>
    </row>
    <row r="139" spans="1:3" x14ac:dyDescent="0.3">
      <c r="A139">
        <v>126</v>
      </c>
      <c r="B139" t="s">
        <v>614</v>
      </c>
      <c r="C139" t="s">
        <v>10</v>
      </c>
    </row>
    <row r="140" spans="1:3" x14ac:dyDescent="0.3">
      <c r="A140">
        <v>127</v>
      </c>
      <c r="B140" t="s">
        <v>568</v>
      </c>
      <c r="C140" t="s">
        <v>50</v>
      </c>
    </row>
    <row r="141" spans="1:3" x14ac:dyDescent="0.3">
      <c r="A141">
        <v>128</v>
      </c>
      <c r="B141" t="s">
        <v>541</v>
      </c>
      <c r="C141" t="s">
        <v>50</v>
      </c>
    </row>
    <row r="142" spans="1:3" x14ac:dyDescent="0.3">
      <c r="A142">
        <v>129</v>
      </c>
      <c r="B142" t="s">
        <v>98</v>
      </c>
      <c r="C142" t="s">
        <v>50</v>
      </c>
    </row>
    <row r="143" spans="1:3" x14ac:dyDescent="0.3">
      <c r="A143">
        <v>130</v>
      </c>
      <c r="B143" t="s">
        <v>99</v>
      </c>
      <c r="C143" t="s">
        <v>5</v>
      </c>
    </row>
    <row r="144" spans="1:3" x14ac:dyDescent="0.3">
      <c r="A144">
        <v>131</v>
      </c>
      <c r="B144" t="s">
        <v>515</v>
      </c>
      <c r="C144" t="s">
        <v>5</v>
      </c>
    </row>
    <row r="145" spans="1:3" x14ac:dyDescent="0.3">
      <c r="A145">
        <v>132</v>
      </c>
      <c r="B145" t="s">
        <v>100</v>
      </c>
      <c r="C145" t="s">
        <v>10</v>
      </c>
    </row>
    <row r="146" spans="1:3" x14ac:dyDescent="0.3">
      <c r="A146">
        <v>133</v>
      </c>
      <c r="B146" t="s">
        <v>101</v>
      </c>
      <c r="C146" t="s">
        <v>10</v>
      </c>
    </row>
    <row r="147" spans="1:3" x14ac:dyDescent="0.3">
      <c r="A147">
        <v>134</v>
      </c>
      <c r="B147" t="s">
        <v>102</v>
      </c>
      <c r="C147" t="s">
        <v>10</v>
      </c>
    </row>
    <row r="148" spans="1:3" x14ac:dyDescent="0.3">
      <c r="A148">
        <v>135</v>
      </c>
      <c r="B148" t="s">
        <v>581</v>
      </c>
      <c r="C148" t="s">
        <v>45</v>
      </c>
    </row>
    <row r="149" spans="1:3" x14ac:dyDescent="0.3">
      <c r="A149">
        <v>136</v>
      </c>
      <c r="B149" t="s">
        <v>103</v>
      </c>
      <c r="C149" t="s">
        <v>50</v>
      </c>
    </row>
    <row r="150" spans="1:3" x14ac:dyDescent="0.3">
      <c r="A150">
        <v>137</v>
      </c>
      <c r="B150" t="s">
        <v>104</v>
      </c>
      <c r="C150" t="s">
        <v>10</v>
      </c>
    </row>
    <row r="151" spans="1:3" x14ac:dyDescent="0.3">
      <c r="A151">
        <v>138</v>
      </c>
      <c r="B151" t="s">
        <v>105</v>
      </c>
      <c r="C151" t="s">
        <v>5</v>
      </c>
    </row>
    <row r="152" spans="1:3" x14ac:dyDescent="0.3">
      <c r="A152">
        <v>139</v>
      </c>
      <c r="B152" t="s">
        <v>106</v>
      </c>
      <c r="C152" t="s">
        <v>5</v>
      </c>
    </row>
    <row r="153" spans="1:3" x14ac:dyDescent="0.3">
      <c r="A153">
        <v>140</v>
      </c>
      <c r="B153" t="s">
        <v>107</v>
      </c>
      <c r="C153" t="s">
        <v>5</v>
      </c>
    </row>
    <row r="154" spans="1:3" x14ac:dyDescent="0.3">
      <c r="A154">
        <v>141</v>
      </c>
      <c r="B154" t="s">
        <v>108</v>
      </c>
      <c r="C154" t="s">
        <v>5</v>
      </c>
    </row>
    <row r="155" spans="1:3" x14ac:dyDescent="0.3">
      <c r="A155">
        <v>142</v>
      </c>
      <c r="B155" t="s">
        <v>109</v>
      </c>
      <c r="C155" t="s">
        <v>50</v>
      </c>
    </row>
    <row r="156" spans="1:3" x14ac:dyDescent="0.3">
      <c r="A156">
        <v>143</v>
      </c>
      <c r="B156" t="s">
        <v>530</v>
      </c>
      <c r="C156" t="s">
        <v>5</v>
      </c>
    </row>
    <row r="157" spans="1:3" x14ac:dyDescent="0.3">
      <c r="A157">
        <v>144</v>
      </c>
      <c r="B157" t="s">
        <v>110</v>
      </c>
      <c r="C157" t="s">
        <v>10</v>
      </c>
    </row>
    <row r="158" spans="1:3" x14ac:dyDescent="0.3">
      <c r="A158">
        <v>145</v>
      </c>
      <c r="B158" t="s">
        <v>111</v>
      </c>
      <c r="C158" t="s">
        <v>5</v>
      </c>
    </row>
    <row r="159" spans="1:3" x14ac:dyDescent="0.3">
      <c r="A159">
        <v>146</v>
      </c>
      <c r="B159" t="s">
        <v>112</v>
      </c>
      <c r="C159" t="s">
        <v>10</v>
      </c>
    </row>
    <row r="160" spans="1:3" x14ac:dyDescent="0.3">
      <c r="A160">
        <v>147</v>
      </c>
      <c r="B160" t="s">
        <v>542</v>
      </c>
      <c r="C160" t="s">
        <v>50</v>
      </c>
    </row>
    <row r="161" spans="1:3" x14ac:dyDescent="0.3">
      <c r="A161">
        <v>148</v>
      </c>
      <c r="B161" t="s">
        <v>516</v>
      </c>
      <c r="C161" t="s">
        <v>5</v>
      </c>
    </row>
    <row r="162" spans="1:3" x14ac:dyDescent="0.3">
      <c r="A162">
        <v>149</v>
      </c>
      <c r="B162" t="s">
        <v>543</v>
      </c>
      <c r="C162" t="s">
        <v>50</v>
      </c>
    </row>
    <row r="163" spans="1:3" x14ac:dyDescent="0.3">
      <c r="A163">
        <v>150</v>
      </c>
      <c r="B163" t="s">
        <v>113</v>
      </c>
      <c r="C163" t="s">
        <v>5</v>
      </c>
    </row>
    <row r="164" spans="1:3" x14ac:dyDescent="0.3">
      <c r="A164">
        <v>151</v>
      </c>
      <c r="B164" t="s">
        <v>114</v>
      </c>
      <c r="C164" t="s">
        <v>10</v>
      </c>
    </row>
    <row r="165" spans="1:3" x14ac:dyDescent="0.3">
      <c r="A165">
        <v>152</v>
      </c>
      <c r="B165" t="s">
        <v>115</v>
      </c>
      <c r="C165" t="s">
        <v>10</v>
      </c>
    </row>
    <row r="166" spans="1:3" x14ac:dyDescent="0.3">
      <c r="A166">
        <v>153</v>
      </c>
      <c r="B166" t="s">
        <v>116</v>
      </c>
      <c r="C166" t="s">
        <v>10</v>
      </c>
    </row>
    <row r="167" spans="1:3" x14ac:dyDescent="0.3">
      <c r="A167">
        <v>154</v>
      </c>
      <c r="B167" t="s">
        <v>117</v>
      </c>
      <c r="C167" t="s">
        <v>5</v>
      </c>
    </row>
    <row r="168" spans="1:3" x14ac:dyDescent="0.3">
      <c r="A168">
        <v>155</v>
      </c>
      <c r="B168" t="s">
        <v>544</v>
      </c>
      <c r="C168" t="s">
        <v>50</v>
      </c>
    </row>
    <row r="169" spans="1:3" x14ac:dyDescent="0.3">
      <c r="A169">
        <v>156</v>
      </c>
      <c r="B169" t="s">
        <v>118</v>
      </c>
      <c r="C169" t="s">
        <v>5</v>
      </c>
    </row>
    <row r="170" spans="1:3" x14ac:dyDescent="0.3">
      <c r="A170">
        <v>157</v>
      </c>
      <c r="B170" t="s">
        <v>119</v>
      </c>
      <c r="C170" t="s">
        <v>10</v>
      </c>
    </row>
    <row r="171" spans="1:3" x14ac:dyDescent="0.3">
      <c r="A171">
        <v>158</v>
      </c>
      <c r="B171" t="s">
        <v>615</v>
      </c>
      <c r="C171" t="s">
        <v>10</v>
      </c>
    </row>
    <row r="172" spans="1:3" x14ac:dyDescent="0.3">
      <c r="A172">
        <v>159</v>
      </c>
      <c r="B172" t="s">
        <v>545</v>
      </c>
      <c r="C172" t="s">
        <v>50</v>
      </c>
    </row>
    <row r="173" spans="1:3" x14ac:dyDescent="0.3">
      <c r="A173">
        <v>160</v>
      </c>
      <c r="B173" t="s">
        <v>531</v>
      </c>
      <c r="C173" t="s">
        <v>5</v>
      </c>
    </row>
    <row r="174" spans="1:3" x14ac:dyDescent="0.3">
      <c r="A174">
        <v>161</v>
      </c>
      <c r="B174" t="s">
        <v>546</v>
      </c>
      <c r="C174" t="s">
        <v>50</v>
      </c>
    </row>
    <row r="175" spans="1:3" x14ac:dyDescent="0.3">
      <c r="A175">
        <v>162</v>
      </c>
      <c r="B175" t="s">
        <v>120</v>
      </c>
      <c r="C175" t="s">
        <v>5</v>
      </c>
    </row>
    <row r="176" spans="1:3" x14ac:dyDescent="0.3">
      <c r="A176">
        <v>163</v>
      </c>
      <c r="B176" t="s">
        <v>121</v>
      </c>
      <c r="C176" t="s">
        <v>10</v>
      </c>
    </row>
    <row r="177" spans="1:3" x14ac:dyDescent="0.3">
      <c r="A177">
        <v>164</v>
      </c>
      <c r="B177" t="s">
        <v>532</v>
      </c>
      <c r="C177" t="s">
        <v>5</v>
      </c>
    </row>
    <row r="178" spans="1:3" x14ac:dyDescent="0.3">
      <c r="A178">
        <v>165</v>
      </c>
      <c r="B178" t="s">
        <v>122</v>
      </c>
      <c r="C178" t="s">
        <v>50</v>
      </c>
    </row>
    <row r="179" spans="1:3" x14ac:dyDescent="0.3">
      <c r="A179">
        <v>166</v>
      </c>
      <c r="B179" t="s">
        <v>123</v>
      </c>
      <c r="C179" t="s">
        <v>10</v>
      </c>
    </row>
    <row r="180" spans="1:3" x14ac:dyDescent="0.3">
      <c r="A180">
        <v>167</v>
      </c>
      <c r="B180" t="s">
        <v>124</v>
      </c>
      <c r="C180" t="s">
        <v>10</v>
      </c>
    </row>
    <row r="181" spans="1:3" x14ac:dyDescent="0.3">
      <c r="A181">
        <v>168</v>
      </c>
      <c r="B181" t="s">
        <v>125</v>
      </c>
      <c r="C181" t="s">
        <v>50</v>
      </c>
    </row>
    <row r="182" spans="1:3" x14ac:dyDescent="0.3">
      <c r="A182">
        <v>169</v>
      </c>
      <c r="B182" t="s">
        <v>126</v>
      </c>
      <c r="C182" t="s">
        <v>10</v>
      </c>
    </row>
    <row r="183" spans="1:3" x14ac:dyDescent="0.3">
      <c r="A183">
        <v>170</v>
      </c>
      <c r="B183" t="s">
        <v>127</v>
      </c>
      <c r="C183" t="s">
        <v>10</v>
      </c>
    </row>
    <row r="184" spans="1:3" x14ac:dyDescent="0.3">
      <c r="A184">
        <v>171</v>
      </c>
      <c r="B184" t="s">
        <v>128</v>
      </c>
      <c r="C184" t="s">
        <v>50</v>
      </c>
    </row>
    <row r="185" spans="1:3" x14ac:dyDescent="0.3">
      <c r="A185">
        <v>172</v>
      </c>
      <c r="B185" t="s">
        <v>129</v>
      </c>
      <c r="C185" t="s">
        <v>5</v>
      </c>
    </row>
    <row r="186" spans="1:3" x14ac:dyDescent="0.3">
      <c r="A186">
        <v>173</v>
      </c>
      <c r="B186" t="s">
        <v>130</v>
      </c>
      <c r="C186" t="s">
        <v>45</v>
      </c>
    </row>
    <row r="187" spans="1:3" x14ac:dyDescent="0.3">
      <c r="A187">
        <v>174</v>
      </c>
      <c r="B187" t="s">
        <v>131</v>
      </c>
      <c r="C187" t="s">
        <v>10</v>
      </c>
    </row>
    <row r="188" spans="1:3" x14ac:dyDescent="0.3">
      <c r="A188">
        <v>175</v>
      </c>
      <c r="B188" t="s">
        <v>132</v>
      </c>
      <c r="C188" t="s">
        <v>10</v>
      </c>
    </row>
    <row r="189" spans="1:3" x14ac:dyDescent="0.3">
      <c r="A189">
        <v>176</v>
      </c>
      <c r="B189" t="s">
        <v>133</v>
      </c>
      <c r="C189" t="s">
        <v>5</v>
      </c>
    </row>
    <row r="190" spans="1:3" x14ac:dyDescent="0.3">
      <c r="A190">
        <v>177</v>
      </c>
      <c r="B190" t="s">
        <v>134</v>
      </c>
      <c r="C190" t="s">
        <v>10</v>
      </c>
    </row>
    <row r="191" spans="1:3" x14ac:dyDescent="0.3">
      <c r="A191">
        <v>178</v>
      </c>
      <c r="B191" t="s">
        <v>135</v>
      </c>
      <c r="C191" t="s">
        <v>50</v>
      </c>
    </row>
    <row r="192" spans="1:3" x14ac:dyDescent="0.3">
      <c r="A192">
        <v>179</v>
      </c>
      <c r="B192" t="s">
        <v>136</v>
      </c>
      <c r="C192" t="s">
        <v>10</v>
      </c>
    </row>
    <row r="193" spans="1:3" x14ac:dyDescent="0.3">
      <c r="A193">
        <v>180</v>
      </c>
      <c r="B193" t="s">
        <v>137</v>
      </c>
      <c r="C193" t="s">
        <v>50</v>
      </c>
    </row>
    <row r="194" spans="1:3" x14ac:dyDescent="0.3">
      <c r="A194">
        <v>181</v>
      </c>
      <c r="B194" t="s">
        <v>138</v>
      </c>
      <c r="C194" t="s">
        <v>50</v>
      </c>
    </row>
    <row r="195" spans="1:3" x14ac:dyDescent="0.3">
      <c r="A195">
        <v>182</v>
      </c>
      <c r="B195" t="s">
        <v>517</v>
      </c>
      <c r="C195" t="s">
        <v>5</v>
      </c>
    </row>
    <row r="196" spans="1:3" x14ac:dyDescent="0.3">
      <c r="A196">
        <v>183</v>
      </c>
      <c r="B196" t="s">
        <v>139</v>
      </c>
      <c r="C196" t="s">
        <v>10</v>
      </c>
    </row>
    <row r="197" spans="1:3" x14ac:dyDescent="0.3">
      <c r="A197">
        <v>184</v>
      </c>
      <c r="B197" t="s">
        <v>140</v>
      </c>
      <c r="C197" t="s">
        <v>5</v>
      </c>
    </row>
    <row r="198" spans="1:3" x14ac:dyDescent="0.3">
      <c r="A198">
        <v>185</v>
      </c>
      <c r="B198" t="s">
        <v>141</v>
      </c>
      <c r="C198" t="s">
        <v>50</v>
      </c>
    </row>
    <row r="199" spans="1:3" x14ac:dyDescent="0.3">
      <c r="A199">
        <v>186</v>
      </c>
      <c r="B199" t="s">
        <v>142</v>
      </c>
      <c r="C199" t="s">
        <v>10</v>
      </c>
    </row>
    <row r="200" spans="1:3" x14ac:dyDescent="0.3">
      <c r="A200">
        <v>187</v>
      </c>
      <c r="B200" t="s">
        <v>143</v>
      </c>
      <c r="C200" t="s">
        <v>50</v>
      </c>
    </row>
    <row r="201" spans="1:3" x14ac:dyDescent="0.3">
      <c r="A201">
        <v>188</v>
      </c>
      <c r="B201" t="s">
        <v>144</v>
      </c>
      <c r="C201" t="s">
        <v>10</v>
      </c>
    </row>
    <row r="202" spans="1:3" x14ac:dyDescent="0.3">
      <c r="A202">
        <v>189</v>
      </c>
      <c r="B202" t="s">
        <v>145</v>
      </c>
      <c r="C202" t="s">
        <v>5</v>
      </c>
    </row>
    <row r="203" spans="1:3" x14ac:dyDescent="0.3">
      <c r="A203">
        <v>190</v>
      </c>
      <c r="B203" t="s">
        <v>146</v>
      </c>
      <c r="C203" t="s">
        <v>50</v>
      </c>
    </row>
    <row r="204" spans="1:3" x14ac:dyDescent="0.3">
      <c r="A204">
        <v>191</v>
      </c>
      <c r="B204" t="s">
        <v>147</v>
      </c>
      <c r="C204" t="s">
        <v>5</v>
      </c>
    </row>
    <row r="205" spans="1:3" x14ac:dyDescent="0.3">
      <c r="A205">
        <v>192</v>
      </c>
      <c r="B205" t="s">
        <v>148</v>
      </c>
      <c r="C205" t="s">
        <v>10</v>
      </c>
    </row>
    <row r="206" spans="1:3" x14ac:dyDescent="0.3">
      <c r="A206">
        <v>193</v>
      </c>
      <c r="B206" t="s">
        <v>149</v>
      </c>
      <c r="C206" t="s">
        <v>5</v>
      </c>
    </row>
    <row r="207" spans="1:3" x14ac:dyDescent="0.3">
      <c r="A207">
        <v>194</v>
      </c>
      <c r="B207" t="s">
        <v>150</v>
      </c>
      <c r="C207" t="s">
        <v>10</v>
      </c>
    </row>
    <row r="208" spans="1:3" x14ac:dyDescent="0.3">
      <c r="A208">
        <v>195</v>
      </c>
      <c r="B208" t="s">
        <v>151</v>
      </c>
      <c r="C208" t="s">
        <v>152</v>
      </c>
    </row>
    <row r="209" spans="1:3" x14ac:dyDescent="0.3">
      <c r="A209">
        <v>196</v>
      </c>
      <c r="B209" t="s">
        <v>153</v>
      </c>
      <c r="C209" t="s">
        <v>10</v>
      </c>
    </row>
    <row r="210" spans="1:3" x14ac:dyDescent="0.3">
      <c r="A210">
        <v>197</v>
      </c>
      <c r="B210" t="s">
        <v>154</v>
      </c>
      <c r="C210" t="s">
        <v>5</v>
      </c>
    </row>
    <row r="211" spans="1:3" x14ac:dyDescent="0.3">
      <c r="A211">
        <v>198</v>
      </c>
      <c r="B211" t="s">
        <v>155</v>
      </c>
      <c r="C211" t="s">
        <v>10</v>
      </c>
    </row>
    <row r="212" spans="1:3" x14ac:dyDescent="0.3">
      <c r="A212">
        <v>199</v>
      </c>
      <c r="B212" t="s">
        <v>156</v>
      </c>
      <c r="C212" t="s">
        <v>45</v>
      </c>
    </row>
    <row r="213" spans="1:3" x14ac:dyDescent="0.3">
      <c r="A213">
        <v>200</v>
      </c>
      <c r="B213" t="s">
        <v>157</v>
      </c>
      <c r="C213" t="s">
        <v>5</v>
      </c>
    </row>
    <row r="214" spans="1:3" x14ac:dyDescent="0.3">
      <c r="A214">
        <v>201</v>
      </c>
      <c r="B214" t="s">
        <v>158</v>
      </c>
      <c r="C214" t="s">
        <v>10</v>
      </c>
    </row>
    <row r="215" spans="1:3" x14ac:dyDescent="0.3">
      <c r="A215">
        <v>202</v>
      </c>
      <c r="B215" t="s">
        <v>159</v>
      </c>
      <c r="C215" t="s">
        <v>5</v>
      </c>
    </row>
    <row r="216" spans="1:3" x14ac:dyDescent="0.3">
      <c r="A216">
        <v>203</v>
      </c>
      <c r="B216" t="s">
        <v>160</v>
      </c>
      <c r="C216" t="s">
        <v>10</v>
      </c>
    </row>
    <row r="217" spans="1:3" x14ac:dyDescent="0.3">
      <c r="A217">
        <v>204</v>
      </c>
      <c r="B217" t="s">
        <v>161</v>
      </c>
      <c r="C217" t="s">
        <v>152</v>
      </c>
    </row>
    <row r="218" spans="1:3" x14ac:dyDescent="0.3">
      <c r="A218">
        <v>205</v>
      </c>
      <c r="B218" t="s">
        <v>162</v>
      </c>
      <c r="C218" t="s">
        <v>10</v>
      </c>
    </row>
    <row r="219" spans="1:3" x14ac:dyDescent="0.3">
      <c r="A219">
        <v>206</v>
      </c>
      <c r="B219" t="s">
        <v>163</v>
      </c>
      <c r="C219" t="s">
        <v>10</v>
      </c>
    </row>
    <row r="220" spans="1:3" x14ac:dyDescent="0.3">
      <c r="A220">
        <v>207</v>
      </c>
      <c r="B220" t="s">
        <v>164</v>
      </c>
      <c r="C220" t="s">
        <v>10</v>
      </c>
    </row>
    <row r="221" spans="1:3" x14ac:dyDescent="0.3">
      <c r="A221">
        <v>208</v>
      </c>
      <c r="B221" t="s">
        <v>165</v>
      </c>
      <c r="C221" t="s">
        <v>5</v>
      </c>
    </row>
    <row r="222" spans="1:3" x14ac:dyDescent="0.3">
      <c r="A222">
        <v>209</v>
      </c>
      <c r="B222" t="s">
        <v>166</v>
      </c>
      <c r="C222" t="s">
        <v>5</v>
      </c>
    </row>
    <row r="223" spans="1:3" x14ac:dyDescent="0.3">
      <c r="A223">
        <v>210</v>
      </c>
      <c r="B223" t="s">
        <v>167</v>
      </c>
      <c r="C223" t="s">
        <v>50</v>
      </c>
    </row>
    <row r="224" spans="1:3" x14ac:dyDescent="0.3">
      <c r="A224">
        <v>211</v>
      </c>
      <c r="B224" t="s">
        <v>168</v>
      </c>
      <c r="C224" t="s">
        <v>10</v>
      </c>
    </row>
    <row r="225" spans="1:3" x14ac:dyDescent="0.3">
      <c r="A225">
        <v>212</v>
      </c>
      <c r="B225" t="s">
        <v>169</v>
      </c>
      <c r="C225" t="s">
        <v>50</v>
      </c>
    </row>
    <row r="226" spans="1:3" x14ac:dyDescent="0.3">
      <c r="A226">
        <v>213</v>
      </c>
      <c r="B226" t="s">
        <v>170</v>
      </c>
      <c r="C226" t="s">
        <v>10</v>
      </c>
    </row>
    <row r="227" spans="1:3" x14ac:dyDescent="0.3">
      <c r="A227">
        <v>214</v>
      </c>
      <c r="B227" t="s">
        <v>547</v>
      </c>
      <c r="C227" t="s">
        <v>50</v>
      </c>
    </row>
    <row r="228" spans="1:3" x14ac:dyDescent="0.3">
      <c r="A228">
        <v>215</v>
      </c>
      <c r="B228" t="s">
        <v>171</v>
      </c>
      <c r="C228" t="s">
        <v>10</v>
      </c>
    </row>
    <row r="229" spans="1:3" x14ac:dyDescent="0.3">
      <c r="A229">
        <v>216</v>
      </c>
      <c r="B229" t="s">
        <v>172</v>
      </c>
      <c r="C229" t="s">
        <v>5</v>
      </c>
    </row>
    <row r="230" spans="1:3" x14ac:dyDescent="0.3">
      <c r="A230">
        <v>217</v>
      </c>
      <c r="B230" t="s">
        <v>173</v>
      </c>
      <c r="C230" t="s">
        <v>5</v>
      </c>
    </row>
    <row r="231" spans="1:3" x14ac:dyDescent="0.3">
      <c r="A231">
        <v>218</v>
      </c>
      <c r="B231" t="s">
        <v>174</v>
      </c>
      <c r="C231" t="s">
        <v>50</v>
      </c>
    </row>
    <row r="232" spans="1:3" x14ac:dyDescent="0.3">
      <c r="A232">
        <v>219</v>
      </c>
      <c r="B232" t="s">
        <v>175</v>
      </c>
      <c r="C232" t="s">
        <v>50</v>
      </c>
    </row>
    <row r="233" spans="1:3" x14ac:dyDescent="0.3">
      <c r="A233">
        <v>220</v>
      </c>
      <c r="B233" t="s">
        <v>176</v>
      </c>
      <c r="C233" t="s">
        <v>10</v>
      </c>
    </row>
    <row r="234" spans="1:3" x14ac:dyDescent="0.3">
      <c r="A234">
        <v>221</v>
      </c>
      <c r="B234" t="s">
        <v>177</v>
      </c>
      <c r="C234" t="s">
        <v>152</v>
      </c>
    </row>
    <row r="235" spans="1:3" x14ac:dyDescent="0.3">
      <c r="A235">
        <v>222</v>
      </c>
      <c r="B235" t="s">
        <v>178</v>
      </c>
      <c r="C235" t="s">
        <v>10</v>
      </c>
    </row>
    <row r="236" spans="1:3" x14ac:dyDescent="0.3">
      <c r="A236">
        <v>223</v>
      </c>
      <c r="B236" t="s">
        <v>179</v>
      </c>
      <c r="C236" t="s">
        <v>10</v>
      </c>
    </row>
    <row r="237" spans="1:3" x14ac:dyDescent="0.3">
      <c r="A237">
        <v>224</v>
      </c>
      <c r="B237" t="s">
        <v>180</v>
      </c>
      <c r="C237" t="s">
        <v>5</v>
      </c>
    </row>
    <row r="238" spans="1:3" x14ac:dyDescent="0.3">
      <c r="A238">
        <v>225</v>
      </c>
      <c r="B238" t="s">
        <v>181</v>
      </c>
      <c r="C238" t="s">
        <v>5</v>
      </c>
    </row>
    <row r="239" spans="1:3" x14ac:dyDescent="0.3">
      <c r="A239">
        <v>226</v>
      </c>
      <c r="B239" t="s">
        <v>182</v>
      </c>
      <c r="C239" t="s">
        <v>5</v>
      </c>
    </row>
    <row r="240" spans="1:3" x14ac:dyDescent="0.3">
      <c r="A240">
        <v>227</v>
      </c>
      <c r="B240" t="s">
        <v>183</v>
      </c>
      <c r="C240" t="s">
        <v>10</v>
      </c>
    </row>
    <row r="241" spans="1:3" x14ac:dyDescent="0.3">
      <c r="A241">
        <v>228</v>
      </c>
      <c r="B241" t="s">
        <v>184</v>
      </c>
      <c r="C241" t="s">
        <v>10</v>
      </c>
    </row>
    <row r="242" spans="1:3" x14ac:dyDescent="0.3">
      <c r="A242">
        <v>229</v>
      </c>
      <c r="B242" t="s">
        <v>185</v>
      </c>
      <c r="C242" t="s">
        <v>50</v>
      </c>
    </row>
    <row r="243" spans="1:3" x14ac:dyDescent="0.3">
      <c r="A243">
        <v>230</v>
      </c>
      <c r="B243" t="s">
        <v>548</v>
      </c>
      <c r="C243" t="s">
        <v>50</v>
      </c>
    </row>
    <row r="244" spans="1:3" x14ac:dyDescent="0.3">
      <c r="A244">
        <v>231</v>
      </c>
      <c r="B244" t="s">
        <v>186</v>
      </c>
      <c r="C244" t="s">
        <v>5</v>
      </c>
    </row>
    <row r="245" spans="1:3" x14ac:dyDescent="0.3">
      <c r="A245">
        <v>232</v>
      </c>
      <c r="B245" t="s">
        <v>187</v>
      </c>
      <c r="C245" t="s">
        <v>50</v>
      </c>
    </row>
    <row r="246" spans="1:3" x14ac:dyDescent="0.3">
      <c r="A246">
        <v>233</v>
      </c>
      <c r="B246" t="s">
        <v>188</v>
      </c>
      <c r="C246" t="s">
        <v>5</v>
      </c>
    </row>
    <row r="247" spans="1:3" x14ac:dyDescent="0.3">
      <c r="A247">
        <v>234</v>
      </c>
      <c r="B247" t="s">
        <v>189</v>
      </c>
      <c r="C247" t="s">
        <v>10</v>
      </c>
    </row>
    <row r="248" spans="1:3" x14ac:dyDescent="0.3">
      <c r="A248">
        <v>235</v>
      </c>
      <c r="B248" t="s">
        <v>190</v>
      </c>
      <c r="C248" t="s">
        <v>5</v>
      </c>
    </row>
    <row r="249" spans="1:3" x14ac:dyDescent="0.3">
      <c r="A249">
        <v>236</v>
      </c>
      <c r="B249" t="s">
        <v>518</v>
      </c>
      <c r="C249" t="s">
        <v>5</v>
      </c>
    </row>
    <row r="250" spans="1:3" x14ac:dyDescent="0.3">
      <c r="A250">
        <v>237</v>
      </c>
      <c r="B250" t="s">
        <v>191</v>
      </c>
      <c r="C250" t="s">
        <v>5</v>
      </c>
    </row>
    <row r="251" spans="1:3" x14ac:dyDescent="0.3">
      <c r="A251">
        <v>238</v>
      </c>
      <c r="B251" t="s">
        <v>192</v>
      </c>
      <c r="C251" t="s">
        <v>45</v>
      </c>
    </row>
    <row r="252" spans="1:3" x14ac:dyDescent="0.3">
      <c r="A252">
        <v>239</v>
      </c>
      <c r="B252" t="s">
        <v>193</v>
      </c>
      <c r="C252" t="s">
        <v>10</v>
      </c>
    </row>
    <row r="253" spans="1:3" x14ac:dyDescent="0.3">
      <c r="A253">
        <v>240</v>
      </c>
      <c r="B253" t="s">
        <v>194</v>
      </c>
      <c r="C253" t="s">
        <v>45</v>
      </c>
    </row>
    <row r="254" spans="1:3" x14ac:dyDescent="0.3">
      <c r="A254">
        <v>241</v>
      </c>
      <c r="B254" t="s">
        <v>195</v>
      </c>
      <c r="C254" t="s">
        <v>10</v>
      </c>
    </row>
    <row r="255" spans="1:3" x14ac:dyDescent="0.3">
      <c r="A255">
        <v>242</v>
      </c>
      <c r="B255" t="s">
        <v>196</v>
      </c>
      <c r="C255" t="s">
        <v>10</v>
      </c>
    </row>
    <row r="256" spans="1:3" x14ac:dyDescent="0.3">
      <c r="A256">
        <v>243</v>
      </c>
      <c r="B256" t="s">
        <v>197</v>
      </c>
      <c r="C256" t="s">
        <v>10</v>
      </c>
    </row>
    <row r="257" spans="1:3" x14ac:dyDescent="0.3">
      <c r="A257">
        <v>244</v>
      </c>
      <c r="B257" t="s">
        <v>549</v>
      </c>
      <c r="C257" t="s">
        <v>50</v>
      </c>
    </row>
    <row r="258" spans="1:3" x14ac:dyDescent="0.3">
      <c r="A258">
        <v>245</v>
      </c>
      <c r="B258" t="s">
        <v>198</v>
      </c>
      <c r="C258" t="s">
        <v>5</v>
      </c>
    </row>
    <row r="259" spans="1:3" x14ac:dyDescent="0.3">
      <c r="A259">
        <v>246</v>
      </c>
      <c r="B259" t="s">
        <v>199</v>
      </c>
      <c r="C259" t="s">
        <v>152</v>
      </c>
    </row>
    <row r="260" spans="1:3" x14ac:dyDescent="0.3">
      <c r="A260">
        <v>247</v>
      </c>
      <c r="B260" t="s">
        <v>550</v>
      </c>
      <c r="C260" t="s">
        <v>50</v>
      </c>
    </row>
    <row r="261" spans="1:3" x14ac:dyDescent="0.3">
      <c r="A261">
        <v>248</v>
      </c>
      <c r="B261" t="s">
        <v>200</v>
      </c>
      <c r="C261" t="s">
        <v>50</v>
      </c>
    </row>
    <row r="262" spans="1:3" x14ac:dyDescent="0.3">
      <c r="A262">
        <v>249</v>
      </c>
      <c r="B262" t="s">
        <v>201</v>
      </c>
      <c r="C262" t="s">
        <v>5</v>
      </c>
    </row>
    <row r="263" spans="1:3" x14ac:dyDescent="0.3">
      <c r="A263">
        <v>250</v>
      </c>
      <c r="B263" t="s">
        <v>202</v>
      </c>
      <c r="C263" t="s">
        <v>45</v>
      </c>
    </row>
    <row r="264" spans="1:3" x14ac:dyDescent="0.3">
      <c r="A264">
        <v>251</v>
      </c>
      <c r="B264" t="s">
        <v>203</v>
      </c>
      <c r="C264" t="s">
        <v>10</v>
      </c>
    </row>
    <row r="265" spans="1:3" x14ac:dyDescent="0.3">
      <c r="A265">
        <v>252</v>
      </c>
      <c r="B265" t="s">
        <v>204</v>
      </c>
      <c r="C265" t="s">
        <v>10</v>
      </c>
    </row>
    <row r="266" spans="1:3" x14ac:dyDescent="0.3">
      <c r="A266">
        <v>253</v>
      </c>
      <c r="B266" t="s">
        <v>205</v>
      </c>
      <c r="C266" t="s">
        <v>5</v>
      </c>
    </row>
    <row r="267" spans="1:3" x14ac:dyDescent="0.3">
      <c r="A267">
        <v>254</v>
      </c>
      <c r="B267" t="s">
        <v>206</v>
      </c>
      <c r="C267" t="s">
        <v>5</v>
      </c>
    </row>
    <row r="268" spans="1:3" x14ac:dyDescent="0.3">
      <c r="A268">
        <v>255</v>
      </c>
      <c r="B268" t="s">
        <v>207</v>
      </c>
      <c r="C268" t="s">
        <v>10</v>
      </c>
    </row>
    <row r="269" spans="1:3" x14ac:dyDescent="0.3">
      <c r="A269">
        <v>256</v>
      </c>
      <c r="B269" t="s">
        <v>208</v>
      </c>
      <c r="C269" t="s">
        <v>10</v>
      </c>
    </row>
    <row r="270" spans="1:3" x14ac:dyDescent="0.3">
      <c r="A270">
        <v>257</v>
      </c>
      <c r="B270" t="s">
        <v>551</v>
      </c>
      <c r="C270" t="s">
        <v>50</v>
      </c>
    </row>
    <row r="271" spans="1:3" x14ac:dyDescent="0.3">
      <c r="A271">
        <v>258</v>
      </c>
      <c r="B271" t="s">
        <v>209</v>
      </c>
      <c r="C271" t="s">
        <v>5</v>
      </c>
    </row>
    <row r="272" spans="1:3" x14ac:dyDescent="0.3">
      <c r="A272">
        <v>259</v>
      </c>
      <c r="B272" t="s">
        <v>210</v>
      </c>
      <c r="C272" t="s">
        <v>5</v>
      </c>
    </row>
    <row r="273" spans="1:3" x14ac:dyDescent="0.3">
      <c r="A273">
        <v>260</v>
      </c>
      <c r="B273" t="s">
        <v>519</v>
      </c>
      <c r="C273" t="s">
        <v>5</v>
      </c>
    </row>
    <row r="274" spans="1:3" x14ac:dyDescent="0.3">
      <c r="A274">
        <v>261</v>
      </c>
      <c r="B274" t="s">
        <v>211</v>
      </c>
      <c r="C274" t="s">
        <v>10</v>
      </c>
    </row>
    <row r="275" spans="1:3" x14ac:dyDescent="0.3">
      <c r="A275">
        <v>262</v>
      </c>
      <c r="B275" t="s">
        <v>212</v>
      </c>
      <c r="C275" t="s">
        <v>10</v>
      </c>
    </row>
    <row r="276" spans="1:3" x14ac:dyDescent="0.3">
      <c r="A276">
        <v>263</v>
      </c>
      <c r="B276" t="s">
        <v>213</v>
      </c>
      <c r="C276" t="s">
        <v>5</v>
      </c>
    </row>
    <row r="277" spans="1:3" x14ac:dyDescent="0.3">
      <c r="A277">
        <v>264</v>
      </c>
      <c r="B277" t="s">
        <v>214</v>
      </c>
      <c r="C277" t="s">
        <v>10</v>
      </c>
    </row>
    <row r="278" spans="1:3" x14ac:dyDescent="0.3">
      <c r="A278">
        <v>265</v>
      </c>
      <c r="B278" t="s">
        <v>215</v>
      </c>
      <c r="C278" t="s">
        <v>10</v>
      </c>
    </row>
    <row r="279" spans="1:3" x14ac:dyDescent="0.3">
      <c r="A279">
        <v>266</v>
      </c>
      <c r="B279" t="s">
        <v>216</v>
      </c>
      <c r="C279" t="s">
        <v>50</v>
      </c>
    </row>
    <row r="280" spans="1:3" x14ac:dyDescent="0.3">
      <c r="A280">
        <v>267</v>
      </c>
      <c r="B280" t="s">
        <v>582</v>
      </c>
      <c r="C280" t="s">
        <v>45</v>
      </c>
    </row>
    <row r="281" spans="1:3" x14ac:dyDescent="0.3">
      <c r="A281">
        <v>268</v>
      </c>
      <c r="B281" t="s">
        <v>217</v>
      </c>
      <c r="C281" t="s">
        <v>45</v>
      </c>
    </row>
    <row r="282" spans="1:3" x14ac:dyDescent="0.3">
      <c r="A282">
        <v>269</v>
      </c>
      <c r="B282" t="s">
        <v>600</v>
      </c>
      <c r="C282" t="s">
        <v>10</v>
      </c>
    </row>
    <row r="283" spans="1:3" x14ac:dyDescent="0.3">
      <c r="A283">
        <v>270</v>
      </c>
      <c r="B283" t="s">
        <v>569</v>
      </c>
      <c r="C283" t="s">
        <v>50</v>
      </c>
    </row>
    <row r="284" spans="1:3" x14ac:dyDescent="0.3">
      <c r="A284">
        <v>271</v>
      </c>
      <c r="B284" t="s">
        <v>552</v>
      </c>
      <c r="C284" t="s">
        <v>50</v>
      </c>
    </row>
    <row r="285" spans="1:3" x14ac:dyDescent="0.3">
      <c r="A285">
        <v>272</v>
      </c>
      <c r="B285" t="s">
        <v>218</v>
      </c>
      <c r="C285" t="s">
        <v>10</v>
      </c>
    </row>
    <row r="286" spans="1:3" x14ac:dyDescent="0.3">
      <c r="A286">
        <v>273</v>
      </c>
      <c r="B286" t="s">
        <v>219</v>
      </c>
      <c r="C286" t="s">
        <v>10</v>
      </c>
    </row>
    <row r="287" spans="1:3" x14ac:dyDescent="0.3">
      <c r="A287">
        <v>274</v>
      </c>
      <c r="B287" t="s">
        <v>220</v>
      </c>
      <c r="C287" t="s">
        <v>45</v>
      </c>
    </row>
    <row r="288" spans="1:3" x14ac:dyDescent="0.3">
      <c r="A288">
        <v>275</v>
      </c>
      <c r="B288" t="s">
        <v>221</v>
      </c>
      <c r="C288" t="s">
        <v>10</v>
      </c>
    </row>
    <row r="289" spans="1:3" x14ac:dyDescent="0.3">
      <c r="A289">
        <v>276</v>
      </c>
      <c r="B289" t="s">
        <v>222</v>
      </c>
      <c r="C289" t="s">
        <v>50</v>
      </c>
    </row>
    <row r="290" spans="1:3" x14ac:dyDescent="0.3">
      <c r="A290">
        <v>277</v>
      </c>
      <c r="B290" t="s">
        <v>223</v>
      </c>
      <c r="C290" t="s">
        <v>50</v>
      </c>
    </row>
    <row r="291" spans="1:3" x14ac:dyDescent="0.3">
      <c r="A291">
        <v>278</v>
      </c>
      <c r="B291" t="s">
        <v>224</v>
      </c>
      <c r="C291" t="s">
        <v>45</v>
      </c>
    </row>
    <row r="292" spans="1:3" x14ac:dyDescent="0.3">
      <c r="A292">
        <v>279</v>
      </c>
      <c r="B292" t="s">
        <v>225</v>
      </c>
      <c r="C292" t="s">
        <v>5</v>
      </c>
    </row>
    <row r="293" spans="1:3" x14ac:dyDescent="0.3">
      <c r="A293">
        <v>280</v>
      </c>
      <c r="B293" t="s">
        <v>226</v>
      </c>
      <c r="C293" t="s">
        <v>50</v>
      </c>
    </row>
    <row r="294" spans="1:3" x14ac:dyDescent="0.3">
      <c r="A294">
        <v>281</v>
      </c>
      <c r="B294" t="s">
        <v>227</v>
      </c>
      <c r="C294" t="s">
        <v>45</v>
      </c>
    </row>
    <row r="295" spans="1:3" x14ac:dyDescent="0.3">
      <c r="A295">
        <v>282</v>
      </c>
      <c r="B295" t="s">
        <v>553</v>
      </c>
      <c r="C295" t="s">
        <v>50</v>
      </c>
    </row>
    <row r="296" spans="1:3" x14ac:dyDescent="0.3">
      <c r="A296">
        <v>283</v>
      </c>
      <c r="B296" t="s">
        <v>228</v>
      </c>
      <c r="C296" t="s">
        <v>10</v>
      </c>
    </row>
    <row r="297" spans="1:3" x14ac:dyDescent="0.3">
      <c r="A297">
        <v>284</v>
      </c>
      <c r="B297" t="s">
        <v>229</v>
      </c>
      <c r="C297" t="s">
        <v>10</v>
      </c>
    </row>
    <row r="298" spans="1:3" x14ac:dyDescent="0.3">
      <c r="A298">
        <v>285</v>
      </c>
      <c r="B298" t="s">
        <v>230</v>
      </c>
      <c r="C298" t="s">
        <v>152</v>
      </c>
    </row>
    <row r="299" spans="1:3" x14ac:dyDescent="0.3">
      <c r="A299">
        <v>286</v>
      </c>
      <c r="B299" t="s">
        <v>231</v>
      </c>
      <c r="C299" t="s">
        <v>10</v>
      </c>
    </row>
    <row r="300" spans="1:3" x14ac:dyDescent="0.3">
      <c r="A300">
        <v>287</v>
      </c>
      <c r="B300" t="s">
        <v>232</v>
      </c>
      <c r="C300" t="s">
        <v>10</v>
      </c>
    </row>
    <row r="301" spans="1:3" x14ac:dyDescent="0.3">
      <c r="A301">
        <v>288</v>
      </c>
      <c r="B301" t="s">
        <v>233</v>
      </c>
      <c r="C301" t="s">
        <v>10</v>
      </c>
    </row>
    <row r="302" spans="1:3" x14ac:dyDescent="0.3">
      <c r="A302">
        <v>289</v>
      </c>
      <c r="B302" t="s">
        <v>234</v>
      </c>
      <c r="C302" t="s">
        <v>5</v>
      </c>
    </row>
    <row r="303" spans="1:3" x14ac:dyDescent="0.3">
      <c r="A303">
        <v>290</v>
      </c>
      <c r="B303" t="s">
        <v>520</v>
      </c>
      <c r="C303" t="s">
        <v>5</v>
      </c>
    </row>
    <row r="304" spans="1:3" x14ac:dyDescent="0.3">
      <c r="A304">
        <v>291</v>
      </c>
      <c r="B304" t="s">
        <v>235</v>
      </c>
      <c r="C304" t="s">
        <v>50</v>
      </c>
    </row>
    <row r="305" spans="1:3" x14ac:dyDescent="0.3">
      <c r="A305">
        <v>292</v>
      </c>
      <c r="B305" t="s">
        <v>236</v>
      </c>
      <c r="C305" t="s">
        <v>5</v>
      </c>
    </row>
    <row r="306" spans="1:3" x14ac:dyDescent="0.3">
      <c r="A306">
        <v>293</v>
      </c>
      <c r="B306" t="s">
        <v>237</v>
      </c>
      <c r="C306" t="s">
        <v>152</v>
      </c>
    </row>
    <row r="307" spans="1:3" x14ac:dyDescent="0.3">
      <c r="A307">
        <v>294</v>
      </c>
      <c r="B307" t="s">
        <v>238</v>
      </c>
      <c r="C307" t="s">
        <v>50</v>
      </c>
    </row>
    <row r="308" spans="1:3" x14ac:dyDescent="0.3">
      <c r="A308">
        <v>295</v>
      </c>
      <c r="B308" t="s">
        <v>239</v>
      </c>
      <c r="C308" t="s">
        <v>45</v>
      </c>
    </row>
    <row r="309" spans="1:3" x14ac:dyDescent="0.3">
      <c r="A309">
        <v>296</v>
      </c>
      <c r="B309" t="s">
        <v>240</v>
      </c>
      <c r="C309" t="s">
        <v>5</v>
      </c>
    </row>
    <row r="310" spans="1:3" x14ac:dyDescent="0.3">
      <c r="A310">
        <v>297</v>
      </c>
      <c r="B310" t="s">
        <v>241</v>
      </c>
      <c r="C310" t="s">
        <v>5</v>
      </c>
    </row>
    <row r="311" spans="1:3" x14ac:dyDescent="0.3">
      <c r="A311">
        <v>298</v>
      </c>
      <c r="B311" t="s">
        <v>242</v>
      </c>
      <c r="C311" t="s">
        <v>10</v>
      </c>
    </row>
    <row r="312" spans="1:3" x14ac:dyDescent="0.3">
      <c r="A312">
        <v>299</v>
      </c>
      <c r="B312" t="s">
        <v>243</v>
      </c>
      <c r="C312" t="s">
        <v>45</v>
      </c>
    </row>
    <row r="313" spans="1:3" x14ac:dyDescent="0.3">
      <c r="A313">
        <v>300</v>
      </c>
      <c r="B313" t="s">
        <v>244</v>
      </c>
      <c r="C313" t="s">
        <v>245</v>
      </c>
    </row>
    <row r="314" spans="1:3" x14ac:dyDescent="0.3">
      <c r="A314">
        <v>301</v>
      </c>
      <c r="B314" t="s">
        <v>246</v>
      </c>
      <c r="C314" t="s">
        <v>10</v>
      </c>
    </row>
    <row r="315" spans="1:3" x14ac:dyDescent="0.3">
      <c r="A315">
        <v>302</v>
      </c>
      <c r="B315" t="s">
        <v>247</v>
      </c>
      <c r="C315" t="s">
        <v>5</v>
      </c>
    </row>
    <row r="316" spans="1:3" x14ac:dyDescent="0.3">
      <c r="A316">
        <v>303</v>
      </c>
      <c r="B316" t="s">
        <v>248</v>
      </c>
      <c r="C316" t="s">
        <v>10</v>
      </c>
    </row>
    <row r="317" spans="1:3" x14ac:dyDescent="0.3">
      <c r="A317">
        <v>304</v>
      </c>
      <c r="B317" t="s">
        <v>249</v>
      </c>
      <c r="C317" t="s">
        <v>152</v>
      </c>
    </row>
    <row r="318" spans="1:3" x14ac:dyDescent="0.3">
      <c r="A318">
        <v>305</v>
      </c>
      <c r="B318" t="s">
        <v>250</v>
      </c>
      <c r="C318" t="s">
        <v>50</v>
      </c>
    </row>
    <row r="319" spans="1:3" x14ac:dyDescent="0.3">
      <c r="A319">
        <v>306</v>
      </c>
      <c r="B319" t="s">
        <v>251</v>
      </c>
      <c r="C319" t="s">
        <v>45</v>
      </c>
    </row>
    <row r="320" spans="1:3" x14ac:dyDescent="0.3">
      <c r="A320">
        <v>307</v>
      </c>
      <c r="B320" t="s">
        <v>252</v>
      </c>
      <c r="C320" t="s">
        <v>10</v>
      </c>
    </row>
    <row r="321" spans="1:3" x14ac:dyDescent="0.3">
      <c r="A321">
        <v>308</v>
      </c>
      <c r="B321" t="s">
        <v>533</v>
      </c>
      <c r="C321" t="s">
        <v>5</v>
      </c>
    </row>
    <row r="322" spans="1:3" x14ac:dyDescent="0.3">
      <c r="A322">
        <v>309</v>
      </c>
      <c r="B322" t="s">
        <v>253</v>
      </c>
      <c r="C322" t="s">
        <v>50</v>
      </c>
    </row>
    <row r="323" spans="1:3" x14ac:dyDescent="0.3">
      <c r="A323">
        <v>310</v>
      </c>
      <c r="B323" t="s">
        <v>254</v>
      </c>
      <c r="C323" t="s">
        <v>5</v>
      </c>
    </row>
    <row r="324" spans="1:3" x14ac:dyDescent="0.3">
      <c r="A324">
        <v>311</v>
      </c>
      <c r="B324" t="s">
        <v>255</v>
      </c>
      <c r="C324" t="s">
        <v>5</v>
      </c>
    </row>
    <row r="325" spans="1:3" x14ac:dyDescent="0.3">
      <c r="A325">
        <v>312</v>
      </c>
      <c r="B325" t="s">
        <v>521</v>
      </c>
      <c r="C325" t="s">
        <v>5</v>
      </c>
    </row>
    <row r="326" spans="1:3" x14ac:dyDescent="0.3">
      <c r="A326">
        <v>313</v>
      </c>
      <c r="B326" t="s">
        <v>534</v>
      </c>
      <c r="C326" t="s">
        <v>5</v>
      </c>
    </row>
    <row r="327" spans="1:3" x14ac:dyDescent="0.3">
      <c r="A327">
        <v>314</v>
      </c>
      <c r="B327" t="s">
        <v>256</v>
      </c>
      <c r="C327" t="s">
        <v>50</v>
      </c>
    </row>
    <row r="328" spans="1:3" x14ac:dyDescent="0.3">
      <c r="A328">
        <v>315</v>
      </c>
      <c r="B328" t="s">
        <v>257</v>
      </c>
      <c r="C328" t="s">
        <v>152</v>
      </c>
    </row>
    <row r="329" spans="1:3" x14ac:dyDescent="0.3">
      <c r="A329">
        <v>316</v>
      </c>
      <c r="B329" t="s">
        <v>258</v>
      </c>
      <c r="C329" t="s">
        <v>5</v>
      </c>
    </row>
    <row r="330" spans="1:3" x14ac:dyDescent="0.3">
      <c r="A330">
        <v>317</v>
      </c>
      <c r="B330" t="s">
        <v>583</v>
      </c>
      <c r="C330" t="s">
        <v>45</v>
      </c>
    </row>
    <row r="331" spans="1:3" x14ac:dyDescent="0.3">
      <c r="A331">
        <v>318</v>
      </c>
      <c r="B331" t="s">
        <v>259</v>
      </c>
      <c r="C331" t="s">
        <v>50</v>
      </c>
    </row>
    <row r="332" spans="1:3" x14ac:dyDescent="0.3">
      <c r="A332">
        <v>319</v>
      </c>
      <c r="B332" t="s">
        <v>260</v>
      </c>
      <c r="C332" t="s">
        <v>10</v>
      </c>
    </row>
    <row r="333" spans="1:3" x14ac:dyDescent="0.3">
      <c r="A333">
        <v>320</v>
      </c>
      <c r="B333" t="s">
        <v>261</v>
      </c>
      <c r="C333" t="s">
        <v>50</v>
      </c>
    </row>
    <row r="334" spans="1:3" x14ac:dyDescent="0.3">
      <c r="A334">
        <v>321</v>
      </c>
      <c r="B334" t="s">
        <v>262</v>
      </c>
      <c r="C334" t="s">
        <v>152</v>
      </c>
    </row>
    <row r="335" spans="1:3" x14ac:dyDescent="0.3">
      <c r="A335">
        <v>322</v>
      </c>
      <c r="B335" t="s">
        <v>263</v>
      </c>
      <c r="C335" t="s">
        <v>264</v>
      </c>
    </row>
    <row r="336" spans="1:3" x14ac:dyDescent="0.3">
      <c r="A336">
        <v>323</v>
      </c>
      <c r="B336" t="s">
        <v>265</v>
      </c>
      <c r="C336" t="s">
        <v>45</v>
      </c>
    </row>
    <row r="337" spans="1:3" x14ac:dyDescent="0.3">
      <c r="A337">
        <v>324</v>
      </c>
      <c r="B337" t="s">
        <v>266</v>
      </c>
      <c r="C337" t="s">
        <v>45</v>
      </c>
    </row>
    <row r="338" spans="1:3" x14ac:dyDescent="0.3">
      <c r="A338">
        <v>325</v>
      </c>
      <c r="B338" t="s">
        <v>584</v>
      </c>
      <c r="C338" t="s">
        <v>45</v>
      </c>
    </row>
    <row r="339" spans="1:3" x14ac:dyDescent="0.3">
      <c r="A339">
        <v>326</v>
      </c>
      <c r="B339" t="s">
        <v>267</v>
      </c>
      <c r="C339" t="s">
        <v>50</v>
      </c>
    </row>
    <row r="340" spans="1:3" x14ac:dyDescent="0.3">
      <c r="A340">
        <v>327</v>
      </c>
      <c r="B340" t="s">
        <v>268</v>
      </c>
      <c r="C340" t="s">
        <v>45</v>
      </c>
    </row>
    <row r="341" spans="1:3" x14ac:dyDescent="0.3">
      <c r="A341">
        <v>328</v>
      </c>
      <c r="B341" t="s">
        <v>269</v>
      </c>
      <c r="C341" t="s">
        <v>10</v>
      </c>
    </row>
    <row r="342" spans="1:3" x14ac:dyDescent="0.3">
      <c r="A342">
        <v>329</v>
      </c>
      <c r="B342" t="s">
        <v>270</v>
      </c>
      <c r="C342" t="s">
        <v>152</v>
      </c>
    </row>
    <row r="343" spans="1:3" x14ac:dyDescent="0.3">
      <c r="A343">
        <v>330</v>
      </c>
      <c r="B343" t="s">
        <v>271</v>
      </c>
      <c r="C343" t="s">
        <v>50</v>
      </c>
    </row>
    <row r="344" spans="1:3" x14ac:dyDescent="0.3">
      <c r="A344">
        <v>331</v>
      </c>
      <c r="B344" t="s">
        <v>272</v>
      </c>
      <c r="C344" t="s">
        <v>45</v>
      </c>
    </row>
    <row r="345" spans="1:3" x14ac:dyDescent="0.3">
      <c r="A345">
        <v>332</v>
      </c>
      <c r="B345" t="s">
        <v>273</v>
      </c>
      <c r="C345" t="s">
        <v>50</v>
      </c>
    </row>
    <row r="346" spans="1:3" x14ac:dyDescent="0.3">
      <c r="A346">
        <v>333</v>
      </c>
      <c r="B346" t="s">
        <v>274</v>
      </c>
      <c r="C346" t="s">
        <v>10</v>
      </c>
    </row>
    <row r="347" spans="1:3" x14ac:dyDescent="0.3">
      <c r="A347">
        <v>334</v>
      </c>
      <c r="B347" t="s">
        <v>275</v>
      </c>
      <c r="C347" t="s">
        <v>50</v>
      </c>
    </row>
    <row r="348" spans="1:3" x14ac:dyDescent="0.3">
      <c r="A348">
        <v>335</v>
      </c>
      <c r="B348" t="s">
        <v>616</v>
      </c>
      <c r="C348" t="s">
        <v>10</v>
      </c>
    </row>
    <row r="349" spans="1:3" x14ac:dyDescent="0.3">
      <c r="A349">
        <v>336</v>
      </c>
      <c r="B349" t="s">
        <v>535</v>
      </c>
      <c r="C349" t="s">
        <v>5</v>
      </c>
    </row>
    <row r="350" spans="1:3" x14ac:dyDescent="0.3">
      <c r="A350">
        <v>337</v>
      </c>
      <c r="B350" t="s">
        <v>585</v>
      </c>
      <c r="C350" t="s">
        <v>45</v>
      </c>
    </row>
    <row r="351" spans="1:3" x14ac:dyDescent="0.3">
      <c r="A351">
        <v>338</v>
      </c>
      <c r="B351" t="s">
        <v>276</v>
      </c>
      <c r="C351" t="s">
        <v>45</v>
      </c>
    </row>
    <row r="352" spans="1:3" x14ac:dyDescent="0.3">
      <c r="A352">
        <v>339</v>
      </c>
      <c r="B352" t="s">
        <v>522</v>
      </c>
      <c r="C352" t="s">
        <v>5</v>
      </c>
    </row>
    <row r="353" spans="1:3" x14ac:dyDescent="0.3">
      <c r="A353">
        <v>340</v>
      </c>
      <c r="B353" t="s">
        <v>277</v>
      </c>
      <c r="C353" t="s">
        <v>10</v>
      </c>
    </row>
    <row r="354" spans="1:3" x14ac:dyDescent="0.3">
      <c r="A354">
        <v>341</v>
      </c>
      <c r="B354" t="s">
        <v>278</v>
      </c>
      <c r="C354" t="s">
        <v>264</v>
      </c>
    </row>
    <row r="355" spans="1:3" x14ac:dyDescent="0.3">
      <c r="A355">
        <v>342</v>
      </c>
      <c r="B355" t="s">
        <v>279</v>
      </c>
      <c r="C355" t="s">
        <v>5</v>
      </c>
    </row>
    <row r="356" spans="1:3" x14ac:dyDescent="0.3">
      <c r="A356">
        <v>343</v>
      </c>
      <c r="B356" t="s">
        <v>536</v>
      </c>
      <c r="C356" t="s">
        <v>5</v>
      </c>
    </row>
    <row r="357" spans="1:3" x14ac:dyDescent="0.3">
      <c r="A357">
        <v>344</v>
      </c>
      <c r="B357" t="s">
        <v>617</v>
      </c>
      <c r="C357" t="s">
        <v>10</v>
      </c>
    </row>
    <row r="358" spans="1:3" x14ac:dyDescent="0.3">
      <c r="A358">
        <v>345</v>
      </c>
      <c r="B358" t="s">
        <v>570</v>
      </c>
      <c r="C358" t="s">
        <v>50</v>
      </c>
    </row>
    <row r="359" spans="1:3" x14ac:dyDescent="0.3">
      <c r="A359">
        <v>346</v>
      </c>
      <c r="B359" t="s">
        <v>537</v>
      </c>
      <c r="C359" t="s">
        <v>5</v>
      </c>
    </row>
    <row r="360" spans="1:3" x14ac:dyDescent="0.3">
      <c r="A360">
        <v>347</v>
      </c>
      <c r="B360" t="s">
        <v>280</v>
      </c>
      <c r="C360" t="s">
        <v>10</v>
      </c>
    </row>
    <row r="361" spans="1:3" x14ac:dyDescent="0.3">
      <c r="A361">
        <v>348</v>
      </c>
      <c r="B361" t="s">
        <v>281</v>
      </c>
      <c r="C361" t="s">
        <v>5</v>
      </c>
    </row>
    <row r="362" spans="1:3" x14ac:dyDescent="0.3">
      <c r="A362">
        <v>349</v>
      </c>
      <c r="B362" t="s">
        <v>282</v>
      </c>
      <c r="C362" t="s">
        <v>5</v>
      </c>
    </row>
    <row r="363" spans="1:3" x14ac:dyDescent="0.3">
      <c r="A363">
        <v>350</v>
      </c>
      <c r="B363" t="s">
        <v>283</v>
      </c>
      <c r="C363" t="s">
        <v>10</v>
      </c>
    </row>
    <row r="364" spans="1:3" x14ac:dyDescent="0.3">
      <c r="A364">
        <v>351</v>
      </c>
      <c r="B364" t="s">
        <v>284</v>
      </c>
      <c r="C364" t="s">
        <v>152</v>
      </c>
    </row>
    <row r="365" spans="1:3" x14ac:dyDescent="0.3">
      <c r="A365">
        <v>352</v>
      </c>
      <c r="B365" t="s">
        <v>285</v>
      </c>
      <c r="C365" t="s">
        <v>10</v>
      </c>
    </row>
    <row r="366" spans="1:3" x14ac:dyDescent="0.3">
      <c r="A366">
        <v>353</v>
      </c>
      <c r="B366" t="s">
        <v>286</v>
      </c>
      <c r="C366" t="s">
        <v>10</v>
      </c>
    </row>
    <row r="367" spans="1:3" x14ac:dyDescent="0.3">
      <c r="A367">
        <v>354</v>
      </c>
      <c r="B367" t="s">
        <v>523</v>
      </c>
      <c r="C367" t="s">
        <v>5</v>
      </c>
    </row>
    <row r="368" spans="1:3" x14ac:dyDescent="0.3">
      <c r="A368">
        <v>355</v>
      </c>
      <c r="B368" t="s">
        <v>287</v>
      </c>
      <c r="C368" t="s">
        <v>45</v>
      </c>
    </row>
    <row r="369" spans="1:3" x14ac:dyDescent="0.3">
      <c r="A369">
        <v>356</v>
      </c>
      <c r="B369" t="s">
        <v>618</v>
      </c>
      <c r="C369" t="s">
        <v>50</v>
      </c>
    </row>
    <row r="370" spans="1:3" x14ac:dyDescent="0.3">
      <c r="A370">
        <v>357</v>
      </c>
      <c r="B370" t="s">
        <v>554</v>
      </c>
      <c r="C370" t="s">
        <v>50</v>
      </c>
    </row>
    <row r="371" spans="1:3" x14ac:dyDescent="0.3">
      <c r="A371">
        <v>358</v>
      </c>
      <c r="B371" t="s">
        <v>288</v>
      </c>
      <c r="C371" t="s">
        <v>152</v>
      </c>
    </row>
    <row r="372" spans="1:3" x14ac:dyDescent="0.3">
      <c r="A372">
        <v>359</v>
      </c>
      <c r="B372" t="s">
        <v>289</v>
      </c>
      <c r="C372" t="s">
        <v>50</v>
      </c>
    </row>
    <row r="373" spans="1:3" x14ac:dyDescent="0.3">
      <c r="A373">
        <v>360</v>
      </c>
      <c r="B373" t="s">
        <v>290</v>
      </c>
      <c r="C373" t="s">
        <v>45</v>
      </c>
    </row>
    <row r="374" spans="1:3" x14ac:dyDescent="0.3">
      <c r="A374">
        <v>361</v>
      </c>
      <c r="B374" t="s">
        <v>291</v>
      </c>
      <c r="C374" t="s">
        <v>5</v>
      </c>
    </row>
    <row r="375" spans="1:3" x14ac:dyDescent="0.3">
      <c r="A375">
        <v>362</v>
      </c>
      <c r="B375" t="s">
        <v>586</v>
      </c>
      <c r="C375" t="s">
        <v>45</v>
      </c>
    </row>
    <row r="376" spans="1:3" x14ac:dyDescent="0.3">
      <c r="A376">
        <v>363</v>
      </c>
      <c r="B376" t="s">
        <v>292</v>
      </c>
      <c r="C376" t="s">
        <v>5</v>
      </c>
    </row>
    <row r="377" spans="1:3" x14ac:dyDescent="0.3">
      <c r="A377">
        <v>364</v>
      </c>
      <c r="B377" t="s">
        <v>209</v>
      </c>
      <c r="C377" t="s">
        <v>50</v>
      </c>
    </row>
    <row r="378" spans="1:3" x14ac:dyDescent="0.3">
      <c r="A378">
        <v>365</v>
      </c>
      <c r="B378" t="s">
        <v>293</v>
      </c>
      <c r="C378" t="s">
        <v>10</v>
      </c>
    </row>
    <row r="379" spans="1:3" x14ac:dyDescent="0.3">
      <c r="A379">
        <v>366</v>
      </c>
      <c r="B379" t="s">
        <v>294</v>
      </c>
      <c r="C379" t="s">
        <v>152</v>
      </c>
    </row>
    <row r="380" spans="1:3" x14ac:dyDescent="0.3">
      <c r="A380">
        <v>367</v>
      </c>
      <c r="B380" t="s">
        <v>295</v>
      </c>
      <c r="C380" t="s">
        <v>10</v>
      </c>
    </row>
    <row r="381" spans="1:3" x14ac:dyDescent="0.3">
      <c r="A381">
        <v>368</v>
      </c>
      <c r="B381" t="s">
        <v>296</v>
      </c>
      <c r="C381" t="s">
        <v>10</v>
      </c>
    </row>
    <row r="382" spans="1:3" x14ac:dyDescent="0.3">
      <c r="A382">
        <v>369</v>
      </c>
      <c r="B382" t="s">
        <v>297</v>
      </c>
      <c r="C382" t="s">
        <v>5</v>
      </c>
    </row>
    <row r="383" spans="1:3" x14ac:dyDescent="0.3">
      <c r="A383">
        <v>370</v>
      </c>
      <c r="B383" t="s">
        <v>298</v>
      </c>
      <c r="C383" t="s">
        <v>45</v>
      </c>
    </row>
    <row r="384" spans="1:3" x14ac:dyDescent="0.3">
      <c r="A384">
        <v>371</v>
      </c>
      <c r="B384" t="s">
        <v>299</v>
      </c>
      <c r="C384" t="s">
        <v>10</v>
      </c>
    </row>
    <row r="385" spans="1:3" x14ac:dyDescent="0.3">
      <c r="A385">
        <v>372</v>
      </c>
      <c r="B385" t="s">
        <v>300</v>
      </c>
      <c r="C385" t="s">
        <v>10</v>
      </c>
    </row>
    <row r="386" spans="1:3" x14ac:dyDescent="0.3">
      <c r="A386">
        <v>373</v>
      </c>
      <c r="B386" t="s">
        <v>301</v>
      </c>
      <c r="C386" t="s">
        <v>10</v>
      </c>
    </row>
    <row r="387" spans="1:3" x14ac:dyDescent="0.3">
      <c r="A387">
        <v>374</v>
      </c>
      <c r="B387" t="s">
        <v>302</v>
      </c>
      <c r="C387" t="s">
        <v>50</v>
      </c>
    </row>
    <row r="388" spans="1:3" x14ac:dyDescent="0.3">
      <c r="A388">
        <v>375</v>
      </c>
      <c r="B388" t="s">
        <v>303</v>
      </c>
      <c r="C388" t="s">
        <v>50</v>
      </c>
    </row>
    <row r="389" spans="1:3" x14ac:dyDescent="0.3">
      <c r="A389">
        <v>376</v>
      </c>
      <c r="B389" t="s">
        <v>571</v>
      </c>
      <c r="C389" t="s">
        <v>50</v>
      </c>
    </row>
    <row r="390" spans="1:3" x14ac:dyDescent="0.3">
      <c r="A390">
        <v>377</v>
      </c>
      <c r="B390" t="s">
        <v>304</v>
      </c>
      <c r="C390" t="s">
        <v>5</v>
      </c>
    </row>
    <row r="391" spans="1:3" x14ac:dyDescent="0.3">
      <c r="A391">
        <v>378</v>
      </c>
      <c r="B391" t="s">
        <v>555</v>
      </c>
      <c r="C391" t="s">
        <v>50</v>
      </c>
    </row>
    <row r="392" spans="1:3" x14ac:dyDescent="0.3">
      <c r="A392">
        <v>379</v>
      </c>
      <c r="B392" t="s">
        <v>601</v>
      </c>
      <c r="C392" t="s">
        <v>10</v>
      </c>
    </row>
    <row r="393" spans="1:3" x14ac:dyDescent="0.3">
      <c r="A393">
        <v>380</v>
      </c>
      <c r="B393" t="s">
        <v>305</v>
      </c>
      <c r="C393" t="s">
        <v>50</v>
      </c>
    </row>
    <row r="394" spans="1:3" x14ac:dyDescent="0.3">
      <c r="A394">
        <v>381</v>
      </c>
      <c r="B394" t="s">
        <v>306</v>
      </c>
      <c r="C394" t="s">
        <v>5</v>
      </c>
    </row>
    <row r="395" spans="1:3" x14ac:dyDescent="0.3">
      <c r="A395">
        <v>382</v>
      </c>
      <c r="B395" t="s">
        <v>307</v>
      </c>
      <c r="C395" t="s">
        <v>10</v>
      </c>
    </row>
    <row r="396" spans="1:3" x14ac:dyDescent="0.3">
      <c r="A396">
        <v>383</v>
      </c>
      <c r="B396" t="s">
        <v>308</v>
      </c>
      <c r="C396" t="s">
        <v>152</v>
      </c>
    </row>
    <row r="397" spans="1:3" x14ac:dyDescent="0.3">
      <c r="A397">
        <v>384</v>
      </c>
      <c r="B397" t="s">
        <v>309</v>
      </c>
      <c r="C397" t="s">
        <v>50</v>
      </c>
    </row>
    <row r="398" spans="1:3" x14ac:dyDescent="0.3">
      <c r="A398">
        <v>385</v>
      </c>
      <c r="B398" t="s">
        <v>587</v>
      </c>
      <c r="C398" t="s">
        <v>45</v>
      </c>
    </row>
    <row r="399" spans="1:3" x14ac:dyDescent="0.3">
      <c r="A399">
        <v>386</v>
      </c>
      <c r="B399" t="s">
        <v>310</v>
      </c>
      <c r="C399" t="s">
        <v>50</v>
      </c>
    </row>
    <row r="400" spans="1:3" x14ac:dyDescent="0.3">
      <c r="A400">
        <v>387</v>
      </c>
      <c r="B400" t="s">
        <v>311</v>
      </c>
      <c r="C400" t="s">
        <v>10</v>
      </c>
    </row>
    <row r="401" spans="1:3" x14ac:dyDescent="0.3">
      <c r="A401">
        <v>388</v>
      </c>
      <c r="B401" t="s">
        <v>312</v>
      </c>
      <c r="C401" t="s">
        <v>50</v>
      </c>
    </row>
    <row r="402" spans="1:3" x14ac:dyDescent="0.3">
      <c r="A402">
        <v>389</v>
      </c>
      <c r="B402" t="s">
        <v>556</v>
      </c>
      <c r="C402" t="s">
        <v>50</v>
      </c>
    </row>
    <row r="403" spans="1:3" x14ac:dyDescent="0.3">
      <c r="A403">
        <v>390</v>
      </c>
      <c r="B403" t="s">
        <v>313</v>
      </c>
      <c r="C403" t="s">
        <v>50</v>
      </c>
    </row>
    <row r="404" spans="1:3" x14ac:dyDescent="0.3">
      <c r="A404">
        <v>391</v>
      </c>
      <c r="B404" t="s">
        <v>314</v>
      </c>
      <c r="C404" t="s">
        <v>50</v>
      </c>
    </row>
    <row r="405" spans="1:3" x14ac:dyDescent="0.3">
      <c r="A405">
        <v>392</v>
      </c>
      <c r="B405" t="s">
        <v>315</v>
      </c>
      <c r="C405" t="s">
        <v>10</v>
      </c>
    </row>
    <row r="406" spans="1:3" x14ac:dyDescent="0.3">
      <c r="A406">
        <v>393</v>
      </c>
      <c r="B406" t="s">
        <v>316</v>
      </c>
      <c r="C406" t="s">
        <v>50</v>
      </c>
    </row>
    <row r="407" spans="1:3" x14ac:dyDescent="0.3">
      <c r="A407">
        <v>394</v>
      </c>
      <c r="B407" t="s">
        <v>317</v>
      </c>
      <c r="C407" t="s">
        <v>10</v>
      </c>
    </row>
    <row r="408" spans="1:3" x14ac:dyDescent="0.3">
      <c r="A408">
        <v>395</v>
      </c>
      <c r="B408" t="s">
        <v>318</v>
      </c>
      <c r="C408" t="s">
        <v>152</v>
      </c>
    </row>
    <row r="409" spans="1:3" x14ac:dyDescent="0.3">
      <c r="A409">
        <v>396</v>
      </c>
      <c r="B409" t="s">
        <v>588</v>
      </c>
      <c r="C409" t="s">
        <v>45</v>
      </c>
    </row>
    <row r="410" spans="1:3" x14ac:dyDescent="0.3">
      <c r="A410">
        <v>397</v>
      </c>
      <c r="B410" t="s">
        <v>319</v>
      </c>
      <c r="C410" t="s">
        <v>5</v>
      </c>
    </row>
    <row r="411" spans="1:3" x14ac:dyDescent="0.3">
      <c r="A411">
        <v>398</v>
      </c>
      <c r="B411" t="s">
        <v>320</v>
      </c>
      <c r="C411" t="s">
        <v>10</v>
      </c>
    </row>
    <row r="412" spans="1:3" x14ac:dyDescent="0.3">
      <c r="A412">
        <v>399</v>
      </c>
      <c r="B412" t="s">
        <v>321</v>
      </c>
      <c r="C412" t="s">
        <v>45</v>
      </c>
    </row>
    <row r="413" spans="1:3" x14ac:dyDescent="0.3">
      <c r="A413">
        <v>400</v>
      </c>
      <c r="B413" t="s">
        <v>322</v>
      </c>
      <c r="C413" t="s">
        <v>45</v>
      </c>
    </row>
    <row r="414" spans="1:3" x14ac:dyDescent="0.3">
      <c r="A414">
        <v>401</v>
      </c>
      <c r="B414" t="s">
        <v>323</v>
      </c>
      <c r="C414" t="s">
        <v>5</v>
      </c>
    </row>
    <row r="415" spans="1:3" x14ac:dyDescent="0.3">
      <c r="A415">
        <v>402</v>
      </c>
      <c r="B415" t="s">
        <v>324</v>
      </c>
      <c r="C415" t="s">
        <v>10</v>
      </c>
    </row>
    <row r="416" spans="1:3" x14ac:dyDescent="0.3">
      <c r="A416">
        <v>403</v>
      </c>
      <c r="B416" t="s">
        <v>325</v>
      </c>
      <c r="C416" t="s">
        <v>50</v>
      </c>
    </row>
    <row r="417" spans="1:3" x14ac:dyDescent="0.3">
      <c r="A417">
        <v>404</v>
      </c>
      <c r="B417" t="s">
        <v>326</v>
      </c>
      <c r="C417" t="s">
        <v>5</v>
      </c>
    </row>
    <row r="418" spans="1:3" x14ac:dyDescent="0.3">
      <c r="A418">
        <v>405</v>
      </c>
      <c r="B418" t="s">
        <v>327</v>
      </c>
      <c r="C418" t="s">
        <v>152</v>
      </c>
    </row>
    <row r="419" spans="1:3" x14ac:dyDescent="0.3">
      <c r="A419">
        <v>406</v>
      </c>
      <c r="B419" t="s">
        <v>328</v>
      </c>
      <c r="C419" t="s">
        <v>5</v>
      </c>
    </row>
    <row r="420" spans="1:3" x14ac:dyDescent="0.3">
      <c r="A420">
        <v>407</v>
      </c>
      <c r="B420" t="s">
        <v>329</v>
      </c>
      <c r="C420" t="s">
        <v>50</v>
      </c>
    </row>
    <row r="421" spans="1:3" x14ac:dyDescent="0.3">
      <c r="A421">
        <v>408</v>
      </c>
      <c r="B421" t="s">
        <v>330</v>
      </c>
      <c r="C421" t="s">
        <v>50</v>
      </c>
    </row>
    <row r="422" spans="1:3" x14ac:dyDescent="0.3">
      <c r="A422">
        <v>409</v>
      </c>
      <c r="B422" t="s">
        <v>557</v>
      </c>
      <c r="C422" t="s">
        <v>50</v>
      </c>
    </row>
    <row r="423" spans="1:3" x14ac:dyDescent="0.3">
      <c r="A423">
        <v>410</v>
      </c>
      <c r="B423" t="s">
        <v>331</v>
      </c>
      <c r="C423" t="s">
        <v>152</v>
      </c>
    </row>
    <row r="424" spans="1:3" x14ac:dyDescent="0.3">
      <c r="A424">
        <v>411</v>
      </c>
      <c r="B424" t="s">
        <v>332</v>
      </c>
      <c r="C424" t="s">
        <v>10</v>
      </c>
    </row>
    <row r="425" spans="1:3" x14ac:dyDescent="0.3">
      <c r="A425">
        <v>412</v>
      </c>
      <c r="B425" t="s">
        <v>589</v>
      </c>
      <c r="C425" t="s">
        <v>45</v>
      </c>
    </row>
    <row r="426" spans="1:3" x14ac:dyDescent="0.3">
      <c r="A426">
        <v>413</v>
      </c>
      <c r="B426" t="s">
        <v>333</v>
      </c>
      <c r="C426" t="s">
        <v>5</v>
      </c>
    </row>
    <row r="427" spans="1:3" x14ac:dyDescent="0.3">
      <c r="A427">
        <v>414</v>
      </c>
      <c r="B427" t="s">
        <v>334</v>
      </c>
      <c r="C427" t="s">
        <v>10</v>
      </c>
    </row>
    <row r="428" spans="1:3" x14ac:dyDescent="0.3">
      <c r="A428">
        <v>415</v>
      </c>
      <c r="B428" t="s">
        <v>335</v>
      </c>
      <c r="C428" t="s">
        <v>45</v>
      </c>
    </row>
    <row r="429" spans="1:3" x14ac:dyDescent="0.3">
      <c r="A429">
        <v>416</v>
      </c>
      <c r="B429" t="s">
        <v>336</v>
      </c>
      <c r="C429" t="s">
        <v>50</v>
      </c>
    </row>
    <row r="430" spans="1:3" x14ac:dyDescent="0.3">
      <c r="A430">
        <v>417</v>
      </c>
      <c r="B430" t="s">
        <v>602</v>
      </c>
      <c r="C430" t="s">
        <v>10</v>
      </c>
    </row>
    <row r="431" spans="1:3" x14ac:dyDescent="0.3">
      <c r="A431">
        <v>418</v>
      </c>
      <c r="B431" t="s">
        <v>337</v>
      </c>
      <c r="C431" t="s">
        <v>5</v>
      </c>
    </row>
    <row r="432" spans="1:3" x14ac:dyDescent="0.3">
      <c r="A432">
        <v>419</v>
      </c>
      <c r="B432" t="s">
        <v>603</v>
      </c>
      <c r="C432" t="s">
        <v>10</v>
      </c>
    </row>
    <row r="433" spans="1:3" x14ac:dyDescent="0.3">
      <c r="A433">
        <v>420</v>
      </c>
      <c r="B433" t="s">
        <v>575</v>
      </c>
      <c r="C433" t="s">
        <v>5</v>
      </c>
    </row>
    <row r="434" spans="1:3" x14ac:dyDescent="0.3">
      <c r="A434">
        <v>421</v>
      </c>
      <c r="B434" t="s">
        <v>338</v>
      </c>
      <c r="C434" t="s">
        <v>10</v>
      </c>
    </row>
    <row r="435" spans="1:3" x14ac:dyDescent="0.3">
      <c r="A435">
        <v>422</v>
      </c>
      <c r="B435" t="s">
        <v>558</v>
      </c>
      <c r="C435" t="s">
        <v>50</v>
      </c>
    </row>
    <row r="436" spans="1:3" x14ac:dyDescent="0.3">
      <c r="A436">
        <v>423</v>
      </c>
      <c r="B436" t="s">
        <v>339</v>
      </c>
      <c r="C436" t="s">
        <v>10</v>
      </c>
    </row>
    <row r="437" spans="1:3" x14ac:dyDescent="0.3">
      <c r="A437">
        <v>424</v>
      </c>
      <c r="B437" t="s">
        <v>340</v>
      </c>
      <c r="C437" t="s">
        <v>45</v>
      </c>
    </row>
    <row r="438" spans="1:3" x14ac:dyDescent="0.3">
      <c r="A438">
        <v>425</v>
      </c>
      <c r="B438" t="s">
        <v>341</v>
      </c>
      <c r="C438" t="s">
        <v>5</v>
      </c>
    </row>
    <row r="439" spans="1:3" x14ac:dyDescent="0.3">
      <c r="A439">
        <v>426</v>
      </c>
      <c r="B439" t="s">
        <v>342</v>
      </c>
      <c r="C439" t="s">
        <v>45</v>
      </c>
    </row>
    <row r="440" spans="1:3" x14ac:dyDescent="0.3">
      <c r="A440">
        <v>427</v>
      </c>
      <c r="B440" t="s">
        <v>343</v>
      </c>
      <c r="C440" t="s">
        <v>45</v>
      </c>
    </row>
    <row r="441" spans="1:3" x14ac:dyDescent="0.3">
      <c r="A441">
        <v>428</v>
      </c>
      <c r="B441" t="s">
        <v>344</v>
      </c>
      <c r="C441" t="s">
        <v>5</v>
      </c>
    </row>
    <row r="442" spans="1:3" x14ac:dyDescent="0.3">
      <c r="A442">
        <v>429</v>
      </c>
      <c r="B442" t="s">
        <v>572</v>
      </c>
      <c r="C442" t="s">
        <v>50</v>
      </c>
    </row>
    <row r="443" spans="1:3" x14ac:dyDescent="0.3">
      <c r="A443">
        <v>430</v>
      </c>
      <c r="B443" t="s">
        <v>345</v>
      </c>
      <c r="C443" t="s">
        <v>152</v>
      </c>
    </row>
    <row r="444" spans="1:3" x14ac:dyDescent="0.3">
      <c r="A444">
        <v>431</v>
      </c>
      <c r="B444" t="s">
        <v>346</v>
      </c>
      <c r="C444" t="s">
        <v>152</v>
      </c>
    </row>
    <row r="445" spans="1:3" x14ac:dyDescent="0.3">
      <c r="A445">
        <v>432</v>
      </c>
      <c r="B445" t="s">
        <v>347</v>
      </c>
      <c r="C445" t="s">
        <v>245</v>
      </c>
    </row>
    <row r="446" spans="1:3" x14ac:dyDescent="0.3">
      <c r="A446">
        <v>433</v>
      </c>
      <c r="B446" t="s">
        <v>348</v>
      </c>
      <c r="C446" t="s">
        <v>10</v>
      </c>
    </row>
    <row r="447" spans="1:3" x14ac:dyDescent="0.3">
      <c r="A447">
        <v>434</v>
      </c>
      <c r="B447" t="s">
        <v>349</v>
      </c>
      <c r="C447" t="s">
        <v>50</v>
      </c>
    </row>
    <row r="448" spans="1:3" x14ac:dyDescent="0.3">
      <c r="A448">
        <v>435</v>
      </c>
      <c r="B448" t="s">
        <v>350</v>
      </c>
      <c r="C448" t="s">
        <v>10</v>
      </c>
    </row>
    <row r="449" spans="1:3" x14ac:dyDescent="0.3">
      <c r="A449">
        <v>436</v>
      </c>
      <c r="B449" t="s">
        <v>351</v>
      </c>
      <c r="C449" t="s">
        <v>45</v>
      </c>
    </row>
    <row r="450" spans="1:3" x14ac:dyDescent="0.3">
      <c r="A450">
        <v>437</v>
      </c>
      <c r="B450" t="s">
        <v>352</v>
      </c>
      <c r="C450" t="s">
        <v>45</v>
      </c>
    </row>
    <row r="451" spans="1:3" x14ac:dyDescent="0.3">
      <c r="A451">
        <v>438</v>
      </c>
      <c r="B451" t="s">
        <v>353</v>
      </c>
      <c r="C451" t="s">
        <v>45</v>
      </c>
    </row>
    <row r="452" spans="1:3" x14ac:dyDescent="0.3">
      <c r="A452">
        <v>439</v>
      </c>
      <c r="B452" t="s">
        <v>354</v>
      </c>
      <c r="C452" t="s">
        <v>45</v>
      </c>
    </row>
    <row r="453" spans="1:3" x14ac:dyDescent="0.3">
      <c r="A453">
        <v>440</v>
      </c>
      <c r="B453" t="s">
        <v>355</v>
      </c>
      <c r="C453" t="s">
        <v>245</v>
      </c>
    </row>
    <row r="454" spans="1:3" x14ac:dyDescent="0.3">
      <c r="A454">
        <v>441</v>
      </c>
      <c r="B454" t="s">
        <v>356</v>
      </c>
      <c r="C454" t="s">
        <v>45</v>
      </c>
    </row>
    <row r="455" spans="1:3" x14ac:dyDescent="0.3">
      <c r="A455">
        <v>442</v>
      </c>
      <c r="B455" t="s">
        <v>559</v>
      </c>
      <c r="C455" t="s">
        <v>50</v>
      </c>
    </row>
    <row r="456" spans="1:3" x14ac:dyDescent="0.3">
      <c r="A456">
        <v>443</v>
      </c>
      <c r="B456" t="s">
        <v>357</v>
      </c>
      <c r="C456" t="s">
        <v>5</v>
      </c>
    </row>
    <row r="457" spans="1:3" x14ac:dyDescent="0.3">
      <c r="A457">
        <v>444</v>
      </c>
      <c r="B457" t="s">
        <v>358</v>
      </c>
      <c r="C457" t="s">
        <v>45</v>
      </c>
    </row>
    <row r="458" spans="1:3" x14ac:dyDescent="0.3">
      <c r="A458">
        <v>445</v>
      </c>
      <c r="B458" t="s">
        <v>359</v>
      </c>
      <c r="C458" t="s">
        <v>5</v>
      </c>
    </row>
    <row r="459" spans="1:3" x14ac:dyDescent="0.3">
      <c r="A459">
        <v>446</v>
      </c>
      <c r="B459" t="s">
        <v>360</v>
      </c>
      <c r="C459" t="s">
        <v>152</v>
      </c>
    </row>
    <row r="460" spans="1:3" x14ac:dyDescent="0.3">
      <c r="A460">
        <v>447</v>
      </c>
      <c r="B460" t="s">
        <v>590</v>
      </c>
      <c r="C460" t="s">
        <v>45</v>
      </c>
    </row>
    <row r="461" spans="1:3" x14ac:dyDescent="0.3">
      <c r="A461">
        <v>448</v>
      </c>
      <c r="B461" t="s">
        <v>361</v>
      </c>
      <c r="C461" t="s">
        <v>5</v>
      </c>
    </row>
    <row r="462" spans="1:3" x14ac:dyDescent="0.3">
      <c r="A462">
        <v>449</v>
      </c>
      <c r="B462" t="s">
        <v>604</v>
      </c>
      <c r="C462" t="s">
        <v>10</v>
      </c>
    </row>
    <row r="463" spans="1:3" x14ac:dyDescent="0.3">
      <c r="A463">
        <v>450</v>
      </c>
      <c r="B463" t="s">
        <v>362</v>
      </c>
      <c r="C463" t="s">
        <v>10</v>
      </c>
    </row>
    <row r="464" spans="1:3" x14ac:dyDescent="0.3">
      <c r="A464">
        <v>451</v>
      </c>
      <c r="B464" t="s">
        <v>363</v>
      </c>
      <c r="C464" t="s">
        <v>50</v>
      </c>
    </row>
    <row r="465" spans="1:3" x14ac:dyDescent="0.3">
      <c r="A465">
        <v>452</v>
      </c>
      <c r="B465" t="s">
        <v>364</v>
      </c>
      <c r="C465" t="s">
        <v>10</v>
      </c>
    </row>
    <row r="466" spans="1:3" x14ac:dyDescent="0.3">
      <c r="A466">
        <v>453</v>
      </c>
      <c r="B466" t="s">
        <v>560</v>
      </c>
      <c r="C466" t="s">
        <v>50</v>
      </c>
    </row>
    <row r="467" spans="1:3" x14ac:dyDescent="0.3">
      <c r="A467">
        <v>454</v>
      </c>
      <c r="B467" t="s">
        <v>365</v>
      </c>
      <c r="C467" t="s">
        <v>45</v>
      </c>
    </row>
    <row r="468" spans="1:3" x14ac:dyDescent="0.3">
      <c r="A468">
        <v>455</v>
      </c>
      <c r="B468" t="s">
        <v>366</v>
      </c>
      <c r="C468" t="s">
        <v>45</v>
      </c>
    </row>
    <row r="469" spans="1:3" x14ac:dyDescent="0.3">
      <c r="A469">
        <v>456</v>
      </c>
      <c r="B469" t="s">
        <v>367</v>
      </c>
      <c r="C469" t="s">
        <v>5</v>
      </c>
    </row>
    <row r="470" spans="1:3" x14ac:dyDescent="0.3">
      <c r="A470">
        <v>457</v>
      </c>
      <c r="B470" t="s">
        <v>368</v>
      </c>
      <c r="C470" t="s">
        <v>5</v>
      </c>
    </row>
    <row r="471" spans="1:3" x14ac:dyDescent="0.3">
      <c r="A471">
        <v>458</v>
      </c>
      <c r="B471" t="s">
        <v>561</v>
      </c>
      <c r="C471" t="s">
        <v>50</v>
      </c>
    </row>
    <row r="472" spans="1:3" x14ac:dyDescent="0.3">
      <c r="A472">
        <v>459</v>
      </c>
      <c r="B472" t="s">
        <v>369</v>
      </c>
      <c r="C472" t="s">
        <v>50</v>
      </c>
    </row>
    <row r="473" spans="1:3" x14ac:dyDescent="0.3">
      <c r="A473">
        <v>460</v>
      </c>
      <c r="B473" t="s">
        <v>562</v>
      </c>
      <c r="C473" t="s">
        <v>50</v>
      </c>
    </row>
    <row r="474" spans="1:3" x14ac:dyDescent="0.3">
      <c r="A474">
        <v>461</v>
      </c>
      <c r="B474" t="s">
        <v>370</v>
      </c>
      <c r="C474" t="s">
        <v>152</v>
      </c>
    </row>
    <row r="475" spans="1:3" x14ac:dyDescent="0.3">
      <c r="A475">
        <v>462</v>
      </c>
      <c r="B475" t="s">
        <v>576</v>
      </c>
      <c r="C475" t="s">
        <v>5</v>
      </c>
    </row>
    <row r="476" spans="1:3" x14ac:dyDescent="0.3">
      <c r="A476">
        <v>463</v>
      </c>
      <c r="B476" t="s">
        <v>371</v>
      </c>
      <c r="C476" t="s">
        <v>10</v>
      </c>
    </row>
    <row r="477" spans="1:3" x14ac:dyDescent="0.3">
      <c r="A477">
        <v>464</v>
      </c>
      <c r="B477" t="s">
        <v>372</v>
      </c>
      <c r="C477" t="s">
        <v>10</v>
      </c>
    </row>
    <row r="478" spans="1:3" x14ac:dyDescent="0.3">
      <c r="A478">
        <v>465</v>
      </c>
      <c r="B478" t="s">
        <v>373</v>
      </c>
      <c r="C478" t="s">
        <v>10</v>
      </c>
    </row>
    <row r="479" spans="1:3" x14ac:dyDescent="0.3">
      <c r="A479">
        <v>466</v>
      </c>
      <c r="B479" t="s">
        <v>563</v>
      </c>
      <c r="C479" t="s">
        <v>50</v>
      </c>
    </row>
    <row r="480" spans="1:3" x14ac:dyDescent="0.3">
      <c r="A480">
        <v>467</v>
      </c>
      <c r="B480" t="s">
        <v>374</v>
      </c>
      <c r="C480" t="s">
        <v>245</v>
      </c>
    </row>
    <row r="481" spans="1:3" x14ac:dyDescent="0.3">
      <c r="A481">
        <v>468</v>
      </c>
      <c r="B481" t="s">
        <v>375</v>
      </c>
      <c r="C481" t="s">
        <v>10</v>
      </c>
    </row>
    <row r="482" spans="1:3" x14ac:dyDescent="0.3">
      <c r="A482">
        <v>469</v>
      </c>
      <c r="B482" t="s">
        <v>376</v>
      </c>
      <c r="C482" t="s">
        <v>45</v>
      </c>
    </row>
    <row r="483" spans="1:3" x14ac:dyDescent="0.3">
      <c r="A483">
        <v>470</v>
      </c>
      <c r="B483" t="s">
        <v>377</v>
      </c>
      <c r="C483" t="s">
        <v>5</v>
      </c>
    </row>
    <row r="484" spans="1:3" x14ac:dyDescent="0.3">
      <c r="A484">
        <v>471</v>
      </c>
      <c r="B484" t="s">
        <v>378</v>
      </c>
      <c r="C484" t="s">
        <v>50</v>
      </c>
    </row>
    <row r="485" spans="1:3" x14ac:dyDescent="0.3">
      <c r="A485">
        <v>472</v>
      </c>
      <c r="B485" t="s">
        <v>379</v>
      </c>
      <c r="C485" t="s">
        <v>10</v>
      </c>
    </row>
    <row r="486" spans="1:3" x14ac:dyDescent="0.3">
      <c r="A486">
        <v>473</v>
      </c>
      <c r="B486" t="s">
        <v>380</v>
      </c>
      <c r="C486" t="s">
        <v>152</v>
      </c>
    </row>
    <row r="487" spans="1:3" x14ac:dyDescent="0.3">
      <c r="A487">
        <v>474</v>
      </c>
      <c r="B487" t="s">
        <v>381</v>
      </c>
      <c r="C487" t="s">
        <v>152</v>
      </c>
    </row>
    <row r="488" spans="1:3" x14ac:dyDescent="0.3">
      <c r="A488">
        <v>475</v>
      </c>
      <c r="B488" t="s">
        <v>538</v>
      </c>
      <c r="C488" t="s">
        <v>5</v>
      </c>
    </row>
    <row r="489" spans="1:3" x14ac:dyDescent="0.3">
      <c r="A489">
        <v>476</v>
      </c>
      <c r="B489" t="s">
        <v>382</v>
      </c>
      <c r="C489" t="s">
        <v>245</v>
      </c>
    </row>
    <row r="490" spans="1:3" x14ac:dyDescent="0.3">
      <c r="A490">
        <v>477</v>
      </c>
      <c r="B490" t="s">
        <v>383</v>
      </c>
      <c r="C490" t="s">
        <v>5</v>
      </c>
    </row>
    <row r="491" spans="1:3" x14ac:dyDescent="0.3">
      <c r="A491">
        <v>478</v>
      </c>
      <c r="B491" t="s">
        <v>564</v>
      </c>
      <c r="C491" t="s">
        <v>50</v>
      </c>
    </row>
    <row r="492" spans="1:3" x14ac:dyDescent="0.3">
      <c r="A492">
        <v>479</v>
      </c>
      <c r="B492" t="s">
        <v>384</v>
      </c>
      <c r="C492" t="s">
        <v>152</v>
      </c>
    </row>
    <row r="493" spans="1:3" x14ac:dyDescent="0.3">
      <c r="A493">
        <v>480</v>
      </c>
      <c r="B493" t="s">
        <v>385</v>
      </c>
      <c r="C493" t="s">
        <v>45</v>
      </c>
    </row>
    <row r="494" spans="1:3" x14ac:dyDescent="0.3">
      <c r="A494">
        <v>481</v>
      </c>
      <c r="B494" t="s">
        <v>565</v>
      </c>
      <c r="C494" t="s">
        <v>152</v>
      </c>
    </row>
    <row r="495" spans="1:3" x14ac:dyDescent="0.3">
      <c r="A495">
        <v>482</v>
      </c>
      <c r="B495" t="s">
        <v>386</v>
      </c>
      <c r="C495" t="s">
        <v>50</v>
      </c>
    </row>
    <row r="496" spans="1:3" x14ac:dyDescent="0.3">
      <c r="A496">
        <v>483</v>
      </c>
      <c r="B496" t="s">
        <v>387</v>
      </c>
      <c r="C496" t="s">
        <v>10</v>
      </c>
    </row>
    <row r="497" spans="1:3" x14ac:dyDescent="0.3">
      <c r="A497">
        <v>484</v>
      </c>
      <c r="B497" t="s">
        <v>388</v>
      </c>
      <c r="C497" t="s">
        <v>5</v>
      </c>
    </row>
    <row r="498" spans="1:3" x14ac:dyDescent="0.3">
      <c r="A498">
        <v>485</v>
      </c>
      <c r="B498" t="s">
        <v>389</v>
      </c>
      <c r="C498" t="s">
        <v>5</v>
      </c>
    </row>
    <row r="499" spans="1:3" x14ac:dyDescent="0.3">
      <c r="A499">
        <v>486</v>
      </c>
      <c r="B499" t="s">
        <v>390</v>
      </c>
      <c r="C499" t="s">
        <v>152</v>
      </c>
    </row>
    <row r="500" spans="1:3" x14ac:dyDescent="0.3">
      <c r="A500">
        <v>487</v>
      </c>
      <c r="B500" t="s">
        <v>573</v>
      </c>
      <c r="C500" t="s">
        <v>50</v>
      </c>
    </row>
    <row r="501" spans="1:3" x14ac:dyDescent="0.3">
      <c r="A501">
        <v>488</v>
      </c>
      <c r="B501" t="s">
        <v>591</v>
      </c>
      <c r="C501" t="s">
        <v>45</v>
      </c>
    </row>
    <row r="502" spans="1:3" x14ac:dyDescent="0.3">
      <c r="A502">
        <v>489</v>
      </c>
      <c r="B502" t="s">
        <v>592</v>
      </c>
      <c r="C502" t="s">
        <v>45</v>
      </c>
    </row>
    <row r="503" spans="1:3" x14ac:dyDescent="0.3">
      <c r="A503">
        <v>490</v>
      </c>
      <c r="B503" t="s">
        <v>391</v>
      </c>
      <c r="C503" t="s">
        <v>50</v>
      </c>
    </row>
    <row r="504" spans="1:3" x14ac:dyDescent="0.3">
      <c r="A504">
        <v>491</v>
      </c>
      <c r="B504" t="s">
        <v>392</v>
      </c>
      <c r="C504" t="s">
        <v>50</v>
      </c>
    </row>
    <row r="505" spans="1:3" x14ac:dyDescent="0.3">
      <c r="A505">
        <v>492</v>
      </c>
      <c r="B505" t="s">
        <v>393</v>
      </c>
      <c r="C505" t="s">
        <v>50</v>
      </c>
    </row>
    <row r="506" spans="1:3" x14ac:dyDescent="0.3">
      <c r="A506">
        <v>493</v>
      </c>
      <c r="B506" t="s">
        <v>394</v>
      </c>
      <c r="C506" t="s">
        <v>5</v>
      </c>
    </row>
    <row r="507" spans="1:3" x14ac:dyDescent="0.3">
      <c r="A507">
        <v>494</v>
      </c>
      <c r="B507" t="s">
        <v>395</v>
      </c>
      <c r="C507" t="s">
        <v>50</v>
      </c>
    </row>
    <row r="508" spans="1:3" x14ac:dyDescent="0.3">
      <c r="A508">
        <v>495</v>
      </c>
      <c r="B508" t="s">
        <v>396</v>
      </c>
      <c r="C508" t="s">
        <v>152</v>
      </c>
    </row>
    <row r="509" spans="1:3" x14ac:dyDescent="0.3">
      <c r="A509">
        <v>496</v>
      </c>
      <c r="B509" t="s">
        <v>397</v>
      </c>
      <c r="C509" t="s">
        <v>152</v>
      </c>
    </row>
    <row r="510" spans="1:3" x14ac:dyDescent="0.3">
      <c r="A510">
        <v>497</v>
      </c>
      <c r="B510" t="s">
        <v>398</v>
      </c>
      <c r="C510" t="s">
        <v>10</v>
      </c>
    </row>
    <row r="511" spans="1:3" x14ac:dyDescent="0.3">
      <c r="A511">
        <v>498</v>
      </c>
      <c r="B511" t="s">
        <v>399</v>
      </c>
      <c r="C511" t="s">
        <v>10</v>
      </c>
    </row>
    <row r="512" spans="1:3" x14ac:dyDescent="0.3">
      <c r="A512">
        <v>499</v>
      </c>
      <c r="B512" t="s">
        <v>566</v>
      </c>
      <c r="C512" t="s">
        <v>50</v>
      </c>
    </row>
    <row r="513" spans="1:3" x14ac:dyDescent="0.3">
      <c r="A513">
        <v>500</v>
      </c>
      <c r="B513" t="s">
        <v>400</v>
      </c>
      <c r="C513" t="s">
        <v>45</v>
      </c>
    </row>
    <row r="514" spans="1:3" x14ac:dyDescent="0.3">
      <c r="A514">
        <v>501</v>
      </c>
      <c r="B514" t="s">
        <v>401</v>
      </c>
      <c r="C514" t="s">
        <v>50</v>
      </c>
    </row>
    <row r="515" spans="1:3" x14ac:dyDescent="0.3">
      <c r="A515">
        <v>502</v>
      </c>
      <c r="B515" t="s">
        <v>402</v>
      </c>
      <c r="C515" t="s">
        <v>10</v>
      </c>
    </row>
    <row r="516" spans="1:3" x14ac:dyDescent="0.3">
      <c r="A516">
        <v>503</v>
      </c>
      <c r="B516" t="s">
        <v>403</v>
      </c>
      <c r="C516" t="s">
        <v>10</v>
      </c>
    </row>
    <row r="517" spans="1:3" x14ac:dyDescent="0.3">
      <c r="A517">
        <v>504</v>
      </c>
      <c r="B517" t="s">
        <v>404</v>
      </c>
      <c r="C517" t="s">
        <v>10</v>
      </c>
    </row>
    <row r="518" spans="1:3" x14ac:dyDescent="0.3">
      <c r="A518">
        <v>505</v>
      </c>
      <c r="B518" t="s">
        <v>405</v>
      </c>
      <c r="C518" t="s">
        <v>10</v>
      </c>
    </row>
    <row r="519" spans="1:3" x14ac:dyDescent="0.3">
      <c r="A519">
        <v>506</v>
      </c>
      <c r="B519" t="s">
        <v>406</v>
      </c>
      <c r="C519" t="s">
        <v>10</v>
      </c>
    </row>
    <row r="520" spans="1:3" x14ac:dyDescent="0.3">
      <c r="A520">
        <v>507</v>
      </c>
      <c r="B520" t="s">
        <v>407</v>
      </c>
      <c r="C520" t="s">
        <v>10</v>
      </c>
    </row>
    <row r="521" spans="1:3" x14ac:dyDescent="0.3">
      <c r="A521">
        <v>508</v>
      </c>
      <c r="B521" t="s">
        <v>408</v>
      </c>
      <c r="C521" t="s">
        <v>50</v>
      </c>
    </row>
    <row r="522" spans="1:3" x14ac:dyDescent="0.3">
      <c r="A522">
        <v>509</v>
      </c>
      <c r="B522" t="s">
        <v>605</v>
      </c>
      <c r="C522" t="s">
        <v>409</v>
      </c>
    </row>
    <row r="523" spans="1:3" x14ac:dyDescent="0.3">
      <c r="A523">
        <v>510</v>
      </c>
      <c r="B523" t="s">
        <v>410</v>
      </c>
      <c r="C523" t="s">
        <v>45</v>
      </c>
    </row>
    <row r="524" spans="1:3" x14ac:dyDescent="0.3">
      <c r="A524">
        <v>511</v>
      </c>
      <c r="B524" t="s">
        <v>411</v>
      </c>
      <c r="C524" t="s">
        <v>45</v>
      </c>
    </row>
    <row r="525" spans="1:3" x14ac:dyDescent="0.3">
      <c r="A525">
        <v>512</v>
      </c>
      <c r="B525" t="s">
        <v>593</v>
      </c>
      <c r="C525" t="s">
        <v>45</v>
      </c>
    </row>
    <row r="526" spans="1:3" x14ac:dyDescent="0.3">
      <c r="A526">
        <v>513</v>
      </c>
      <c r="B526" t="s">
        <v>412</v>
      </c>
      <c r="C526" t="s">
        <v>50</v>
      </c>
    </row>
    <row r="527" spans="1:3" x14ac:dyDescent="0.3">
      <c r="A527">
        <v>514</v>
      </c>
      <c r="B527" t="s">
        <v>413</v>
      </c>
      <c r="C527" t="s">
        <v>245</v>
      </c>
    </row>
    <row r="528" spans="1:3" x14ac:dyDescent="0.3">
      <c r="A528">
        <v>515</v>
      </c>
      <c r="B528" t="s">
        <v>414</v>
      </c>
      <c r="C528" t="s">
        <v>50</v>
      </c>
    </row>
    <row r="529" spans="1:3" x14ac:dyDescent="0.3">
      <c r="A529">
        <v>516</v>
      </c>
      <c r="B529" t="s">
        <v>415</v>
      </c>
      <c r="C529" t="s">
        <v>10</v>
      </c>
    </row>
    <row r="530" spans="1:3" x14ac:dyDescent="0.3">
      <c r="A530">
        <v>517</v>
      </c>
      <c r="B530" t="s">
        <v>416</v>
      </c>
      <c r="C530" t="s">
        <v>50</v>
      </c>
    </row>
    <row r="531" spans="1:3" x14ac:dyDescent="0.3">
      <c r="A531">
        <v>518</v>
      </c>
      <c r="B531" t="s">
        <v>417</v>
      </c>
      <c r="C531" t="s">
        <v>10</v>
      </c>
    </row>
    <row r="532" spans="1:3" x14ac:dyDescent="0.3">
      <c r="A532">
        <v>519</v>
      </c>
      <c r="B532" t="s">
        <v>418</v>
      </c>
      <c r="C532" t="s">
        <v>50</v>
      </c>
    </row>
    <row r="533" spans="1:3" x14ac:dyDescent="0.3">
      <c r="A533">
        <v>520</v>
      </c>
      <c r="B533" t="s">
        <v>577</v>
      </c>
      <c r="C533" t="s">
        <v>5</v>
      </c>
    </row>
    <row r="534" spans="1:3" x14ac:dyDescent="0.3">
      <c r="A534">
        <v>521</v>
      </c>
      <c r="B534" t="s">
        <v>419</v>
      </c>
      <c r="C534" t="s">
        <v>50</v>
      </c>
    </row>
    <row r="535" spans="1:3" x14ac:dyDescent="0.3">
      <c r="A535">
        <v>522</v>
      </c>
      <c r="B535" t="s">
        <v>420</v>
      </c>
      <c r="C535" t="s">
        <v>245</v>
      </c>
    </row>
    <row r="536" spans="1:3" x14ac:dyDescent="0.3">
      <c r="A536">
        <v>523</v>
      </c>
      <c r="B536" t="s">
        <v>421</v>
      </c>
      <c r="C536" t="s">
        <v>245</v>
      </c>
    </row>
    <row r="537" spans="1:3" x14ac:dyDescent="0.3">
      <c r="A537">
        <v>524</v>
      </c>
      <c r="B537" t="s">
        <v>422</v>
      </c>
      <c r="C537" t="s">
        <v>45</v>
      </c>
    </row>
    <row r="538" spans="1:3" x14ac:dyDescent="0.3">
      <c r="A538">
        <v>525</v>
      </c>
      <c r="B538" t="s">
        <v>423</v>
      </c>
      <c r="C538" t="s">
        <v>5</v>
      </c>
    </row>
    <row r="539" spans="1:3" x14ac:dyDescent="0.3">
      <c r="A539">
        <v>526</v>
      </c>
      <c r="B539" t="s">
        <v>424</v>
      </c>
      <c r="C539" t="s">
        <v>152</v>
      </c>
    </row>
    <row r="540" spans="1:3" x14ac:dyDescent="0.3">
      <c r="A540">
        <v>527</v>
      </c>
      <c r="B540" t="s">
        <v>425</v>
      </c>
      <c r="C540" t="s">
        <v>50</v>
      </c>
    </row>
    <row r="541" spans="1:3" x14ac:dyDescent="0.3">
      <c r="A541">
        <v>528</v>
      </c>
      <c r="B541" t="s">
        <v>426</v>
      </c>
      <c r="C541" t="s">
        <v>50</v>
      </c>
    </row>
    <row r="542" spans="1:3" x14ac:dyDescent="0.3">
      <c r="A542">
        <v>529</v>
      </c>
      <c r="B542" t="s">
        <v>427</v>
      </c>
      <c r="C542" t="s">
        <v>10</v>
      </c>
    </row>
    <row r="543" spans="1:3" x14ac:dyDescent="0.3">
      <c r="A543">
        <v>530</v>
      </c>
      <c r="B543" t="s">
        <v>428</v>
      </c>
      <c r="C543" t="s">
        <v>45</v>
      </c>
    </row>
    <row r="544" spans="1:3" x14ac:dyDescent="0.3">
      <c r="A544">
        <v>531</v>
      </c>
      <c r="B544" t="s">
        <v>429</v>
      </c>
      <c r="C544" t="s">
        <v>10</v>
      </c>
    </row>
    <row r="545" spans="1:3" x14ac:dyDescent="0.3">
      <c r="A545">
        <v>532</v>
      </c>
      <c r="B545" t="s">
        <v>430</v>
      </c>
      <c r="C545" t="s">
        <v>45</v>
      </c>
    </row>
    <row r="546" spans="1:3" x14ac:dyDescent="0.3">
      <c r="A546">
        <v>533</v>
      </c>
      <c r="B546" t="s">
        <v>431</v>
      </c>
      <c r="C546" t="s">
        <v>10</v>
      </c>
    </row>
    <row r="547" spans="1:3" x14ac:dyDescent="0.3">
      <c r="A547">
        <v>534</v>
      </c>
      <c r="B547" t="s">
        <v>432</v>
      </c>
      <c r="C547" t="s">
        <v>152</v>
      </c>
    </row>
    <row r="548" spans="1:3" x14ac:dyDescent="0.3">
      <c r="A548">
        <v>535</v>
      </c>
      <c r="B548" t="s">
        <v>433</v>
      </c>
      <c r="C548" t="s">
        <v>152</v>
      </c>
    </row>
    <row r="549" spans="1:3" x14ac:dyDescent="0.3">
      <c r="A549">
        <v>536</v>
      </c>
      <c r="B549" t="s">
        <v>434</v>
      </c>
      <c r="C549" t="s">
        <v>45</v>
      </c>
    </row>
    <row r="550" spans="1:3" x14ac:dyDescent="0.3">
      <c r="A550">
        <v>537</v>
      </c>
      <c r="B550" t="s">
        <v>435</v>
      </c>
      <c r="C550" t="s">
        <v>45</v>
      </c>
    </row>
    <row r="551" spans="1:3" x14ac:dyDescent="0.3">
      <c r="A551">
        <v>538</v>
      </c>
      <c r="B551" t="s">
        <v>436</v>
      </c>
      <c r="C551" t="s">
        <v>10</v>
      </c>
    </row>
    <row r="552" spans="1:3" x14ac:dyDescent="0.3">
      <c r="A552">
        <v>539</v>
      </c>
      <c r="B552" t="s">
        <v>437</v>
      </c>
      <c r="C552" t="s">
        <v>10</v>
      </c>
    </row>
    <row r="553" spans="1:3" x14ac:dyDescent="0.3">
      <c r="A553">
        <v>540</v>
      </c>
      <c r="B553" t="s">
        <v>594</v>
      </c>
      <c r="C553" t="s">
        <v>45</v>
      </c>
    </row>
    <row r="554" spans="1:3" x14ac:dyDescent="0.3">
      <c r="A554">
        <v>541</v>
      </c>
      <c r="B554" t="s">
        <v>438</v>
      </c>
      <c r="C554" t="s">
        <v>10</v>
      </c>
    </row>
    <row r="555" spans="1:3" x14ac:dyDescent="0.3">
      <c r="A555">
        <v>542</v>
      </c>
      <c r="B555" t="s">
        <v>574</v>
      </c>
      <c r="C555" t="s">
        <v>50</v>
      </c>
    </row>
    <row r="556" spans="1:3" x14ac:dyDescent="0.3">
      <c r="A556">
        <v>543</v>
      </c>
      <c r="B556" t="s">
        <v>439</v>
      </c>
      <c r="C556" t="s">
        <v>152</v>
      </c>
    </row>
    <row r="557" spans="1:3" x14ac:dyDescent="0.3">
      <c r="A557">
        <v>544</v>
      </c>
      <c r="B557" t="s">
        <v>440</v>
      </c>
      <c r="C557" t="s">
        <v>45</v>
      </c>
    </row>
    <row r="558" spans="1:3" x14ac:dyDescent="0.3">
      <c r="A558">
        <v>545</v>
      </c>
      <c r="B558" t="s">
        <v>441</v>
      </c>
      <c r="C558" t="s">
        <v>152</v>
      </c>
    </row>
    <row r="559" spans="1:3" x14ac:dyDescent="0.3">
      <c r="A559">
        <v>546</v>
      </c>
      <c r="B559" t="s">
        <v>442</v>
      </c>
      <c r="C559" t="s">
        <v>45</v>
      </c>
    </row>
    <row r="560" spans="1:3" x14ac:dyDescent="0.3">
      <c r="A560">
        <v>547</v>
      </c>
      <c r="B560" t="s">
        <v>443</v>
      </c>
      <c r="C560" t="s">
        <v>152</v>
      </c>
    </row>
    <row r="561" spans="1:3" x14ac:dyDescent="0.3">
      <c r="A561">
        <v>548</v>
      </c>
      <c r="B561" t="s">
        <v>444</v>
      </c>
      <c r="C561" t="s">
        <v>5</v>
      </c>
    </row>
    <row r="562" spans="1:3" x14ac:dyDescent="0.3">
      <c r="A562">
        <v>549</v>
      </c>
      <c r="B562" t="s">
        <v>567</v>
      </c>
      <c r="C562" t="s">
        <v>50</v>
      </c>
    </row>
    <row r="563" spans="1:3" x14ac:dyDescent="0.3">
      <c r="A563">
        <v>550</v>
      </c>
      <c r="B563" t="s">
        <v>445</v>
      </c>
      <c r="C563" t="s">
        <v>10</v>
      </c>
    </row>
    <row r="564" spans="1:3" x14ac:dyDescent="0.3">
      <c r="A564">
        <v>551</v>
      </c>
      <c r="B564" t="s">
        <v>446</v>
      </c>
      <c r="C564" t="s">
        <v>50</v>
      </c>
    </row>
    <row r="565" spans="1:3" x14ac:dyDescent="0.3">
      <c r="A565">
        <v>552</v>
      </c>
      <c r="B565" t="s">
        <v>447</v>
      </c>
      <c r="C565" t="s">
        <v>10</v>
      </c>
    </row>
    <row r="566" spans="1:3" x14ac:dyDescent="0.3">
      <c r="A566">
        <v>553</v>
      </c>
      <c r="B566" t="s">
        <v>448</v>
      </c>
      <c r="C566" t="s">
        <v>45</v>
      </c>
    </row>
    <row r="567" spans="1:3" x14ac:dyDescent="0.3">
      <c r="A567">
        <v>554</v>
      </c>
      <c r="B567" t="s">
        <v>449</v>
      </c>
      <c r="C567" t="s">
        <v>50</v>
      </c>
    </row>
    <row r="568" spans="1:3" x14ac:dyDescent="0.3">
      <c r="A568">
        <v>555</v>
      </c>
      <c r="B568" t="s">
        <v>450</v>
      </c>
      <c r="C568" t="s">
        <v>45</v>
      </c>
    </row>
    <row r="569" spans="1:3" x14ac:dyDescent="0.3">
      <c r="A569">
        <v>556</v>
      </c>
      <c r="B569" t="s">
        <v>451</v>
      </c>
      <c r="C569" t="s">
        <v>264</v>
      </c>
    </row>
    <row r="570" spans="1:3" x14ac:dyDescent="0.3">
      <c r="A570">
        <v>557</v>
      </c>
      <c r="B570" t="s">
        <v>452</v>
      </c>
      <c r="C570" t="s">
        <v>50</v>
      </c>
    </row>
    <row r="571" spans="1:3" x14ac:dyDescent="0.3">
      <c r="A571">
        <v>558</v>
      </c>
      <c r="B571" t="s">
        <v>453</v>
      </c>
      <c r="C571" t="s">
        <v>152</v>
      </c>
    </row>
    <row r="572" spans="1:3" x14ac:dyDescent="0.3">
      <c r="A572">
        <v>559</v>
      </c>
      <c r="B572" t="s">
        <v>454</v>
      </c>
      <c r="C572" t="s">
        <v>152</v>
      </c>
    </row>
    <row r="573" spans="1:3" x14ac:dyDescent="0.3">
      <c r="A573">
        <v>560</v>
      </c>
      <c r="B573" t="s">
        <v>455</v>
      </c>
      <c r="C573" t="s">
        <v>245</v>
      </c>
    </row>
    <row r="574" spans="1:3" x14ac:dyDescent="0.3">
      <c r="A574">
        <v>561</v>
      </c>
      <c r="B574" t="s">
        <v>456</v>
      </c>
      <c r="C574" t="s">
        <v>10</v>
      </c>
    </row>
    <row r="575" spans="1:3" x14ac:dyDescent="0.3">
      <c r="A575">
        <v>562</v>
      </c>
      <c r="B575" t="s">
        <v>457</v>
      </c>
      <c r="C575" t="s">
        <v>50</v>
      </c>
    </row>
    <row r="576" spans="1:3" x14ac:dyDescent="0.3">
      <c r="A576">
        <v>563</v>
      </c>
      <c r="B576" t="s">
        <v>458</v>
      </c>
      <c r="C576" t="s">
        <v>10</v>
      </c>
    </row>
    <row r="577" spans="1:3" x14ac:dyDescent="0.3">
      <c r="A577">
        <v>564</v>
      </c>
      <c r="B577" t="s">
        <v>459</v>
      </c>
      <c r="C577" t="s">
        <v>50</v>
      </c>
    </row>
    <row r="578" spans="1:3" x14ac:dyDescent="0.3">
      <c r="A578">
        <v>565</v>
      </c>
      <c r="B578" t="s">
        <v>460</v>
  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</c>
    </row>
    <row r="580" spans="1:3" x14ac:dyDescent="0.3">
      <c r="A580">
        <v>567</v>
      </c>
      <c r="B580" t="s">
        <v>461</v>
      </c>
      <c r="C580" t="s">
        <v>10</v>
      </c>
    </row>
    <row r="581" spans="1:3" x14ac:dyDescent="0.3">
      <c r="A581">
        <v>568</v>
      </c>
      <c r="B581" t="s">
        <v>462</v>
      </c>
      <c r="C581" t="s">
        <v>5</v>
      </c>
    </row>
    <row r="582" spans="1:3" x14ac:dyDescent="0.3">
      <c r="A582">
        <v>569</v>
      </c>
      <c r="B582" t="s">
        <v>463</v>
      </c>
      <c r="C582" t="s">
        <v>45</v>
      </c>
    </row>
    <row r="583" spans="1:3" x14ac:dyDescent="0.3">
      <c r="A583">
        <v>570</v>
      </c>
      <c r="B583" t="s">
        <v>464</v>
      </c>
      <c r="C583" t="s">
        <v>152</v>
      </c>
    </row>
    <row r="584" spans="1:3" x14ac:dyDescent="0.3">
      <c r="A584">
        <v>571</v>
      </c>
      <c r="B584" t="s">
        <v>465</v>
      </c>
      <c r="C584" t="s">
        <v>245</v>
      </c>
    </row>
    <row r="585" spans="1:3" x14ac:dyDescent="0.3">
      <c r="A585">
        <v>572</v>
      </c>
      <c r="B585" t="s">
        <v>408</v>
      </c>
      <c r="C585" t="s">
        <v>50</v>
      </c>
    </row>
    <row r="586" spans="1:3" x14ac:dyDescent="0.3">
      <c r="A586">
        <v>573</v>
      </c>
      <c r="B586" t="s">
        <v>466</v>
      </c>
      <c r="C586" t="s">
        <v>50</v>
      </c>
    </row>
    <row r="587" spans="1:3" x14ac:dyDescent="0.3">
      <c r="A587">
        <v>574</v>
      </c>
      <c r="B587" t="s">
        <v>467</v>
      </c>
      <c r="C587" t="s">
        <v>45</v>
      </c>
    </row>
    <row r="588" spans="1:3" x14ac:dyDescent="0.3">
      <c r="A588">
        <v>575</v>
      </c>
      <c r="B588" t="s">
        <v>468</v>
      </c>
      <c r="C588" t="s">
        <v>245</v>
      </c>
    </row>
    <row r="589" spans="1:3" x14ac:dyDescent="0.3">
      <c r="A589">
        <v>576</v>
      </c>
      <c r="B589" t="s">
        <v>469</v>
      </c>
      <c r="C589" t="s">
        <v>10</v>
      </c>
    </row>
    <row r="590" spans="1:3" x14ac:dyDescent="0.3">
      <c r="A590">
        <v>577</v>
      </c>
      <c r="B590" t="s">
        <v>470</v>
      </c>
      <c r="C590" t="s">
        <v>50</v>
      </c>
    </row>
    <row r="591" spans="1:3" x14ac:dyDescent="0.3">
      <c r="A591">
        <v>578</v>
      </c>
      <c r="B591" t="s">
        <v>471</v>
      </c>
      <c r="C591" t="s">
        <v>45</v>
      </c>
    </row>
    <row r="592" spans="1:3" x14ac:dyDescent="0.3">
      <c r="A592">
        <v>579</v>
      </c>
      <c r="B592" t="s">
        <v>472</v>
      </c>
      <c r="C592" t="s">
        <v>50</v>
      </c>
    </row>
    <row r="593" spans="1:3" x14ac:dyDescent="0.3">
      <c r="A593">
        <v>580</v>
      </c>
      <c r="B593" t="s">
        <v>473</v>
      </c>
      <c r="C593" t="s">
        <v>264</v>
      </c>
    </row>
    <row r="594" spans="1:3" x14ac:dyDescent="0.3">
      <c r="A594">
        <v>581</v>
      </c>
      <c r="B594" t="s">
        <v>619</v>
      </c>
      <c r="C594" t="s">
        <v>152</v>
      </c>
    </row>
    <row r="595" spans="1:3" x14ac:dyDescent="0.3">
      <c r="A595">
        <v>582</v>
      </c>
      <c r="B595" t="s">
        <v>474</v>
      </c>
      <c r="C595" t="s">
        <v>45</v>
      </c>
    </row>
    <row r="596" spans="1:3" x14ac:dyDescent="0.3">
      <c r="A596">
        <v>583</v>
      </c>
      <c r="B596" t="s">
        <v>475</v>
      </c>
      <c r="C596" t="s">
        <v>264</v>
      </c>
    </row>
    <row r="597" spans="1:3" x14ac:dyDescent="0.3">
      <c r="A597">
        <v>584</v>
      </c>
      <c r="B597" t="s">
        <v>476</v>
      </c>
      <c r="C597" t="s">
        <v>245</v>
      </c>
    </row>
    <row r="598" spans="1:3" x14ac:dyDescent="0.3">
      <c r="A598">
        <v>585</v>
      </c>
      <c r="B598" t="s">
        <v>477</v>
      </c>
      <c r="C598" t="s">
        <v>45</v>
      </c>
    </row>
    <row r="599" spans="1:3" x14ac:dyDescent="0.3">
      <c r="A599">
        <v>586</v>
      </c>
      <c r="B599" t="s">
        <v>324</v>
      </c>
      <c r="C599" t="s">
        <v>45</v>
      </c>
    </row>
    <row r="600" spans="1:3" x14ac:dyDescent="0.3">
      <c r="A600">
        <v>587</v>
      </c>
      <c r="B600" t="s">
        <v>478</v>
      </c>
      <c r="C600" t="s">
        <v>152</v>
      </c>
    </row>
    <row r="601" spans="1:3" x14ac:dyDescent="0.3">
      <c r="A601">
        <v>588</v>
      </c>
      <c r="B601" t="s">
        <v>479</v>
      </c>
      <c r="C601" t="s">
        <v>152</v>
      </c>
    </row>
    <row r="602" spans="1:3" x14ac:dyDescent="0.3">
      <c r="A602">
        <v>589</v>
      </c>
      <c r="B602" t="s">
        <v>480</v>
      </c>
      <c r="C602" t="s">
        <v>45</v>
      </c>
    </row>
    <row r="603" spans="1:3" x14ac:dyDescent="0.3">
      <c r="A603">
        <v>590</v>
      </c>
      <c r="B603" t="s">
        <v>481</v>
      </c>
      <c r="C603" t="s">
        <v>10</v>
      </c>
    </row>
    <row r="604" spans="1:3" x14ac:dyDescent="0.3">
      <c r="A604">
        <v>591</v>
      </c>
      <c r="B604" t="s">
        <v>482</v>
      </c>
      <c r="C604" t="s">
        <v>45</v>
      </c>
    </row>
    <row r="605" spans="1:3" x14ac:dyDescent="0.3">
      <c r="A605">
        <v>592</v>
      </c>
      <c r="B605" t="s">
        <v>596</v>
      </c>
      <c r="C605" t="s">
        <v>45</v>
      </c>
    </row>
    <row r="606" spans="1:3" x14ac:dyDescent="0.3">
      <c r="A606">
        <v>593</v>
      </c>
      <c r="B606" t="s">
        <v>483</v>
      </c>
      <c r="C606" t="s">
        <v>152</v>
      </c>
    </row>
    <row r="607" spans="1:3" x14ac:dyDescent="0.3">
      <c r="A607">
        <v>594</v>
      </c>
      <c r="B607" t="s">
        <v>484</v>
      </c>
      <c r="C607" t="s">
        <v>152</v>
      </c>
    </row>
    <row r="608" spans="1:3" x14ac:dyDescent="0.3">
      <c r="A608">
        <v>595</v>
      </c>
      <c r="B608" t="s">
        <v>485</v>
      </c>
      <c r="C608" t="s">
        <v>10</v>
      </c>
    </row>
    <row r="609" spans="1:3" x14ac:dyDescent="0.3">
      <c r="A609">
        <v>596</v>
      </c>
      <c r="B609" t="s">
        <v>486</v>
      </c>
      <c r="C609" t="s">
        <v>50</v>
      </c>
    </row>
    <row r="610" spans="1:3" x14ac:dyDescent="0.3">
      <c r="A610">
        <v>597</v>
      </c>
      <c r="B610" t="s">
        <v>487</v>
      </c>
      <c r="C610" t="s">
        <v>45</v>
      </c>
    </row>
    <row r="611" spans="1:3" x14ac:dyDescent="0.3">
      <c r="A611">
        <v>598</v>
      </c>
      <c r="B611" t="s">
        <v>488</v>
      </c>
      <c r="C611" t="s">
        <v>5</v>
      </c>
    </row>
    <row r="612" spans="1:3" x14ac:dyDescent="0.3">
      <c r="A612">
        <v>599</v>
      </c>
      <c r="B612" t="s">
        <v>578</v>
      </c>
      <c r="C612" t="s">
        <v>5</v>
      </c>
    </row>
    <row r="613" spans="1:3" x14ac:dyDescent="0.3">
      <c r="A613">
        <v>600</v>
      </c>
      <c r="B613" t="s">
        <v>489</v>
      </c>
      <c r="C613" t="s">
        <v>152</v>
      </c>
    </row>
  </sheetData>
  <autoFilter ref="A13:C613" xr:uid="{629D928C-8D2A-4407-BB5E-A21456438A4C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1A22-7E99-42D5-96D7-FB152AD7F186}">
  <dimension ref="A1:H315"/>
  <sheetViews>
    <sheetView topLeftCell="A33" workbookViewId="0">
      <selection activeCell="A49" sqref="A49"/>
    </sheetView>
  </sheetViews>
  <sheetFormatPr defaultRowHeight="16.5" x14ac:dyDescent="0.3"/>
  <cols>
    <col min="1" max="1" width="13" bestFit="1" customWidth="1"/>
  </cols>
  <sheetData>
    <row r="1" spans="1:8" x14ac:dyDescent="0.3">
      <c r="A1" s="6" t="s">
        <v>2</v>
      </c>
      <c r="B1" s="6" t="s">
        <v>3</v>
      </c>
      <c r="C1" s="6" t="s">
        <v>1</v>
      </c>
      <c r="D1" s="6" t="s">
        <v>622</v>
      </c>
      <c r="F1" s="6" t="s">
        <v>3</v>
      </c>
      <c r="G1" s="6" t="s">
        <v>623</v>
      </c>
      <c r="H1" s="6" t="s">
        <v>624</v>
      </c>
    </row>
    <row r="2" spans="1:8" x14ac:dyDescent="0.3">
      <c r="A2" s="5" t="s">
        <v>9</v>
      </c>
      <c r="B2" s="5" t="s">
        <v>10</v>
      </c>
      <c r="C2" s="5">
        <v>7</v>
      </c>
      <c r="D2" s="5">
        <v>1</v>
      </c>
      <c r="F2" s="5" t="s">
        <v>10</v>
      </c>
      <c r="G2" s="5">
        <f>COUNTIF($B$2:$B$315,$F2)</f>
        <v>155</v>
      </c>
      <c r="H2" s="5">
        <f>COUNTIF($B$2:$B$141,$F2)</f>
        <v>90</v>
      </c>
    </row>
    <row r="3" spans="1:8" x14ac:dyDescent="0.3">
      <c r="A3" s="5" t="s">
        <v>607</v>
      </c>
      <c r="B3" s="5" t="s">
        <v>10</v>
      </c>
      <c r="C3" s="5">
        <v>11</v>
      </c>
      <c r="D3" s="5">
        <v>2</v>
      </c>
      <c r="F3" s="5" t="s">
        <v>50</v>
      </c>
      <c r="G3" s="5">
        <f t="shared" ref="G3:G4" si="0">COUNTIF($B$2:$B$315,$F3)</f>
        <v>115</v>
      </c>
      <c r="H3" s="5">
        <f t="shared" ref="H3:H4" si="1">COUNTIF($B$2:$B$141,$F3)</f>
        <v>44</v>
      </c>
    </row>
    <row r="4" spans="1:8" x14ac:dyDescent="0.3">
      <c r="A4" s="5" t="s">
        <v>14</v>
      </c>
      <c r="B4" s="5" t="s">
        <v>10</v>
      </c>
      <c r="C4" s="5">
        <v>12</v>
      </c>
      <c r="D4" s="5">
        <v>3</v>
      </c>
      <c r="F4" s="5" t="s">
        <v>152</v>
      </c>
      <c r="G4" s="5">
        <f t="shared" si="0"/>
        <v>44</v>
      </c>
      <c r="H4" s="5">
        <f t="shared" si="1"/>
        <v>6</v>
      </c>
    </row>
    <row r="5" spans="1:8" x14ac:dyDescent="0.3">
      <c r="A5" s="5" t="s">
        <v>598</v>
      </c>
      <c r="B5" s="5" t="s">
        <v>10</v>
      </c>
      <c r="C5" s="5">
        <v>21</v>
      </c>
      <c r="D5" s="5">
        <v>4</v>
      </c>
    </row>
    <row r="6" spans="1:8" x14ac:dyDescent="0.3">
      <c r="A6" s="5" t="s">
        <v>21</v>
      </c>
      <c r="B6" s="5" t="s">
        <v>10</v>
      </c>
      <c r="C6" s="5">
        <v>22</v>
      </c>
      <c r="D6" s="5">
        <v>5</v>
      </c>
    </row>
    <row r="7" spans="1:8" x14ac:dyDescent="0.3">
      <c r="A7" s="5" t="s">
        <v>26</v>
      </c>
      <c r="B7" s="5" t="s">
        <v>10</v>
      </c>
      <c r="C7" s="5">
        <v>30</v>
      </c>
      <c r="D7" s="5">
        <v>6</v>
      </c>
      <c r="F7" t="s">
        <v>9</v>
      </c>
      <c r="G7" t="str">
        <f>VLOOKUP(F7,A2:D315,1,FALSE)</f>
        <v>출항의날</v>
      </c>
    </row>
    <row r="8" spans="1:8" x14ac:dyDescent="0.3">
      <c r="A8" s="5" t="s">
        <v>610</v>
      </c>
      <c r="B8" s="5" t="s">
        <v>10</v>
      </c>
      <c r="C8" s="5">
        <v>35</v>
      </c>
      <c r="D8" s="5">
        <v>7</v>
      </c>
    </row>
    <row r="9" spans="1:8" x14ac:dyDescent="0.3">
      <c r="A9" s="5" t="s">
        <v>34</v>
      </c>
      <c r="B9" s="5" t="s">
        <v>10</v>
      </c>
      <c r="C9" s="5">
        <v>44</v>
      </c>
      <c r="D9" s="5">
        <v>8</v>
      </c>
    </row>
    <row r="10" spans="1:8" x14ac:dyDescent="0.3">
      <c r="A10" s="5" t="s">
        <v>748</v>
      </c>
      <c r="B10" s="5" t="s">
        <v>10</v>
      </c>
      <c r="C10" s="5">
        <v>47</v>
      </c>
      <c r="D10" s="5">
        <v>9</v>
      </c>
    </row>
    <row r="11" spans="1:8" x14ac:dyDescent="0.3">
      <c r="A11" s="5" t="s">
        <v>36</v>
      </c>
      <c r="B11" s="5" t="s">
        <v>10</v>
      </c>
      <c r="C11" s="5">
        <v>55</v>
      </c>
      <c r="D11" s="5">
        <v>10</v>
      </c>
    </row>
    <row r="12" spans="1:8" x14ac:dyDescent="0.3">
      <c r="A12" s="5" t="s">
        <v>38</v>
      </c>
      <c r="B12" s="5" t="s">
        <v>10</v>
      </c>
      <c r="C12" s="5">
        <v>59</v>
      </c>
      <c r="D12" s="5">
        <v>11</v>
      </c>
    </row>
    <row r="13" spans="1:8" x14ac:dyDescent="0.3">
      <c r="A13" s="5" t="s">
        <v>40</v>
      </c>
      <c r="B13" s="5" t="s">
        <v>10</v>
      </c>
      <c r="C13" s="5">
        <v>61</v>
      </c>
      <c r="D13" s="5">
        <v>12</v>
      </c>
    </row>
    <row r="14" spans="1:8" x14ac:dyDescent="0.3">
      <c r="A14" s="5" t="s">
        <v>41</v>
      </c>
      <c r="B14" s="5" t="s">
        <v>10</v>
      </c>
      <c r="C14" s="5">
        <v>62</v>
      </c>
      <c r="D14" s="5">
        <v>13</v>
      </c>
    </row>
    <row r="15" spans="1:8" x14ac:dyDescent="0.3">
      <c r="A15" s="5" t="s">
        <v>47</v>
      </c>
      <c r="B15" s="5" t="s">
        <v>10</v>
      </c>
      <c r="C15" s="5">
        <v>67</v>
      </c>
      <c r="D15" s="5">
        <v>14</v>
      </c>
    </row>
    <row r="16" spans="1:8" x14ac:dyDescent="0.3">
      <c r="A16" s="5" t="s">
        <v>48</v>
      </c>
      <c r="B16" s="5" t="s">
        <v>10</v>
      </c>
      <c r="C16" s="5">
        <v>68</v>
      </c>
      <c r="D16" s="5">
        <v>15</v>
      </c>
    </row>
    <row r="17" spans="1:4" x14ac:dyDescent="0.3">
      <c r="A17" s="5" t="s">
        <v>540</v>
      </c>
      <c r="B17" s="5" t="s">
        <v>50</v>
      </c>
      <c r="C17" s="5">
        <v>72</v>
      </c>
      <c r="D17" s="5">
        <v>16</v>
      </c>
    </row>
    <row r="18" spans="1:4" x14ac:dyDescent="0.3">
      <c r="A18" s="5" t="s">
        <v>58</v>
      </c>
      <c r="B18" s="5" t="s">
        <v>10</v>
      </c>
      <c r="C18" s="5">
        <v>79</v>
      </c>
      <c r="D18" s="5">
        <v>17</v>
      </c>
    </row>
    <row r="19" spans="1:4" x14ac:dyDescent="0.3">
      <c r="A19" s="5" t="s">
        <v>61</v>
      </c>
      <c r="B19" s="5" t="s">
        <v>10</v>
      </c>
      <c r="C19" s="5">
        <v>82</v>
      </c>
      <c r="D19" s="5">
        <v>18</v>
      </c>
    </row>
    <row r="20" spans="1:4" x14ac:dyDescent="0.3">
      <c r="A20" s="5" t="s">
        <v>64</v>
      </c>
      <c r="B20" s="5" t="s">
        <v>10</v>
      </c>
      <c r="C20" s="5">
        <v>85</v>
      </c>
      <c r="D20" s="5">
        <v>19</v>
      </c>
    </row>
    <row r="21" spans="1:4" x14ac:dyDescent="0.3">
      <c r="A21" s="5" t="s">
        <v>66</v>
      </c>
      <c r="B21" s="5" t="s">
        <v>10</v>
      </c>
      <c r="C21" s="5">
        <v>87</v>
      </c>
      <c r="D21" s="5">
        <v>20</v>
      </c>
    </row>
    <row r="22" spans="1:4" x14ac:dyDescent="0.3">
      <c r="A22" s="5" t="s">
        <v>599</v>
      </c>
      <c r="B22" s="5" t="s">
        <v>10</v>
      </c>
      <c r="C22" s="5">
        <v>90</v>
      </c>
      <c r="D22" s="5">
        <v>21</v>
      </c>
    </row>
    <row r="23" spans="1:4" x14ac:dyDescent="0.3">
      <c r="A23" s="5" t="s">
        <v>70</v>
      </c>
      <c r="B23" s="5" t="s">
        <v>10</v>
      </c>
      <c r="C23" s="5">
        <v>92</v>
      </c>
      <c r="D23" s="5">
        <v>22</v>
      </c>
    </row>
    <row r="24" spans="1:4" x14ac:dyDescent="0.3">
      <c r="A24" s="5" t="s">
        <v>72</v>
      </c>
      <c r="B24" s="5" t="s">
        <v>50</v>
      </c>
      <c r="C24" s="5">
        <v>94</v>
      </c>
      <c r="D24" s="5">
        <v>23</v>
      </c>
    </row>
    <row r="25" spans="1:4" x14ac:dyDescent="0.3">
      <c r="A25" s="5" t="s">
        <v>77</v>
      </c>
      <c r="B25" s="5" t="s">
        <v>50</v>
      </c>
      <c r="C25" s="5">
        <v>99</v>
      </c>
      <c r="D25" s="5">
        <v>24</v>
      </c>
    </row>
    <row r="26" spans="1:4" x14ac:dyDescent="0.3">
      <c r="A26" s="5" t="s">
        <v>80</v>
      </c>
      <c r="B26" s="5" t="s">
        <v>50</v>
      </c>
      <c r="C26" s="5">
        <v>102</v>
      </c>
      <c r="D26" s="5">
        <v>25</v>
      </c>
    </row>
    <row r="27" spans="1:4" x14ac:dyDescent="0.3">
      <c r="A27" s="5" t="s">
        <v>88</v>
      </c>
      <c r="B27" s="5" t="s">
        <v>10</v>
      </c>
      <c r="C27" s="5">
        <v>111</v>
      </c>
      <c r="D27" s="5">
        <v>26</v>
      </c>
    </row>
    <row r="28" spans="1:4" x14ac:dyDescent="0.3">
      <c r="A28" s="5" t="s">
        <v>89</v>
      </c>
      <c r="B28" s="5" t="s">
        <v>10</v>
      </c>
      <c r="C28" s="5">
        <v>115</v>
      </c>
      <c r="D28" s="5">
        <v>27</v>
      </c>
    </row>
    <row r="29" spans="1:4" x14ac:dyDescent="0.3">
      <c r="A29" s="5" t="s">
        <v>95</v>
      </c>
      <c r="B29" s="5" t="s">
        <v>10</v>
      </c>
      <c r="C29" s="5">
        <v>123</v>
      </c>
      <c r="D29" s="5">
        <v>28</v>
      </c>
    </row>
    <row r="30" spans="1:4" x14ac:dyDescent="0.3">
      <c r="A30" s="5" t="s">
        <v>768</v>
      </c>
      <c r="B30" s="5" t="s">
        <v>10</v>
      </c>
      <c r="C30" s="5">
        <v>126</v>
      </c>
      <c r="D30" s="5">
        <v>29</v>
      </c>
    </row>
    <row r="31" spans="1:4" x14ac:dyDescent="0.3">
      <c r="A31" s="5" t="s">
        <v>568</v>
      </c>
      <c r="B31" s="5" t="s">
        <v>50</v>
      </c>
      <c r="C31" s="5">
        <v>127</v>
      </c>
      <c r="D31" s="5">
        <v>30</v>
      </c>
    </row>
    <row r="32" spans="1:4" x14ac:dyDescent="0.3">
      <c r="A32" s="5" t="s">
        <v>541</v>
      </c>
      <c r="B32" s="5" t="s">
        <v>50</v>
      </c>
      <c r="C32" s="5">
        <v>128</v>
      </c>
      <c r="D32" s="5">
        <v>31</v>
      </c>
    </row>
    <row r="33" spans="1:4" x14ac:dyDescent="0.3">
      <c r="A33" s="5" t="s">
        <v>98</v>
      </c>
      <c r="B33" s="5" t="s">
        <v>50</v>
      </c>
      <c r="C33" s="5">
        <v>129</v>
      </c>
      <c r="D33" s="5">
        <v>32</v>
      </c>
    </row>
    <row r="34" spans="1:4" x14ac:dyDescent="0.3">
      <c r="A34" s="5" t="s">
        <v>100</v>
      </c>
      <c r="B34" s="5" t="s">
        <v>10</v>
      </c>
      <c r="C34" s="5">
        <v>132</v>
      </c>
      <c r="D34" s="5">
        <v>33</v>
      </c>
    </row>
    <row r="35" spans="1:4" x14ac:dyDescent="0.3">
      <c r="A35" s="5" t="s">
        <v>101</v>
      </c>
      <c r="B35" s="5" t="s">
        <v>10</v>
      </c>
      <c r="C35" s="5">
        <v>133</v>
      </c>
      <c r="D35" s="5">
        <v>34</v>
      </c>
    </row>
    <row r="36" spans="1:4" x14ac:dyDescent="0.3">
      <c r="A36" s="5" t="s">
        <v>102</v>
      </c>
      <c r="B36" s="5" t="s">
        <v>10</v>
      </c>
      <c r="C36" s="5">
        <v>134</v>
      </c>
      <c r="D36" s="5">
        <v>35</v>
      </c>
    </row>
    <row r="37" spans="1:4" x14ac:dyDescent="0.3">
      <c r="A37" s="5" t="s">
        <v>103</v>
      </c>
      <c r="B37" s="5" t="s">
        <v>50</v>
      </c>
      <c r="C37" s="5">
        <v>136</v>
      </c>
      <c r="D37" s="5">
        <v>36</v>
      </c>
    </row>
    <row r="38" spans="1:4" x14ac:dyDescent="0.3">
      <c r="A38" s="5" t="s">
        <v>104</v>
      </c>
      <c r="B38" s="5" t="s">
        <v>10</v>
      </c>
      <c r="C38" s="5">
        <v>137</v>
      </c>
      <c r="D38" s="5">
        <v>37</v>
      </c>
    </row>
    <row r="39" spans="1:4" x14ac:dyDescent="0.3">
      <c r="A39" s="5" t="s">
        <v>109</v>
      </c>
      <c r="B39" s="5" t="s">
        <v>50</v>
      </c>
      <c r="C39" s="5">
        <v>142</v>
      </c>
      <c r="D39" s="5">
        <v>38</v>
      </c>
    </row>
    <row r="40" spans="1:4" x14ac:dyDescent="0.3">
      <c r="A40" s="5" t="s">
        <v>110</v>
      </c>
      <c r="B40" s="5" t="s">
        <v>10</v>
      </c>
      <c r="C40" s="5">
        <v>144</v>
      </c>
      <c r="D40" s="5">
        <v>39</v>
      </c>
    </row>
    <row r="41" spans="1:4" x14ac:dyDescent="0.3">
      <c r="A41" s="5" t="s">
        <v>112</v>
      </c>
      <c r="B41" s="5" t="s">
        <v>10</v>
      </c>
      <c r="C41" s="5">
        <v>146</v>
      </c>
      <c r="D41" s="5">
        <v>40</v>
      </c>
    </row>
    <row r="42" spans="1:4" x14ac:dyDescent="0.3">
      <c r="A42" s="5" t="s">
        <v>542</v>
      </c>
      <c r="B42" s="5" t="s">
        <v>50</v>
      </c>
      <c r="C42" s="5">
        <v>147</v>
      </c>
      <c r="D42" s="5">
        <v>41</v>
      </c>
    </row>
    <row r="43" spans="1:4" x14ac:dyDescent="0.3">
      <c r="A43" s="5" t="s">
        <v>543</v>
      </c>
      <c r="B43" s="5" t="s">
        <v>50</v>
      </c>
      <c r="C43" s="5">
        <v>149</v>
      </c>
      <c r="D43" s="5">
        <v>42</v>
      </c>
    </row>
    <row r="44" spans="1:4" x14ac:dyDescent="0.3">
      <c r="A44" s="5" t="s">
        <v>114</v>
      </c>
      <c r="B44" s="5" t="s">
        <v>10</v>
      </c>
      <c r="C44" s="5">
        <v>151</v>
      </c>
      <c r="D44" s="5">
        <v>43</v>
      </c>
    </row>
    <row r="45" spans="1:4" x14ac:dyDescent="0.3">
      <c r="A45" s="5" t="s">
        <v>115</v>
      </c>
      <c r="B45" s="5" t="s">
        <v>10</v>
      </c>
      <c r="C45" s="5">
        <v>152</v>
      </c>
      <c r="D45" s="5">
        <v>44</v>
      </c>
    </row>
    <row r="46" spans="1:4" x14ac:dyDescent="0.3">
      <c r="A46" s="5" t="s">
        <v>116</v>
      </c>
      <c r="B46" s="5" t="s">
        <v>10</v>
      </c>
      <c r="C46" s="5">
        <v>153</v>
      </c>
      <c r="D46" s="5">
        <v>45</v>
      </c>
    </row>
    <row r="47" spans="1:4" x14ac:dyDescent="0.3">
      <c r="A47" s="5" t="s">
        <v>544</v>
      </c>
      <c r="B47" s="5" t="s">
        <v>50</v>
      </c>
      <c r="C47" s="5">
        <v>155</v>
      </c>
      <c r="D47" s="5">
        <v>46</v>
      </c>
    </row>
    <row r="48" spans="1:4" x14ac:dyDescent="0.3">
      <c r="A48" s="5" t="s">
        <v>119</v>
      </c>
      <c r="B48" s="5" t="s">
        <v>10</v>
      </c>
      <c r="C48" s="5">
        <v>157</v>
      </c>
      <c r="D48" s="5">
        <v>47</v>
      </c>
    </row>
    <row r="49" spans="1:4" x14ac:dyDescent="0.3">
      <c r="A49" s="5" t="s">
        <v>762</v>
      </c>
      <c r="B49" s="5" t="s">
        <v>10</v>
      </c>
      <c r="C49" s="5">
        <v>158</v>
      </c>
      <c r="D49" s="5">
        <v>48</v>
      </c>
    </row>
    <row r="50" spans="1:4" x14ac:dyDescent="0.3">
      <c r="A50" s="5" t="s">
        <v>545</v>
      </c>
      <c r="B50" s="5" t="s">
        <v>50</v>
      </c>
      <c r="C50" s="5">
        <v>159</v>
      </c>
      <c r="D50" s="5">
        <v>49</v>
      </c>
    </row>
    <row r="51" spans="1:4" x14ac:dyDescent="0.3">
      <c r="A51" s="5" t="s">
        <v>546</v>
      </c>
      <c r="B51" s="5" t="s">
        <v>50</v>
      </c>
      <c r="C51" s="5">
        <v>161</v>
      </c>
      <c r="D51" s="5">
        <v>50</v>
      </c>
    </row>
    <row r="52" spans="1:4" x14ac:dyDescent="0.3">
      <c r="A52" s="5" t="s">
        <v>121</v>
      </c>
      <c r="B52" s="5" t="s">
        <v>10</v>
      </c>
      <c r="C52" s="5">
        <v>163</v>
      </c>
      <c r="D52" s="5">
        <v>51</v>
      </c>
    </row>
    <row r="53" spans="1:4" x14ac:dyDescent="0.3">
      <c r="A53" s="5" t="s">
        <v>122</v>
      </c>
      <c r="B53" s="5" t="s">
        <v>50</v>
      </c>
      <c r="C53" s="5">
        <v>165</v>
      </c>
      <c r="D53" s="5">
        <v>52</v>
      </c>
    </row>
    <row r="54" spans="1:4" x14ac:dyDescent="0.3">
      <c r="A54" s="5" t="s">
        <v>123</v>
      </c>
      <c r="B54" s="5" t="s">
        <v>10</v>
      </c>
      <c r="C54" s="5">
        <v>166</v>
      </c>
      <c r="D54" s="5">
        <v>53</v>
      </c>
    </row>
    <row r="55" spans="1:4" x14ac:dyDescent="0.3">
      <c r="A55" s="5" t="s">
        <v>124</v>
      </c>
      <c r="B55" s="5" t="s">
        <v>10</v>
      </c>
      <c r="C55" s="5">
        <v>167</v>
      </c>
      <c r="D55" s="5">
        <v>54</v>
      </c>
    </row>
    <row r="56" spans="1:4" x14ac:dyDescent="0.3">
      <c r="A56" s="5" t="s">
        <v>125</v>
      </c>
      <c r="B56" s="5" t="s">
        <v>50</v>
      </c>
      <c r="C56" s="5">
        <v>168</v>
      </c>
      <c r="D56" s="5">
        <v>55</v>
      </c>
    </row>
    <row r="57" spans="1:4" x14ac:dyDescent="0.3">
      <c r="A57" s="5" t="s">
        <v>126</v>
      </c>
      <c r="B57" s="5" t="s">
        <v>10</v>
      </c>
      <c r="C57" s="5">
        <v>169</v>
      </c>
      <c r="D57" s="5">
        <v>56</v>
      </c>
    </row>
    <row r="58" spans="1:4" x14ac:dyDescent="0.3">
      <c r="A58" s="5" t="s">
        <v>127</v>
      </c>
      <c r="B58" s="5" t="s">
        <v>10</v>
      </c>
      <c r="C58" s="5">
        <v>170</v>
      </c>
      <c r="D58" s="5">
        <v>57</v>
      </c>
    </row>
    <row r="59" spans="1:4" x14ac:dyDescent="0.3">
      <c r="A59" s="5" t="s">
        <v>128</v>
      </c>
      <c r="B59" s="5" t="s">
        <v>50</v>
      </c>
      <c r="C59" s="5">
        <v>171</v>
      </c>
      <c r="D59" s="5">
        <v>58</v>
      </c>
    </row>
    <row r="60" spans="1:4" x14ac:dyDescent="0.3">
      <c r="A60" s="5" t="s">
        <v>131</v>
      </c>
      <c r="B60" s="5" t="s">
        <v>10</v>
      </c>
      <c r="C60" s="5">
        <v>174</v>
      </c>
      <c r="D60" s="5">
        <v>59</v>
      </c>
    </row>
    <row r="61" spans="1:4" x14ac:dyDescent="0.3">
      <c r="A61" s="5" t="s">
        <v>132</v>
      </c>
      <c r="B61" s="5" t="s">
        <v>10</v>
      </c>
      <c r="C61" s="5">
        <v>175</v>
      </c>
      <c r="D61" s="5">
        <v>60</v>
      </c>
    </row>
    <row r="62" spans="1:4" x14ac:dyDescent="0.3">
      <c r="A62" s="5" t="s">
        <v>134</v>
      </c>
      <c r="B62" s="5" t="s">
        <v>10</v>
      </c>
      <c r="C62" s="5">
        <v>177</v>
      </c>
      <c r="D62" s="5">
        <v>61</v>
      </c>
    </row>
    <row r="63" spans="1:4" x14ac:dyDescent="0.3">
      <c r="A63" s="5" t="s">
        <v>135</v>
      </c>
      <c r="B63" s="5" t="s">
        <v>50</v>
      </c>
      <c r="C63" s="5">
        <v>178</v>
      </c>
      <c r="D63" s="5">
        <v>62</v>
      </c>
    </row>
    <row r="64" spans="1:4" x14ac:dyDescent="0.3">
      <c r="A64" s="5" t="s">
        <v>136</v>
      </c>
      <c r="B64" s="5" t="s">
        <v>10</v>
      </c>
      <c r="C64" s="5">
        <v>179</v>
      </c>
      <c r="D64" s="5">
        <v>63</v>
      </c>
    </row>
    <row r="65" spans="1:4" x14ac:dyDescent="0.3">
      <c r="A65" s="5" t="s">
        <v>137</v>
      </c>
      <c r="B65" s="5" t="s">
        <v>50</v>
      </c>
      <c r="C65" s="5">
        <v>180</v>
      </c>
      <c r="D65" s="5">
        <v>64</v>
      </c>
    </row>
    <row r="66" spans="1:4" x14ac:dyDescent="0.3">
      <c r="A66" s="5" t="s">
        <v>138</v>
      </c>
      <c r="B66" s="5" t="s">
        <v>50</v>
      </c>
      <c r="C66" s="5">
        <v>181</v>
      </c>
      <c r="D66" s="5">
        <v>65</v>
      </c>
    </row>
    <row r="67" spans="1:4" x14ac:dyDescent="0.3">
      <c r="A67" s="5" t="s">
        <v>139</v>
      </c>
      <c r="B67" s="5" t="s">
        <v>10</v>
      </c>
      <c r="C67" s="5">
        <v>183</v>
      </c>
      <c r="D67" s="5">
        <v>66</v>
      </c>
    </row>
    <row r="68" spans="1:4" x14ac:dyDescent="0.3">
      <c r="A68" s="5" t="s">
        <v>141</v>
      </c>
      <c r="B68" s="5" t="s">
        <v>50</v>
      </c>
      <c r="C68" s="5">
        <v>185</v>
      </c>
      <c r="D68" s="5">
        <v>67</v>
      </c>
    </row>
    <row r="69" spans="1:4" x14ac:dyDescent="0.3">
      <c r="A69" s="5" t="s">
        <v>142</v>
      </c>
      <c r="B69" s="5" t="s">
        <v>10</v>
      </c>
      <c r="C69" s="5">
        <v>186</v>
      </c>
      <c r="D69" s="5">
        <v>68</v>
      </c>
    </row>
    <row r="70" spans="1:4" x14ac:dyDescent="0.3">
      <c r="A70" s="5" t="s">
        <v>143</v>
      </c>
      <c r="B70" s="5" t="s">
        <v>50</v>
      </c>
      <c r="C70" s="5">
        <v>187</v>
      </c>
      <c r="D70" s="5">
        <v>69</v>
      </c>
    </row>
    <row r="71" spans="1:4" x14ac:dyDescent="0.3">
      <c r="A71" s="5" t="s">
        <v>144</v>
      </c>
      <c r="B71" s="5" t="s">
        <v>10</v>
      </c>
      <c r="C71" s="5">
        <v>188</v>
      </c>
      <c r="D71" s="5">
        <v>70</v>
      </c>
    </row>
    <row r="72" spans="1:4" x14ac:dyDescent="0.3">
      <c r="A72" s="5" t="s">
        <v>146</v>
      </c>
      <c r="B72" s="5" t="s">
        <v>50</v>
      </c>
      <c r="C72" s="5">
        <v>190</v>
      </c>
      <c r="D72" s="5">
        <v>71</v>
      </c>
    </row>
    <row r="73" spans="1:4" x14ac:dyDescent="0.3">
      <c r="A73" s="5" t="s">
        <v>148</v>
      </c>
      <c r="B73" s="5" t="s">
        <v>10</v>
      </c>
      <c r="C73" s="5">
        <v>192</v>
      </c>
      <c r="D73" s="5">
        <v>72</v>
      </c>
    </row>
    <row r="74" spans="1:4" x14ac:dyDescent="0.3">
      <c r="A74" s="5" t="s">
        <v>150</v>
      </c>
      <c r="B74" s="5" t="s">
        <v>10</v>
      </c>
      <c r="C74" s="5">
        <v>194</v>
      </c>
      <c r="D74" s="5">
        <v>73</v>
      </c>
    </row>
    <row r="75" spans="1:4" x14ac:dyDescent="0.3">
      <c r="A75" s="5" t="s">
        <v>151</v>
      </c>
      <c r="B75" s="5" t="s">
        <v>152</v>
      </c>
      <c r="C75" s="5">
        <v>195</v>
      </c>
      <c r="D75" s="5">
        <v>74</v>
      </c>
    </row>
    <row r="76" spans="1:4" x14ac:dyDescent="0.3">
      <c r="A76" s="5" t="s">
        <v>153</v>
      </c>
      <c r="B76" s="5" t="s">
        <v>10</v>
      </c>
      <c r="C76" s="5">
        <v>196</v>
      </c>
      <c r="D76" s="5">
        <v>75</v>
      </c>
    </row>
    <row r="77" spans="1:4" x14ac:dyDescent="0.3">
      <c r="A77" s="5" t="s">
        <v>155</v>
      </c>
      <c r="B77" s="5" t="s">
        <v>10</v>
      </c>
      <c r="C77" s="5">
        <v>198</v>
      </c>
      <c r="D77" s="5">
        <v>76</v>
      </c>
    </row>
    <row r="78" spans="1:4" x14ac:dyDescent="0.3">
      <c r="A78" s="5" t="s">
        <v>158</v>
      </c>
      <c r="B78" s="5" t="s">
        <v>10</v>
      </c>
      <c r="C78" s="5">
        <v>201</v>
      </c>
      <c r="D78" s="5">
        <v>77</v>
      </c>
    </row>
    <row r="79" spans="1:4" x14ac:dyDescent="0.3">
      <c r="A79" s="5" t="s">
        <v>160</v>
      </c>
      <c r="B79" s="5" t="s">
        <v>10</v>
      </c>
      <c r="C79" s="5">
        <v>203</v>
      </c>
      <c r="D79" s="5">
        <v>78</v>
      </c>
    </row>
    <row r="80" spans="1:4" x14ac:dyDescent="0.3">
      <c r="A80" s="5" t="s">
        <v>161</v>
      </c>
      <c r="B80" s="5" t="s">
        <v>152</v>
      </c>
      <c r="C80" s="5">
        <v>204</v>
      </c>
      <c r="D80" s="5">
        <v>79</v>
      </c>
    </row>
    <row r="81" spans="1:4" x14ac:dyDescent="0.3">
      <c r="A81" s="5" t="s">
        <v>162</v>
      </c>
      <c r="B81" s="5" t="s">
        <v>10</v>
      </c>
      <c r="C81" s="5">
        <v>205</v>
      </c>
      <c r="D81" s="5">
        <v>80</v>
      </c>
    </row>
    <row r="82" spans="1:4" x14ac:dyDescent="0.3">
      <c r="A82" s="5" t="s">
        <v>163</v>
      </c>
      <c r="B82" s="5" t="s">
        <v>10</v>
      </c>
      <c r="C82" s="5">
        <v>206</v>
      </c>
      <c r="D82" s="5">
        <v>81</v>
      </c>
    </row>
    <row r="83" spans="1:4" x14ac:dyDescent="0.3">
      <c r="A83" s="5" t="s">
        <v>164</v>
      </c>
      <c r="B83" s="5" t="s">
        <v>10</v>
      </c>
      <c r="C83" s="5">
        <v>207</v>
      </c>
      <c r="D83" s="5">
        <v>82</v>
      </c>
    </row>
    <row r="84" spans="1:4" x14ac:dyDescent="0.3">
      <c r="A84" s="5" t="s">
        <v>167</v>
      </c>
      <c r="B84" s="5" t="s">
        <v>50</v>
      </c>
      <c r="C84" s="5">
        <v>210</v>
      </c>
      <c r="D84" s="5">
        <v>83</v>
      </c>
    </row>
    <row r="85" spans="1:4" x14ac:dyDescent="0.3">
      <c r="A85" s="5" t="s">
        <v>168</v>
      </c>
      <c r="B85" s="5" t="s">
        <v>10</v>
      </c>
      <c r="C85" s="5">
        <v>211</v>
      </c>
      <c r="D85" s="5">
        <v>84</v>
      </c>
    </row>
    <row r="86" spans="1:4" x14ac:dyDescent="0.3">
      <c r="A86" s="5" t="s">
        <v>169</v>
      </c>
      <c r="B86" s="5" t="s">
        <v>50</v>
      </c>
      <c r="C86" s="5">
        <v>212</v>
      </c>
      <c r="D86" s="5">
        <v>85</v>
      </c>
    </row>
    <row r="87" spans="1:4" x14ac:dyDescent="0.3">
      <c r="A87" s="5" t="s">
        <v>170</v>
      </c>
      <c r="B87" s="5" t="s">
        <v>10</v>
      </c>
      <c r="C87" s="5">
        <v>213</v>
      </c>
      <c r="D87" s="5">
        <v>86</v>
      </c>
    </row>
    <row r="88" spans="1:4" x14ac:dyDescent="0.3">
      <c r="A88" s="5" t="s">
        <v>547</v>
      </c>
      <c r="B88" s="5" t="s">
        <v>50</v>
      </c>
      <c r="C88" s="5">
        <v>214</v>
      </c>
      <c r="D88" s="5">
        <v>87</v>
      </c>
    </row>
    <row r="89" spans="1:4" x14ac:dyDescent="0.3">
      <c r="A89" s="5" t="s">
        <v>171</v>
      </c>
      <c r="B89" s="5" t="s">
        <v>10</v>
      </c>
      <c r="C89" s="5">
        <v>215</v>
      </c>
      <c r="D89" s="5">
        <v>88</v>
      </c>
    </row>
    <row r="90" spans="1:4" x14ac:dyDescent="0.3">
      <c r="A90" s="5" t="s">
        <v>174</v>
      </c>
      <c r="B90" s="5" t="s">
        <v>50</v>
      </c>
      <c r="C90" s="5">
        <v>218</v>
      </c>
      <c r="D90" s="5">
        <v>89</v>
      </c>
    </row>
    <row r="91" spans="1:4" x14ac:dyDescent="0.3">
      <c r="A91" s="5" t="s">
        <v>175</v>
      </c>
      <c r="B91" s="5" t="s">
        <v>50</v>
      </c>
      <c r="C91" s="5">
        <v>219</v>
      </c>
      <c r="D91" s="5">
        <v>90</v>
      </c>
    </row>
    <row r="92" spans="1:4" x14ac:dyDescent="0.3">
      <c r="A92" s="5" t="s">
        <v>176</v>
      </c>
      <c r="B92" s="5" t="s">
        <v>10</v>
      </c>
      <c r="C92" s="5">
        <v>220</v>
      </c>
      <c r="D92" s="5">
        <v>91</v>
      </c>
    </row>
    <row r="93" spans="1:4" x14ac:dyDescent="0.3">
      <c r="A93" s="5" t="s">
        <v>177</v>
      </c>
      <c r="B93" s="5" t="s">
        <v>152</v>
      </c>
      <c r="C93" s="5">
        <v>221</v>
      </c>
      <c r="D93" s="5">
        <v>92</v>
      </c>
    </row>
    <row r="94" spans="1:4" x14ac:dyDescent="0.3">
      <c r="A94" s="5" t="s">
        <v>178</v>
      </c>
      <c r="B94" s="5" t="s">
        <v>10</v>
      </c>
      <c r="C94" s="5">
        <v>222</v>
      </c>
      <c r="D94" s="5">
        <v>93</v>
      </c>
    </row>
    <row r="95" spans="1:4" x14ac:dyDescent="0.3">
      <c r="A95" s="5" t="s">
        <v>179</v>
      </c>
      <c r="B95" s="5" t="s">
        <v>10</v>
      </c>
      <c r="C95" s="5">
        <v>223</v>
      </c>
      <c r="D95" s="5">
        <v>94</v>
      </c>
    </row>
    <row r="96" spans="1:4" x14ac:dyDescent="0.3">
      <c r="A96" s="5" t="s">
        <v>183</v>
      </c>
      <c r="B96" s="5" t="s">
        <v>10</v>
      </c>
      <c r="C96" s="5">
        <v>227</v>
      </c>
      <c r="D96" s="5">
        <v>95</v>
      </c>
    </row>
    <row r="97" spans="1:4" x14ac:dyDescent="0.3">
      <c r="A97" s="5" t="s">
        <v>184</v>
      </c>
      <c r="B97" s="5" t="s">
        <v>10</v>
      </c>
      <c r="C97" s="5">
        <v>228</v>
      </c>
      <c r="D97" s="5">
        <v>96</v>
      </c>
    </row>
    <row r="98" spans="1:4" x14ac:dyDescent="0.3">
      <c r="A98" s="5" t="s">
        <v>185</v>
      </c>
      <c r="B98" s="5" t="s">
        <v>50</v>
      </c>
      <c r="C98" s="5">
        <v>229</v>
      </c>
      <c r="D98" s="5">
        <v>97</v>
      </c>
    </row>
    <row r="99" spans="1:4" x14ac:dyDescent="0.3">
      <c r="A99" s="5" t="s">
        <v>548</v>
      </c>
      <c r="B99" s="5" t="s">
        <v>50</v>
      </c>
      <c r="C99" s="5">
        <v>230</v>
      </c>
      <c r="D99" s="5">
        <v>98</v>
      </c>
    </row>
    <row r="100" spans="1:4" x14ac:dyDescent="0.3">
      <c r="A100" s="5" t="s">
        <v>187</v>
      </c>
      <c r="B100" s="5" t="s">
        <v>50</v>
      </c>
      <c r="C100" s="5">
        <v>232</v>
      </c>
      <c r="D100" s="5">
        <v>99</v>
      </c>
    </row>
    <row r="101" spans="1:4" x14ac:dyDescent="0.3">
      <c r="A101" s="5" t="s">
        <v>189</v>
      </c>
      <c r="B101" s="5" t="s">
        <v>10</v>
      </c>
      <c r="C101" s="5">
        <v>234</v>
      </c>
      <c r="D101" s="5">
        <v>100</v>
      </c>
    </row>
    <row r="102" spans="1:4" x14ac:dyDescent="0.3">
      <c r="A102" s="5" t="s">
        <v>193</v>
      </c>
      <c r="B102" s="5" t="s">
        <v>10</v>
      </c>
      <c r="C102" s="5">
        <v>239</v>
      </c>
      <c r="D102" s="5">
        <v>101</v>
      </c>
    </row>
    <row r="103" spans="1:4" x14ac:dyDescent="0.3">
      <c r="A103" s="5" t="s">
        <v>195</v>
      </c>
      <c r="B103" s="5" t="s">
        <v>10</v>
      </c>
      <c r="C103" s="5">
        <v>241</v>
      </c>
      <c r="D103" s="5">
        <v>102</v>
      </c>
    </row>
    <row r="104" spans="1:4" x14ac:dyDescent="0.3">
      <c r="A104" s="5" t="s">
        <v>196</v>
      </c>
      <c r="B104" s="5" t="s">
        <v>10</v>
      </c>
      <c r="C104" s="5">
        <v>242</v>
      </c>
      <c r="D104" s="5">
        <v>103</v>
      </c>
    </row>
    <row r="105" spans="1:4" x14ac:dyDescent="0.3">
      <c r="A105" s="5" t="s">
        <v>197</v>
      </c>
      <c r="B105" s="5" t="s">
        <v>10</v>
      </c>
      <c r="C105" s="5">
        <v>243</v>
      </c>
      <c r="D105" s="5">
        <v>104</v>
      </c>
    </row>
    <row r="106" spans="1:4" x14ac:dyDescent="0.3">
      <c r="A106" s="5" t="s">
        <v>549</v>
      </c>
      <c r="B106" s="5" t="s">
        <v>50</v>
      </c>
      <c r="C106" s="5">
        <v>244</v>
      </c>
      <c r="D106" s="5">
        <v>105</v>
      </c>
    </row>
    <row r="107" spans="1:4" x14ac:dyDescent="0.3">
      <c r="A107" s="5" t="s">
        <v>199</v>
      </c>
      <c r="B107" s="5" t="s">
        <v>152</v>
      </c>
      <c r="C107" s="5">
        <v>246</v>
      </c>
      <c r="D107" s="5">
        <v>106</v>
      </c>
    </row>
    <row r="108" spans="1:4" x14ac:dyDescent="0.3">
      <c r="A108" s="5" t="s">
        <v>550</v>
      </c>
      <c r="B108" s="5" t="s">
        <v>50</v>
      </c>
      <c r="C108" s="5">
        <v>247</v>
      </c>
      <c r="D108" s="5">
        <v>107</v>
      </c>
    </row>
    <row r="109" spans="1:4" x14ac:dyDescent="0.3">
      <c r="A109" s="5" t="s">
        <v>200</v>
      </c>
      <c r="B109" s="5" t="s">
        <v>50</v>
      </c>
      <c r="C109" s="5">
        <v>248</v>
      </c>
      <c r="D109" s="5">
        <v>108</v>
      </c>
    </row>
    <row r="110" spans="1:4" x14ac:dyDescent="0.3">
      <c r="A110" s="5" t="s">
        <v>203</v>
      </c>
      <c r="B110" s="5" t="s">
        <v>10</v>
      </c>
      <c r="C110" s="5">
        <v>251</v>
      </c>
      <c r="D110" s="5">
        <v>109</v>
      </c>
    </row>
    <row r="111" spans="1:4" x14ac:dyDescent="0.3">
      <c r="A111" s="5" t="s">
        <v>204</v>
      </c>
      <c r="B111" s="5" t="s">
        <v>10</v>
      </c>
      <c r="C111" s="5">
        <v>252</v>
      </c>
      <c r="D111" s="5">
        <v>110</v>
      </c>
    </row>
    <row r="112" spans="1:4" x14ac:dyDescent="0.3">
      <c r="A112" s="5" t="s">
        <v>207</v>
      </c>
      <c r="B112" s="5" t="s">
        <v>10</v>
      </c>
      <c r="C112" s="5">
        <v>255</v>
      </c>
      <c r="D112" s="5">
        <v>111</v>
      </c>
    </row>
    <row r="113" spans="1:4" x14ac:dyDescent="0.3">
      <c r="A113" s="5" t="s">
        <v>208</v>
      </c>
      <c r="B113" s="5" t="s">
        <v>10</v>
      </c>
      <c r="C113" s="5">
        <v>256</v>
      </c>
      <c r="D113" s="5">
        <v>112</v>
      </c>
    </row>
    <row r="114" spans="1:4" x14ac:dyDescent="0.3">
      <c r="A114" s="5" t="s">
        <v>551</v>
      </c>
      <c r="B114" s="5" t="s">
        <v>50</v>
      </c>
      <c r="C114" s="5">
        <v>257</v>
      </c>
      <c r="D114" s="5">
        <v>113</v>
      </c>
    </row>
    <row r="115" spans="1:4" x14ac:dyDescent="0.3">
      <c r="A115" s="5" t="s">
        <v>211</v>
      </c>
      <c r="B115" s="5" t="s">
        <v>10</v>
      </c>
      <c r="C115" s="5">
        <v>261</v>
      </c>
      <c r="D115" s="5">
        <v>114</v>
      </c>
    </row>
    <row r="116" spans="1:4" x14ac:dyDescent="0.3">
      <c r="A116" s="5" t="s">
        <v>212</v>
      </c>
      <c r="B116" s="5" t="s">
        <v>10</v>
      </c>
      <c r="C116" s="5">
        <v>262</v>
      </c>
      <c r="D116" s="5">
        <v>115</v>
      </c>
    </row>
    <row r="117" spans="1:4" x14ac:dyDescent="0.3">
      <c r="A117" s="5" t="s">
        <v>214</v>
      </c>
      <c r="B117" s="5" t="s">
        <v>10</v>
      </c>
      <c r="C117" s="5">
        <v>264</v>
      </c>
      <c r="D117" s="5">
        <v>116</v>
      </c>
    </row>
    <row r="118" spans="1:4" x14ac:dyDescent="0.3">
      <c r="A118" s="5" t="s">
        <v>215</v>
      </c>
      <c r="B118" s="5" t="s">
        <v>10</v>
      </c>
      <c r="C118" s="5">
        <v>265</v>
      </c>
      <c r="D118" s="5">
        <v>117</v>
      </c>
    </row>
    <row r="119" spans="1:4" x14ac:dyDescent="0.3">
      <c r="A119" s="5" t="s">
        <v>216</v>
      </c>
      <c r="B119" s="5" t="s">
        <v>50</v>
      </c>
      <c r="C119" s="5">
        <v>266</v>
      </c>
      <c r="D119" s="5">
        <v>118</v>
      </c>
    </row>
    <row r="120" spans="1:4" x14ac:dyDescent="0.3">
      <c r="A120" s="5" t="s">
        <v>600</v>
      </c>
      <c r="B120" s="5" t="s">
        <v>10</v>
      </c>
      <c r="C120" s="5">
        <v>269</v>
      </c>
      <c r="D120" s="5">
        <v>119</v>
      </c>
    </row>
    <row r="121" spans="1:4" x14ac:dyDescent="0.3">
      <c r="A121" s="5" t="s">
        <v>569</v>
      </c>
      <c r="B121" s="5" t="s">
        <v>50</v>
      </c>
      <c r="C121" s="5">
        <v>270</v>
      </c>
      <c r="D121" s="5">
        <v>120</v>
      </c>
    </row>
    <row r="122" spans="1:4" x14ac:dyDescent="0.3">
      <c r="A122" s="5" t="s">
        <v>552</v>
      </c>
      <c r="B122" s="5" t="s">
        <v>50</v>
      </c>
      <c r="C122" s="5">
        <v>271</v>
      </c>
      <c r="D122" s="5">
        <v>121</v>
      </c>
    </row>
    <row r="123" spans="1:4" x14ac:dyDescent="0.3">
      <c r="A123" s="5" t="s">
        <v>218</v>
      </c>
      <c r="B123" s="5" t="s">
        <v>10</v>
      </c>
      <c r="C123" s="5">
        <v>272</v>
      </c>
      <c r="D123" s="5">
        <v>122</v>
      </c>
    </row>
    <row r="124" spans="1:4" x14ac:dyDescent="0.3">
      <c r="A124" s="5" t="s">
        <v>219</v>
      </c>
      <c r="B124" s="5" t="s">
        <v>10</v>
      </c>
      <c r="C124" s="5">
        <v>273</v>
      </c>
      <c r="D124" s="5">
        <v>123</v>
      </c>
    </row>
    <row r="125" spans="1:4" x14ac:dyDescent="0.3">
      <c r="A125" s="5" t="s">
        <v>221</v>
      </c>
      <c r="B125" s="5" t="s">
        <v>10</v>
      </c>
      <c r="C125" s="5">
        <v>275</v>
      </c>
      <c r="D125" s="5">
        <v>124</v>
      </c>
    </row>
    <row r="126" spans="1:4" x14ac:dyDescent="0.3">
      <c r="A126" s="5" t="s">
        <v>222</v>
      </c>
      <c r="B126" s="5" t="s">
        <v>50</v>
      </c>
      <c r="C126" s="5">
        <v>276</v>
      </c>
      <c r="D126" s="5">
        <v>125</v>
      </c>
    </row>
    <row r="127" spans="1:4" x14ac:dyDescent="0.3">
      <c r="A127" s="5" t="s">
        <v>223</v>
      </c>
      <c r="B127" s="5" t="s">
        <v>50</v>
      </c>
      <c r="C127" s="5">
        <v>277</v>
      </c>
      <c r="D127" s="5">
        <v>126</v>
      </c>
    </row>
    <row r="128" spans="1:4" x14ac:dyDescent="0.3">
      <c r="A128" s="5" t="s">
        <v>226</v>
      </c>
      <c r="B128" s="5" t="s">
        <v>50</v>
      </c>
      <c r="C128" s="5">
        <v>280</v>
      </c>
      <c r="D128" s="5">
        <v>127</v>
      </c>
    </row>
    <row r="129" spans="1:4" x14ac:dyDescent="0.3">
      <c r="A129" s="5" t="s">
        <v>553</v>
      </c>
      <c r="B129" s="5" t="s">
        <v>50</v>
      </c>
      <c r="C129" s="5">
        <v>282</v>
      </c>
      <c r="D129" s="5">
        <v>128</v>
      </c>
    </row>
    <row r="130" spans="1:4" x14ac:dyDescent="0.3">
      <c r="A130" s="5" t="s">
        <v>228</v>
      </c>
      <c r="B130" s="5" t="s">
        <v>10</v>
      </c>
      <c r="C130" s="5">
        <v>283</v>
      </c>
      <c r="D130" s="5">
        <v>129</v>
      </c>
    </row>
    <row r="131" spans="1:4" x14ac:dyDescent="0.3">
      <c r="A131" s="5" t="s">
        <v>229</v>
      </c>
      <c r="B131" s="5" t="s">
        <v>10</v>
      </c>
      <c r="C131" s="5">
        <v>284</v>
      </c>
      <c r="D131" s="5">
        <v>130</v>
      </c>
    </row>
    <row r="132" spans="1:4" x14ac:dyDescent="0.3">
      <c r="A132" s="5" t="s">
        <v>230</v>
      </c>
      <c r="B132" s="5" t="s">
        <v>152</v>
      </c>
      <c r="C132" s="5">
        <v>285</v>
      </c>
      <c r="D132" s="5">
        <v>131</v>
      </c>
    </row>
    <row r="133" spans="1:4" x14ac:dyDescent="0.3">
      <c r="A133" s="5" t="s">
        <v>231</v>
      </c>
      <c r="B133" s="5" t="s">
        <v>10</v>
      </c>
      <c r="C133" s="5">
        <v>286</v>
      </c>
      <c r="D133" s="5">
        <v>132</v>
      </c>
    </row>
    <row r="134" spans="1:4" x14ac:dyDescent="0.3">
      <c r="A134" s="5" t="s">
        <v>232</v>
      </c>
      <c r="B134" s="5" t="s">
        <v>10</v>
      </c>
      <c r="C134" s="5">
        <v>287</v>
      </c>
      <c r="D134" s="5">
        <v>133</v>
      </c>
    </row>
    <row r="135" spans="1:4" x14ac:dyDescent="0.3">
      <c r="A135" s="5" t="s">
        <v>233</v>
      </c>
      <c r="B135" s="5" t="s">
        <v>10</v>
      </c>
      <c r="C135" s="5">
        <v>288</v>
      </c>
      <c r="D135" s="5">
        <v>134</v>
      </c>
    </row>
    <row r="136" spans="1:4" x14ac:dyDescent="0.3">
      <c r="A136" s="5" t="s">
        <v>235</v>
      </c>
      <c r="B136" s="5" t="s">
        <v>50</v>
      </c>
      <c r="C136" s="5">
        <v>291</v>
      </c>
      <c r="D136" s="5">
        <v>135</v>
      </c>
    </row>
    <row r="137" spans="1:4" x14ac:dyDescent="0.3">
      <c r="A137" s="5" t="s">
        <v>237</v>
      </c>
      <c r="B137" s="5" t="s">
        <v>152</v>
      </c>
      <c r="C137" s="5">
        <v>293</v>
      </c>
      <c r="D137" s="5">
        <v>136</v>
      </c>
    </row>
    <row r="138" spans="1:4" x14ac:dyDescent="0.3">
      <c r="A138" s="5" t="s">
        <v>238</v>
      </c>
      <c r="B138" s="5" t="s">
        <v>50</v>
      </c>
      <c r="C138" s="5">
        <v>294</v>
      </c>
      <c r="D138" s="5">
        <v>137</v>
      </c>
    </row>
    <row r="139" spans="1:4" x14ac:dyDescent="0.3">
      <c r="A139" s="5" t="s">
        <v>242</v>
      </c>
      <c r="B139" s="5" t="s">
        <v>10</v>
      </c>
      <c r="C139" s="5">
        <v>298</v>
      </c>
      <c r="D139" s="5">
        <v>138</v>
      </c>
    </row>
    <row r="140" spans="1:4" x14ac:dyDescent="0.3">
      <c r="A140" s="5" t="s">
        <v>246</v>
      </c>
      <c r="B140" s="5" t="s">
        <v>10</v>
      </c>
      <c r="C140" s="5">
        <v>301</v>
      </c>
      <c r="D140" s="5">
        <v>139</v>
      </c>
    </row>
    <row r="141" spans="1:4" x14ac:dyDescent="0.3">
      <c r="A141" s="5" t="s">
        <v>248</v>
      </c>
      <c r="B141" s="5" t="s">
        <v>10</v>
      </c>
      <c r="C141" s="5">
        <v>303</v>
      </c>
      <c r="D141" s="5">
        <v>140</v>
      </c>
    </row>
    <row r="142" spans="1:4" x14ac:dyDescent="0.3">
      <c r="A142" s="5" t="s">
        <v>249</v>
      </c>
      <c r="B142" s="5" t="s">
        <v>152</v>
      </c>
      <c r="C142" s="5">
        <v>304</v>
      </c>
      <c r="D142" s="5">
        <v>141</v>
      </c>
    </row>
    <row r="143" spans="1:4" x14ac:dyDescent="0.3">
      <c r="A143" s="5" t="s">
        <v>250</v>
      </c>
      <c r="B143" s="5" t="s">
        <v>50</v>
      </c>
      <c r="C143" s="5">
        <v>305</v>
      </c>
      <c r="D143" s="5">
        <v>142</v>
      </c>
    </row>
    <row r="144" spans="1:4" x14ac:dyDescent="0.3">
      <c r="A144" s="5" t="s">
        <v>252</v>
      </c>
      <c r="B144" s="5" t="s">
        <v>10</v>
      </c>
      <c r="C144" s="5">
        <v>307</v>
      </c>
      <c r="D144" s="5">
        <v>143</v>
      </c>
    </row>
    <row r="145" spans="1:4" x14ac:dyDescent="0.3">
      <c r="A145" s="5" t="s">
        <v>253</v>
      </c>
      <c r="B145" s="5" t="s">
        <v>50</v>
      </c>
      <c r="C145" s="5">
        <v>309</v>
      </c>
      <c r="D145" s="5">
        <v>144</v>
      </c>
    </row>
    <row r="146" spans="1:4" x14ac:dyDescent="0.3">
      <c r="A146" s="5" t="s">
        <v>256</v>
      </c>
      <c r="B146" s="5" t="s">
        <v>50</v>
      </c>
      <c r="C146" s="5">
        <v>314</v>
      </c>
      <c r="D146" s="5">
        <v>145</v>
      </c>
    </row>
    <row r="147" spans="1:4" x14ac:dyDescent="0.3">
      <c r="A147" s="5" t="s">
        <v>257</v>
      </c>
      <c r="B147" s="5" t="s">
        <v>152</v>
      </c>
      <c r="C147" s="5">
        <v>315</v>
      </c>
      <c r="D147" s="5">
        <v>146</v>
      </c>
    </row>
    <row r="148" spans="1:4" x14ac:dyDescent="0.3">
      <c r="A148" s="5" t="s">
        <v>259</v>
      </c>
      <c r="B148" s="5" t="s">
        <v>50</v>
      </c>
      <c r="C148" s="5">
        <v>318</v>
      </c>
      <c r="D148" s="5">
        <v>147</v>
      </c>
    </row>
    <row r="149" spans="1:4" x14ac:dyDescent="0.3">
      <c r="A149" s="5" t="s">
        <v>260</v>
      </c>
      <c r="B149" s="5" t="s">
        <v>10</v>
      </c>
      <c r="C149" s="5">
        <v>319</v>
      </c>
      <c r="D149" s="5">
        <v>148</v>
      </c>
    </row>
    <row r="150" spans="1:4" x14ac:dyDescent="0.3">
      <c r="A150" s="5" t="s">
        <v>261</v>
      </c>
      <c r="B150" s="5" t="s">
        <v>50</v>
      </c>
      <c r="C150" s="5">
        <v>320</v>
      </c>
      <c r="D150" s="5">
        <v>149</v>
      </c>
    </row>
    <row r="151" spans="1:4" x14ac:dyDescent="0.3">
      <c r="A151" s="5" t="s">
        <v>262</v>
      </c>
      <c r="B151" s="5" t="s">
        <v>152</v>
      </c>
      <c r="C151" s="5">
        <v>321</v>
      </c>
      <c r="D151" s="5">
        <v>150</v>
      </c>
    </row>
    <row r="152" spans="1:4" x14ac:dyDescent="0.3">
      <c r="A152" s="5" t="s">
        <v>267</v>
      </c>
      <c r="B152" s="5" t="s">
        <v>50</v>
      </c>
      <c r="C152" s="5">
        <v>326</v>
      </c>
      <c r="D152" s="5">
        <v>151</v>
      </c>
    </row>
    <row r="153" spans="1:4" x14ac:dyDescent="0.3">
      <c r="A153" s="5" t="s">
        <v>269</v>
      </c>
      <c r="B153" s="5" t="s">
        <v>10</v>
      </c>
      <c r="C153" s="5">
        <v>328</v>
      </c>
      <c r="D153" s="5">
        <v>152</v>
      </c>
    </row>
    <row r="154" spans="1:4" x14ac:dyDescent="0.3">
      <c r="A154" s="5" t="s">
        <v>270</v>
      </c>
      <c r="B154" s="5" t="s">
        <v>152</v>
      </c>
      <c r="C154" s="5">
        <v>329</v>
      </c>
      <c r="D154" s="5">
        <v>153</v>
      </c>
    </row>
    <row r="155" spans="1:4" x14ac:dyDescent="0.3">
      <c r="A155" s="5" t="s">
        <v>271</v>
      </c>
      <c r="B155" s="5" t="s">
        <v>50</v>
      </c>
      <c r="C155" s="5">
        <v>330</v>
      </c>
      <c r="D155" s="5">
        <v>154</v>
      </c>
    </row>
    <row r="156" spans="1:4" x14ac:dyDescent="0.3">
      <c r="A156" s="5" t="s">
        <v>273</v>
      </c>
      <c r="B156" s="5" t="s">
        <v>50</v>
      </c>
      <c r="C156" s="5">
        <v>332</v>
      </c>
      <c r="D156" s="5">
        <v>155</v>
      </c>
    </row>
    <row r="157" spans="1:4" x14ac:dyDescent="0.3">
      <c r="A157" s="5" t="s">
        <v>274</v>
      </c>
      <c r="B157" s="5" t="s">
        <v>10</v>
      </c>
      <c r="C157" s="5">
        <v>333</v>
      </c>
      <c r="D157" s="5">
        <v>156</v>
      </c>
    </row>
    <row r="158" spans="1:4" x14ac:dyDescent="0.3">
      <c r="A158" s="5" t="s">
        <v>275</v>
      </c>
      <c r="B158" s="5" t="s">
        <v>50</v>
      </c>
      <c r="C158" s="5">
        <v>334</v>
      </c>
      <c r="D158" s="5">
        <v>157</v>
      </c>
    </row>
    <row r="159" spans="1:4" x14ac:dyDescent="0.3">
      <c r="A159" s="5" t="s">
        <v>832</v>
      </c>
      <c r="B159" s="5" t="s">
        <v>10</v>
      </c>
      <c r="C159" s="5">
        <v>335</v>
      </c>
      <c r="D159" s="5">
        <v>158</v>
      </c>
    </row>
    <row r="160" spans="1:4" x14ac:dyDescent="0.3">
      <c r="A160" s="5" t="s">
        <v>277</v>
      </c>
      <c r="B160" s="5" t="s">
        <v>10</v>
      </c>
      <c r="C160" s="5">
        <v>340</v>
      </c>
      <c r="D160" s="5">
        <v>159</v>
      </c>
    </row>
    <row r="161" spans="1:4" x14ac:dyDescent="0.3">
      <c r="A161" s="5" t="s">
        <v>823</v>
      </c>
      <c r="B161" s="5" t="s">
        <v>10</v>
      </c>
      <c r="C161" s="5">
        <v>344</v>
      </c>
      <c r="D161" s="5">
        <v>160</v>
      </c>
    </row>
    <row r="162" spans="1:4" x14ac:dyDescent="0.3">
      <c r="A162" s="5" t="s">
        <v>570</v>
      </c>
      <c r="B162" s="5" t="s">
        <v>50</v>
      </c>
      <c r="C162" s="5">
        <v>345</v>
      </c>
      <c r="D162" s="5">
        <v>161</v>
      </c>
    </row>
    <row r="163" spans="1:4" x14ac:dyDescent="0.3">
      <c r="A163" s="5" t="s">
        <v>280</v>
      </c>
      <c r="B163" s="5" t="s">
        <v>10</v>
      </c>
      <c r="C163" s="5">
        <v>347</v>
      </c>
      <c r="D163" s="5">
        <v>162</v>
      </c>
    </row>
    <row r="164" spans="1:4" x14ac:dyDescent="0.3">
      <c r="A164" s="5" t="s">
        <v>283</v>
      </c>
      <c r="B164" s="5" t="s">
        <v>10</v>
      </c>
      <c r="C164" s="5">
        <v>350</v>
      </c>
      <c r="D164" s="5">
        <v>163</v>
      </c>
    </row>
    <row r="165" spans="1:4" x14ac:dyDescent="0.3">
      <c r="A165" s="5" t="s">
        <v>284</v>
      </c>
      <c r="B165" s="5" t="s">
        <v>152</v>
      </c>
      <c r="C165" s="5">
        <v>351</v>
      </c>
      <c r="D165" s="5">
        <v>164</v>
      </c>
    </row>
    <row r="166" spans="1:4" x14ac:dyDescent="0.3">
      <c r="A166" s="5" t="s">
        <v>285</v>
      </c>
      <c r="B166" s="5" t="s">
        <v>10</v>
      </c>
      <c r="C166" s="5">
        <v>352</v>
      </c>
      <c r="D166" s="5">
        <v>165</v>
      </c>
    </row>
    <row r="167" spans="1:4" x14ac:dyDescent="0.3">
      <c r="A167" s="5" t="s">
        <v>286</v>
      </c>
      <c r="B167" s="5" t="s">
        <v>10</v>
      </c>
      <c r="C167" s="5">
        <v>353</v>
      </c>
      <c r="D167" s="5">
        <v>166</v>
      </c>
    </row>
    <row r="168" spans="1:4" x14ac:dyDescent="0.3">
      <c r="A168" s="5" t="s">
        <v>902</v>
      </c>
      <c r="B168" s="5" t="s">
        <v>50</v>
      </c>
      <c r="C168" s="5">
        <v>356</v>
      </c>
      <c r="D168" s="5">
        <v>167</v>
      </c>
    </row>
    <row r="169" spans="1:4" x14ac:dyDescent="0.3">
      <c r="A169" s="5" t="s">
        <v>554</v>
      </c>
      <c r="B169" s="5" t="s">
        <v>50</v>
      </c>
      <c r="C169" s="5">
        <v>357</v>
      </c>
      <c r="D169" s="5">
        <v>168</v>
      </c>
    </row>
    <row r="170" spans="1:4" x14ac:dyDescent="0.3">
      <c r="A170" s="5" t="s">
        <v>288</v>
      </c>
      <c r="B170" s="5" t="s">
        <v>152</v>
      </c>
      <c r="C170" s="5">
        <v>358</v>
      </c>
      <c r="D170" s="5">
        <v>169</v>
      </c>
    </row>
    <row r="171" spans="1:4" x14ac:dyDescent="0.3">
      <c r="A171" s="5" t="s">
        <v>289</v>
      </c>
      <c r="B171" s="5" t="s">
        <v>50</v>
      </c>
      <c r="C171" s="5">
        <v>359</v>
      </c>
      <c r="D171" s="5">
        <v>170</v>
      </c>
    </row>
    <row r="172" spans="1:4" x14ac:dyDescent="0.3">
      <c r="A172" s="5" t="s">
        <v>209</v>
      </c>
      <c r="B172" s="5" t="s">
        <v>50</v>
      </c>
      <c r="C172" s="5">
        <v>364</v>
      </c>
      <c r="D172" s="5">
        <v>171</v>
      </c>
    </row>
    <row r="173" spans="1:4" x14ac:dyDescent="0.3">
      <c r="A173" s="5" t="s">
        <v>293</v>
      </c>
      <c r="B173" s="5" t="s">
        <v>10</v>
      </c>
      <c r="C173" s="5">
        <v>365</v>
      </c>
      <c r="D173" s="5">
        <v>172</v>
      </c>
    </row>
    <row r="174" spans="1:4" x14ac:dyDescent="0.3">
      <c r="A174" s="5" t="s">
        <v>294</v>
      </c>
      <c r="B174" s="5" t="s">
        <v>152</v>
      </c>
      <c r="C174" s="5">
        <v>366</v>
      </c>
      <c r="D174" s="5">
        <v>173</v>
      </c>
    </row>
    <row r="175" spans="1:4" x14ac:dyDescent="0.3">
      <c r="A175" s="5" t="s">
        <v>295</v>
      </c>
      <c r="B175" s="5" t="s">
        <v>10</v>
      </c>
      <c r="C175" s="5">
        <v>367</v>
      </c>
      <c r="D175" s="5">
        <v>174</v>
      </c>
    </row>
    <row r="176" spans="1:4" x14ac:dyDescent="0.3">
      <c r="A176" s="5" t="s">
        <v>296</v>
      </c>
      <c r="B176" s="5" t="s">
        <v>10</v>
      </c>
      <c r="C176" s="5">
        <v>368</v>
      </c>
      <c r="D176" s="5">
        <v>175</v>
      </c>
    </row>
    <row r="177" spans="1:4" x14ac:dyDescent="0.3">
      <c r="A177" s="5" t="s">
        <v>299</v>
      </c>
      <c r="B177" s="5" t="s">
        <v>10</v>
      </c>
      <c r="C177" s="5">
        <v>371</v>
      </c>
      <c r="D177" s="5">
        <v>176</v>
      </c>
    </row>
    <row r="178" spans="1:4" x14ac:dyDescent="0.3">
      <c r="A178" s="5" t="s">
        <v>300</v>
      </c>
      <c r="B178" s="5" t="s">
        <v>10</v>
      </c>
      <c r="C178" s="5">
        <v>372</v>
      </c>
      <c r="D178" s="5">
        <v>177</v>
      </c>
    </row>
    <row r="179" spans="1:4" x14ac:dyDescent="0.3">
      <c r="A179" s="5" t="s">
        <v>301</v>
      </c>
      <c r="B179" s="5" t="s">
        <v>10</v>
      </c>
      <c r="C179" s="5">
        <v>373</v>
      </c>
      <c r="D179" s="5">
        <v>178</v>
      </c>
    </row>
    <row r="180" spans="1:4" x14ac:dyDescent="0.3">
      <c r="A180" s="5" t="s">
        <v>302</v>
      </c>
      <c r="B180" s="5" t="s">
        <v>50</v>
      </c>
      <c r="C180" s="5">
        <v>374</v>
      </c>
      <c r="D180" s="5">
        <v>179</v>
      </c>
    </row>
    <row r="181" spans="1:4" x14ac:dyDescent="0.3">
      <c r="A181" s="5" t="s">
        <v>303</v>
      </c>
      <c r="B181" s="5" t="s">
        <v>50</v>
      </c>
      <c r="C181" s="5">
        <v>375</v>
      </c>
      <c r="D181" s="5">
        <v>180</v>
      </c>
    </row>
    <row r="182" spans="1:4" x14ac:dyDescent="0.3">
      <c r="A182" s="5" t="s">
        <v>571</v>
      </c>
      <c r="B182" s="5" t="s">
        <v>50</v>
      </c>
      <c r="C182" s="5">
        <v>376</v>
      </c>
      <c r="D182" s="5">
        <v>181</v>
      </c>
    </row>
    <row r="183" spans="1:4" x14ac:dyDescent="0.3">
      <c r="A183" s="5" t="s">
        <v>555</v>
      </c>
      <c r="B183" s="5" t="s">
        <v>50</v>
      </c>
      <c r="C183" s="5">
        <v>378</v>
      </c>
      <c r="D183" s="5">
        <v>182</v>
      </c>
    </row>
    <row r="184" spans="1:4" x14ac:dyDescent="0.3">
      <c r="A184" s="5" t="s">
        <v>601</v>
      </c>
      <c r="B184" s="5" t="s">
        <v>10</v>
      </c>
      <c r="C184" s="5">
        <v>379</v>
      </c>
      <c r="D184" s="5">
        <v>183</v>
      </c>
    </row>
    <row r="185" spans="1:4" x14ac:dyDescent="0.3">
      <c r="A185" s="5" t="s">
        <v>305</v>
      </c>
      <c r="B185" s="5" t="s">
        <v>50</v>
      </c>
      <c r="C185" s="5">
        <v>380</v>
      </c>
      <c r="D185" s="5">
        <v>184</v>
      </c>
    </row>
    <row r="186" spans="1:4" x14ac:dyDescent="0.3">
      <c r="A186" s="5" t="s">
        <v>307</v>
      </c>
      <c r="B186" s="5" t="s">
        <v>10</v>
      </c>
      <c r="C186" s="5">
        <v>382</v>
      </c>
      <c r="D186" s="5">
        <v>185</v>
      </c>
    </row>
    <row r="187" spans="1:4" x14ac:dyDescent="0.3">
      <c r="A187" s="5" t="s">
        <v>308</v>
      </c>
      <c r="B187" s="5" t="s">
        <v>152</v>
      </c>
      <c r="C187" s="5">
        <v>383</v>
      </c>
      <c r="D187" s="5">
        <v>186</v>
      </c>
    </row>
    <row r="188" spans="1:4" x14ac:dyDescent="0.3">
      <c r="A188" s="5" t="s">
        <v>309</v>
      </c>
      <c r="B188" s="5" t="s">
        <v>50</v>
      </c>
      <c r="C188" s="5">
        <v>384</v>
      </c>
      <c r="D188" s="5">
        <v>187</v>
      </c>
    </row>
    <row r="189" spans="1:4" x14ac:dyDescent="0.3">
      <c r="A189" s="5" t="s">
        <v>310</v>
      </c>
      <c r="B189" s="5" t="s">
        <v>50</v>
      </c>
      <c r="C189" s="5">
        <v>386</v>
      </c>
      <c r="D189" s="5">
        <v>188</v>
      </c>
    </row>
    <row r="190" spans="1:4" x14ac:dyDescent="0.3">
      <c r="A190" s="5" t="s">
        <v>311</v>
      </c>
      <c r="B190" s="5" t="s">
        <v>10</v>
      </c>
      <c r="C190" s="5">
        <v>387</v>
      </c>
      <c r="D190" s="5">
        <v>189</v>
      </c>
    </row>
    <row r="191" spans="1:4" x14ac:dyDescent="0.3">
      <c r="A191" s="5" t="s">
        <v>312</v>
      </c>
      <c r="B191" s="5" t="s">
        <v>50</v>
      </c>
      <c r="C191" s="5">
        <v>388</v>
      </c>
      <c r="D191" s="5">
        <v>190</v>
      </c>
    </row>
    <row r="192" spans="1:4" x14ac:dyDescent="0.3">
      <c r="A192" s="5" t="s">
        <v>556</v>
      </c>
      <c r="B192" s="5" t="s">
        <v>50</v>
      </c>
      <c r="C192" s="5">
        <v>389</v>
      </c>
      <c r="D192" s="5">
        <v>191</v>
      </c>
    </row>
    <row r="193" spans="1:4" x14ac:dyDescent="0.3">
      <c r="A193" s="5" t="s">
        <v>313</v>
      </c>
      <c r="B193" s="5" t="s">
        <v>50</v>
      </c>
      <c r="C193" s="5">
        <v>390</v>
      </c>
      <c r="D193" s="5">
        <v>192</v>
      </c>
    </row>
    <row r="194" spans="1:4" x14ac:dyDescent="0.3">
      <c r="A194" s="5" t="s">
        <v>314</v>
      </c>
      <c r="B194" s="5" t="s">
        <v>50</v>
      </c>
      <c r="C194" s="5">
        <v>391</v>
      </c>
      <c r="D194" s="5">
        <v>193</v>
      </c>
    </row>
    <row r="195" spans="1:4" x14ac:dyDescent="0.3">
      <c r="A195" s="5" t="s">
        <v>315</v>
      </c>
      <c r="B195" s="5" t="s">
        <v>10</v>
      </c>
      <c r="C195" s="5">
        <v>392</v>
      </c>
      <c r="D195" s="5">
        <v>194</v>
      </c>
    </row>
    <row r="196" spans="1:4" x14ac:dyDescent="0.3">
      <c r="A196" s="5" t="s">
        <v>316</v>
      </c>
      <c r="B196" s="5" t="s">
        <v>50</v>
      </c>
      <c r="C196" s="5">
        <v>393</v>
      </c>
      <c r="D196" s="5">
        <v>195</v>
      </c>
    </row>
    <row r="197" spans="1:4" x14ac:dyDescent="0.3">
      <c r="A197" s="5" t="s">
        <v>317</v>
      </c>
      <c r="B197" s="5" t="s">
        <v>10</v>
      </c>
      <c r="C197" s="5">
        <v>394</v>
      </c>
      <c r="D197" s="5">
        <v>196</v>
      </c>
    </row>
    <row r="198" spans="1:4" x14ac:dyDescent="0.3">
      <c r="A198" s="5" t="s">
        <v>318</v>
      </c>
      <c r="B198" s="5" t="s">
        <v>152</v>
      </c>
      <c r="C198" s="5">
        <v>395</v>
      </c>
      <c r="D198" s="5">
        <v>197</v>
      </c>
    </row>
    <row r="199" spans="1:4" x14ac:dyDescent="0.3">
      <c r="A199" s="5" t="s">
        <v>320</v>
      </c>
      <c r="B199" s="5" t="s">
        <v>10</v>
      </c>
      <c r="C199" s="5">
        <v>398</v>
      </c>
      <c r="D199" s="5">
        <v>198</v>
      </c>
    </row>
    <row r="200" spans="1:4" x14ac:dyDescent="0.3">
      <c r="A200" s="5" t="s">
        <v>324</v>
      </c>
      <c r="B200" s="5" t="s">
        <v>10</v>
      </c>
      <c r="C200" s="5">
        <v>402</v>
      </c>
      <c r="D200" s="5">
        <v>199</v>
      </c>
    </row>
    <row r="201" spans="1:4" x14ac:dyDescent="0.3">
      <c r="A201" s="5" t="s">
        <v>325</v>
      </c>
      <c r="B201" s="5" t="s">
        <v>50</v>
      </c>
      <c r="C201" s="5">
        <v>403</v>
      </c>
      <c r="D201" s="5">
        <v>200</v>
      </c>
    </row>
    <row r="202" spans="1:4" x14ac:dyDescent="0.3">
      <c r="A202" s="5" t="s">
        <v>327</v>
      </c>
      <c r="B202" s="5" t="s">
        <v>152</v>
      </c>
      <c r="C202" s="5">
        <v>405</v>
      </c>
      <c r="D202" s="5">
        <v>201</v>
      </c>
    </row>
    <row r="203" spans="1:4" x14ac:dyDescent="0.3">
      <c r="A203" s="5" t="s">
        <v>329</v>
      </c>
      <c r="B203" s="5" t="s">
        <v>50</v>
      </c>
      <c r="C203" s="5">
        <v>407</v>
      </c>
      <c r="D203" s="5">
        <v>202</v>
      </c>
    </row>
    <row r="204" spans="1:4" x14ac:dyDescent="0.3">
      <c r="A204" s="5" t="s">
        <v>330</v>
      </c>
      <c r="B204" s="5" t="s">
        <v>50</v>
      </c>
      <c r="C204" s="5">
        <v>408</v>
      </c>
      <c r="D204" s="5">
        <v>203</v>
      </c>
    </row>
    <row r="205" spans="1:4" x14ac:dyDescent="0.3">
      <c r="A205" s="5" t="s">
        <v>557</v>
      </c>
      <c r="B205" s="5" t="s">
        <v>50</v>
      </c>
      <c r="C205" s="5">
        <v>409</v>
      </c>
      <c r="D205" s="5">
        <v>204</v>
      </c>
    </row>
    <row r="206" spans="1:4" x14ac:dyDescent="0.3">
      <c r="A206" s="5" t="s">
        <v>331</v>
      </c>
      <c r="B206" s="5" t="s">
        <v>152</v>
      </c>
      <c r="C206" s="5">
        <v>410</v>
      </c>
      <c r="D206" s="5">
        <v>205</v>
      </c>
    </row>
    <row r="207" spans="1:4" x14ac:dyDescent="0.3">
      <c r="A207" s="5" t="s">
        <v>332</v>
      </c>
      <c r="B207" s="5" t="s">
        <v>10</v>
      </c>
      <c r="C207" s="5">
        <v>411</v>
      </c>
      <c r="D207" s="5">
        <v>206</v>
      </c>
    </row>
    <row r="208" spans="1:4" x14ac:dyDescent="0.3">
      <c r="A208" s="5" t="s">
        <v>334</v>
      </c>
      <c r="B208" s="5" t="s">
        <v>10</v>
      </c>
      <c r="C208" s="5">
        <v>414</v>
      </c>
      <c r="D208" s="5">
        <v>207</v>
      </c>
    </row>
    <row r="209" spans="1:4" x14ac:dyDescent="0.3">
      <c r="A209" s="5" t="s">
        <v>336</v>
      </c>
      <c r="B209" s="5" t="s">
        <v>50</v>
      </c>
      <c r="C209" s="5">
        <v>416</v>
      </c>
      <c r="D209" s="5">
        <v>208</v>
      </c>
    </row>
    <row r="210" spans="1:4" x14ac:dyDescent="0.3">
      <c r="A210" s="5" t="s">
        <v>602</v>
      </c>
      <c r="B210" s="5" t="s">
        <v>10</v>
      </c>
      <c r="C210" s="5">
        <v>417</v>
      </c>
      <c r="D210" s="5">
        <v>209</v>
      </c>
    </row>
    <row r="211" spans="1:4" x14ac:dyDescent="0.3">
      <c r="A211" s="5" t="s">
        <v>603</v>
      </c>
      <c r="B211" s="5" t="s">
        <v>10</v>
      </c>
      <c r="C211" s="5">
        <v>419</v>
      </c>
      <c r="D211" s="5">
        <v>210</v>
      </c>
    </row>
    <row r="212" spans="1:4" x14ac:dyDescent="0.3">
      <c r="A212" s="5" t="s">
        <v>338</v>
      </c>
      <c r="B212" s="5" t="s">
        <v>10</v>
      </c>
      <c r="C212" s="5">
        <v>421</v>
      </c>
      <c r="D212" s="5">
        <v>211</v>
      </c>
    </row>
    <row r="213" spans="1:4" x14ac:dyDescent="0.3">
      <c r="A213" s="5" t="s">
        <v>558</v>
      </c>
      <c r="B213" s="5" t="s">
        <v>50</v>
      </c>
      <c r="C213" s="5">
        <v>422</v>
      </c>
      <c r="D213" s="5">
        <v>212</v>
      </c>
    </row>
    <row r="214" spans="1:4" x14ac:dyDescent="0.3">
      <c r="A214" s="5" t="s">
        <v>339</v>
      </c>
      <c r="B214" s="5" t="s">
        <v>10</v>
      </c>
      <c r="C214" s="5">
        <v>423</v>
      </c>
      <c r="D214" s="5">
        <v>213</v>
      </c>
    </row>
    <row r="215" spans="1:4" x14ac:dyDescent="0.3">
      <c r="A215" s="5" t="s">
        <v>572</v>
      </c>
      <c r="B215" s="5" t="s">
        <v>50</v>
      </c>
      <c r="C215" s="5">
        <v>429</v>
      </c>
      <c r="D215" s="5">
        <v>214</v>
      </c>
    </row>
    <row r="216" spans="1:4" x14ac:dyDescent="0.3">
      <c r="A216" s="5" t="s">
        <v>345</v>
      </c>
      <c r="B216" s="5" t="s">
        <v>152</v>
      </c>
      <c r="C216" s="5">
        <v>430</v>
      </c>
      <c r="D216" s="5">
        <v>215</v>
      </c>
    </row>
    <row r="217" spans="1:4" x14ac:dyDescent="0.3">
      <c r="A217" s="5" t="s">
        <v>346</v>
      </c>
      <c r="B217" s="5" t="s">
        <v>152</v>
      </c>
      <c r="C217" s="5">
        <v>431</v>
      </c>
      <c r="D217" s="5">
        <v>216</v>
      </c>
    </row>
    <row r="218" spans="1:4" x14ac:dyDescent="0.3">
      <c r="A218" s="5" t="s">
        <v>348</v>
      </c>
      <c r="B218" s="5" t="s">
        <v>10</v>
      </c>
      <c r="C218" s="5">
        <v>433</v>
      </c>
      <c r="D218" s="5">
        <v>217</v>
      </c>
    </row>
    <row r="219" spans="1:4" x14ac:dyDescent="0.3">
      <c r="A219" s="5" t="s">
        <v>349</v>
      </c>
      <c r="B219" s="5" t="s">
        <v>50</v>
      </c>
      <c r="C219" s="5">
        <v>434</v>
      </c>
      <c r="D219" s="5">
        <v>218</v>
      </c>
    </row>
    <row r="220" spans="1:4" x14ac:dyDescent="0.3">
      <c r="A220" s="5" t="s">
        <v>350</v>
      </c>
      <c r="B220" s="5" t="s">
        <v>10</v>
      </c>
      <c r="C220" s="5">
        <v>435</v>
      </c>
      <c r="D220" s="5">
        <v>219</v>
      </c>
    </row>
    <row r="221" spans="1:4" x14ac:dyDescent="0.3">
      <c r="A221" s="5" t="s">
        <v>559</v>
      </c>
      <c r="B221" s="5" t="s">
        <v>50</v>
      </c>
      <c r="C221" s="5">
        <v>442</v>
      </c>
      <c r="D221" s="5">
        <v>220</v>
      </c>
    </row>
    <row r="222" spans="1:4" x14ac:dyDescent="0.3">
      <c r="A222" s="5" t="s">
        <v>360</v>
      </c>
      <c r="B222" s="5" t="s">
        <v>152</v>
      </c>
      <c r="C222" s="5">
        <v>446</v>
      </c>
      <c r="D222" s="5">
        <v>221</v>
      </c>
    </row>
    <row r="223" spans="1:4" x14ac:dyDescent="0.3">
      <c r="A223" s="5" t="s">
        <v>604</v>
      </c>
      <c r="B223" s="5" t="s">
        <v>10</v>
      </c>
      <c r="C223" s="5">
        <v>449</v>
      </c>
      <c r="D223" s="5">
        <v>222</v>
      </c>
    </row>
    <row r="224" spans="1:4" x14ac:dyDescent="0.3">
      <c r="A224" s="5" t="s">
        <v>362</v>
      </c>
      <c r="B224" s="5" t="s">
        <v>10</v>
      </c>
      <c r="C224" s="5">
        <v>450</v>
      </c>
      <c r="D224" s="5">
        <v>223</v>
      </c>
    </row>
    <row r="225" spans="1:4" x14ac:dyDescent="0.3">
      <c r="A225" s="5" t="s">
        <v>363</v>
      </c>
      <c r="B225" s="5" t="s">
        <v>50</v>
      </c>
      <c r="C225" s="5">
        <v>451</v>
      </c>
      <c r="D225" s="5">
        <v>224</v>
      </c>
    </row>
    <row r="226" spans="1:4" x14ac:dyDescent="0.3">
      <c r="A226" s="5" t="s">
        <v>364</v>
      </c>
      <c r="B226" s="5" t="s">
        <v>10</v>
      </c>
      <c r="C226" s="5">
        <v>452</v>
      </c>
      <c r="D226" s="5">
        <v>225</v>
      </c>
    </row>
    <row r="227" spans="1:4" x14ac:dyDescent="0.3">
      <c r="A227" s="5" t="s">
        <v>560</v>
      </c>
      <c r="B227" s="5" t="s">
        <v>50</v>
      </c>
      <c r="C227" s="5">
        <v>453</v>
      </c>
      <c r="D227" s="5">
        <v>226</v>
      </c>
    </row>
    <row r="228" spans="1:4" x14ac:dyDescent="0.3">
      <c r="A228" s="5" t="s">
        <v>561</v>
      </c>
      <c r="B228" s="5" t="s">
        <v>50</v>
      </c>
      <c r="C228" s="5">
        <v>458</v>
      </c>
      <c r="D228" s="5">
        <v>227</v>
      </c>
    </row>
    <row r="229" spans="1:4" x14ac:dyDescent="0.3">
      <c r="A229" s="5" t="s">
        <v>369</v>
      </c>
      <c r="B229" s="5" t="s">
        <v>50</v>
      </c>
      <c r="C229" s="5">
        <v>459</v>
      </c>
      <c r="D229" s="5">
        <v>228</v>
      </c>
    </row>
    <row r="230" spans="1:4" x14ac:dyDescent="0.3">
      <c r="A230" s="5" t="s">
        <v>562</v>
      </c>
      <c r="B230" s="5" t="s">
        <v>50</v>
      </c>
      <c r="C230" s="5">
        <v>460</v>
      </c>
      <c r="D230" s="5">
        <v>229</v>
      </c>
    </row>
    <row r="231" spans="1:4" x14ac:dyDescent="0.3">
      <c r="A231" s="5" t="s">
        <v>370</v>
      </c>
      <c r="B231" s="5" t="s">
        <v>152</v>
      </c>
      <c r="C231" s="5">
        <v>461</v>
      </c>
      <c r="D231" s="5">
        <v>230</v>
      </c>
    </row>
    <row r="232" spans="1:4" x14ac:dyDescent="0.3">
      <c r="A232" s="5" t="s">
        <v>371</v>
      </c>
      <c r="B232" s="5" t="s">
        <v>10</v>
      </c>
      <c r="C232" s="5">
        <v>463</v>
      </c>
      <c r="D232" s="5">
        <v>231</v>
      </c>
    </row>
    <row r="233" spans="1:4" x14ac:dyDescent="0.3">
      <c r="A233" s="5" t="s">
        <v>372</v>
      </c>
      <c r="B233" s="5" t="s">
        <v>10</v>
      </c>
      <c r="C233" s="5">
        <v>464</v>
      </c>
      <c r="D233" s="5">
        <v>232</v>
      </c>
    </row>
    <row r="234" spans="1:4" x14ac:dyDescent="0.3">
      <c r="A234" s="5" t="s">
        <v>373</v>
      </c>
      <c r="B234" s="5" t="s">
        <v>10</v>
      </c>
      <c r="C234" s="5">
        <v>465</v>
      </c>
      <c r="D234" s="5">
        <v>233</v>
      </c>
    </row>
    <row r="235" spans="1:4" x14ac:dyDescent="0.3">
      <c r="A235" s="5" t="s">
        <v>563</v>
      </c>
      <c r="B235" s="5" t="s">
        <v>50</v>
      </c>
      <c r="C235" s="5">
        <v>466</v>
      </c>
      <c r="D235" s="5">
        <v>234</v>
      </c>
    </row>
    <row r="236" spans="1:4" x14ac:dyDescent="0.3">
      <c r="A236" s="5" t="s">
        <v>375</v>
      </c>
      <c r="B236" s="5" t="s">
        <v>10</v>
      </c>
      <c r="C236" s="5">
        <v>468</v>
      </c>
      <c r="D236" s="5">
        <v>235</v>
      </c>
    </row>
    <row r="237" spans="1:4" x14ac:dyDescent="0.3">
      <c r="A237" s="5" t="s">
        <v>378</v>
      </c>
      <c r="B237" s="5" t="s">
        <v>50</v>
      </c>
      <c r="C237" s="5">
        <v>471</v>
      </c>
      <c r="D237" s="5">
        <v>236</v>
      </c>
    </row>
    <row r="238" spans="1:4" x14ac:dyDescent="0.3">
      <c r="A238" s="5" t="s">
        <v>379</v>
      </c>
      <c r="B238" s="5" t="s">
        <v>10</v>
      </c>
      <c r="C238" s="5">
        <v>472</v>
      </c>
      <c r="D238" s="5">
        <v>237</v>
      </c>
    </row>
    <row r="239" spans="1:4" x14ac:dyDescent="0.3">
      <c r="A239" s="5" t="s">
        <v>380</v>
      </c>
      <c r="B239" s="5" t="s">
        <v>152</v>
      </c>
      <c r="C239" s="5">
        <v>473</v>
      </c>
      <c r="D239" s="5">
        <v>238</v>
      </c>
    </row>
    <row r="240" spans="1:4" x14ac:dyDescent="0.3">
      <c r="A240" s="5" t="s">
        <v>381</v>
      </c>
      <c r="B240" s="5" t="s">
        <v>152</v>
      </c>
      <c r="C240" s="5">
        <v>474</v>
      </c>
      <c r="D240" s="5">
        <v>239</v>
      </c>
    </row>
    <row r="241" spans="1:4" x14ac:dyDescent="0.3">
      <c r="A241" s="5" t="s">
        <v>564</v>
      </c>
      <c r="B241" s="5" t="s">
        <v>50</v>
      </c>
      <c r="C241" s="5">
        <v>478</v>
      </c>
      <c r="D241" s="5">
        <v>240</v>
      </c>
    </row>
    <row r="242" spans="1:4" x14ac:dyDescent="0.3">
      <c r="A242" s="5" t="s">
        <v>384</v>
      </c>
      <c r="B242" s="5" t="s">
        <v>152</v>
      </c>
      <c r="C242" s="5">
        <v>479</v>
      </c>
      <c r="D242" s="5">
        <v>241</v>
      </c>
    </row>
    <row r="243" spans="1:4" x14ac:dyDescent="0.3">
      <c r="A243" s="5" t="s">
        <v>565</v>
      </c>
      <c r="B243" s="5" t="s">
        <v>152</v>
      </c>
      <c r="C243" s="5">
        <v>481</v>
      </c>
      <c r="D243" s="5">
        <v>242</v>
      </c>
    </row>
    <row r="244" spans="1:4" x14ac:dyDescent="0.3">
      <c r="A244" s="5" t="s">
        <v>386</v>
      </c>
      <c r="B244" s="5" t="s">
        <v>50</v>
      </c>
      <c r="C244" s="5">
        <v>482</v>
      </c>
      <c r="D244" s="5">
        <v>243</v>
      </c>
    </row>
    <row r="245" spans="1:4" x14ac:dyDescent="0.3">
      <c r="A245" s="5" t="s">
        <v>387</v>
      </c>
      <c r="B245" s="5" t="s">
        <v>10</v>
      </c>
      <c r="C245" s="5">
        <v>483</v>
      </c>
      <c r="D245" s="5">
        <v>244</v>
      </c>
    </row>
    <row r="246" spans="1:4" x14ac:dyDescent="0.3">
      <c r="A246" s="5" t="s">
        <v>390</v>
      </c>
      <c r="B246" s="5" t="s">
        <v>152</v>
      </c>
      <c r="C246" s="5">
        <v>486</v>
      </c>
      <c r="D246" s="5">
        <v>245</v>
      </c>
    </row>
    <row r="247" spans="1:4" x14ac:dyDescent="0.3">
      <c r="A247" s="5" t="s">
        <v>573</v>
      </c>
      <c r="B247" s="5" t="s">
        <v>50</v>
      </c>
      <c r="C247" s="5">
        <v>487</v>
      </c>
      <c r="D247" s="5">
        <v>246</v>
      </c>
    </row>
    <row r="248" spans="1:4" x14ac:dyDescent="0.3">
      <c r="A248" s="5" t="s">
        <v>391</v>
      </c>
      <c r="B248" s="5" t="s">
        <v>50</v>
      </c>
      <c r="C248" s="5">
        <v>490</v>
      </c>
      <c r="D248" s="5">
        <v>247</v>
      </c>
    </row>
    <row r="249" spans="1:4" x14ac:dyDescent="0.3">
      <c r="A249" s="5" t="s">
        <v>392</v>
      </c>
      <c r="B249" s="5" t="s">
        <v>50</v>
      </c>
      <c r="C249" s="5">
        <v>491</v>
      </c>
      <c r="D249" s="5">
        <v>248</v>
      </c>
    </row>
    <row r="250" spans="1:4" x14ac:dyDescent="0.3">
      <c r="A250" s="5" t="s">
        <v>393</v>
      </c>
      <c r="B250" s="5" t="s">
        <v>50</v>
      </c>
      <c r="C250" s="5">
        <v>492</v>
      </c>
      <c r="D250" s="5">
        <v>249</v>
      </c>
    </row>
    <row r="251" spans="1:4" x14ac:dyDescent="0.3">
      <c r="A251" s="5" t="s">
        <v>395</v>
      </c>
      <c r="B251" s="5" t="s">
        <v>50</v>
      </c>
      <c r="C251" s="5">
        <v>494</v>
      </c>
      <c r="D251" s="5">
        <v>250</v>
      </c>
    </row>
    <row r="252" spans="1:4" x14ac:dyDescent="0.3">
      <c r="A252" s="5" t="s">
        <v>396</v>
      </c>
      <c r="B252" s="5" t="s">
        <v>152</v>
      </c>
      <c r="C252" s="5">
        <v>495</v>
      </c>
      <c r="D252" s="5">
        <v>251</v>
      </c>
    </row>
    <row r="253" spans="1:4" x14ac:dyDescent="0.3">
      <c r="A253" s="5" t="s">
        <v>397</v>
      </c>
      <c r="B253" s="5" t="s">
        <v>152</v>
      </c>
      <c r="C253" s="5">
        <v>496</v>
      </c>
      <c r="D253" s="5">
        <v>252</v>
      </c>
    </row>
    <row r="254" spans="1:4" x14ac:dyDescent="0.3">
      <c r="A254" s="5" t="s">
        <v>398</v>
      </c>
      <c r="B254" s="5" t="s">
        <v>10</v>
      </c>
      <c r="C254" s="5">
        <v>497</v>
      </c>
      <c r="D254" s="5">
        <v>253</v>
      </c>
    </row>
    <row r="255" spans="1:4" x14ac:dyDescent="0.3">
      <c r="A255" s="5" t="s">
        <v>399</v>
      </c>
      <c r="B255" s="5" t="s">
        <v>10</v>
      </c>
      <c r="C255" s="5">
        <v>498</v>
      </c>
      <c r="D255" s="5">
        <v>254</v>
      </c>
    </row>
    <row r="256" spans="1:4" x14ac:dyDescent="0.3">
      <c r="A256" s="5" t="s">
        <v>566</v>
      </c>
      <c r="B256" s="5" t="s">
        <v>50</v>
      </c>
      <c r="C256" s="5">
        <v>499</v>
      </c>
      <c r="D256" s="5">
        <v>255</v>
      </c>
    </row>
    <row r="257" spans="1:4" x14ac:dyDescent="0.3">
      <c r="A257" s="5" t="s">
        <v>401</v>
      </c>
      <c r="B257" s="5" t="s">
        <v>50</v>
      </c>
      <c r="C257" s="5">
        <v>501</v>
      </c>
      <c r="D257" s="5">
        <v>256</v>
      </c>
    </row>
    <row r="258" spans="1:4" x14ac:dyDescent="0.3">
      <c r="A258" s="5" t="s">
        <v>402</v>
      </c>
      <c r="B258" s="5" t="s">
        <v>10</v>
      </c>
      <c r="C258" s="5">
        <v>502</v>
      </c>
      <c r="D258" s="5">
        <v>257</v>
      </c>
    </row>
    <row r="259" spans="1:4" x14ac:dyDescent="0.3">
      <c r="A259" s="5" t="s">
        <v>403</v>
      </c>
      <c r="B259" s="5" t="s">
        <v>10</v>
      </c>
      <c r="C259" s="5">
        <v>503</v>
      </c>
      <c r="D259" s="5">
        <v>258</v>
      </c>
    </row>
    <row r="260" spans="1:4" x14ac:dyDescent="0.3">
      <c r="A260" s="5" t="s">
        <v>404</v>
      </c>
      <c r="B260" s="5" t="s">
        <v>10</v>
      </c>
      <c r="C260" s="5">
        <v>504</v>
      </c>
      <c r="D260" s="5">
        <v>259</v>
      </c>
    </row>
    <row r="261" spans="1:4" x14ac:dyDescent="0.3">
      <c r="A261" s="5" t="s">
        <v>405</v>
      </c>
      <c r="B261" s="5" t="s">
        <v>10</v>
      </c>
      <c r="C261" s="5">
        <v>505</v>
      </c>
      <c r="D261" s="5">
        <v>260</v>
      </c>
    </row>
    <row r="262" spans="1:4" x14ac:dyDescent="0.3">
      <c r="A262" s="5" t="s">
        <v>406</v>
      </c>
      <c r="B262" s="5" t="s">
        <v>10</v>
      </c>
      <c r="C262" s="5">
        <v>506</v>
      </c>
      <c r="D262" s="5">
        <v>261</v>
      </c>
    </row>
    <row r="263" spans="1:4" x14ac:dyDescent="0.3">
      <c r="A263" s="5" t="s">
        <v>407</v>
      </c>
      <c r="B263" s="5" t="s">
        <v>10</v>
      </c>
      <c r="C263" s="5">
        <v>507</v>
      </c>
      <c r="D263" s="5">
        <v>262</v>
      </c>
    </row>
    <row r="264" spans="1:4" x14ac:dyDescent="0.3">
      <c r="A264" s="5" t="s">
        <v>408</v>
      </c>
      <c r="B264" s="5" t="s">
        <v>50</v>
      </c>
      <c r="C264" s="5">
        <v>508</v>
      </c>
      <c r="D264" s="5">
        <v>263</v>
      </c>
    </row>
    <row r="265" spans="1:4" x14ac:dyDescent="0.3">
      <c r="A265" s="5" t="s">
        <v>412</v>
      </c>
      <c r="B265" s="5" t="s">
        <v>50</v>
      </c>
      <c r="C265" s="5">
        <v>513</v>
      </c>
      <c r="D265" s="5">
        <v>264</v>
      </c>
    </row>
    <row r="266" spans="1:4" x14ac:dyDescent="0.3">
      <c r="A266" s="5" t="s">
        <v>414</v>
      </c>
      <c r="B266" s="5" t="s">
        <v>50</v>
      </c>
      <c r="C266" s="5">
        <v>515</v>
      </c>
      <c r="D266" s="5">
        <v>265</v>
      </c>
    </row>
    <row r="267" spans="1:4" x14ac:dyDescent="0.3">
      <c r="A267" s="5" t="s">
        <v>415</v>
      </c>
      <c r="B267" s="5" t="s">
        <v>10</v>
      </c>
      <c r="C267" s="5">
        <v>516</v>
      </c>
      <c r="D267" s="5">
        <v>266</v>
      </c>
    </row>
    <row r="268" spans="1:4" x14ac:dyDescent="0.3">
      <c r="A268" s="5" t="s">
        <v>416</v>
      </c>
      <c r="B268" s="5" t="s">
        <v>50</v>
      </c>
      <c r="C268" s="5">
        <v>517</v>
      </c>
      <c r="D268" s="5">
        <v>267</v>
      </c>
    </row>
    <row r="269" spans="1:4" x14ac:dyDescent="0.3">
      <c r="A269" s="5" t="s">
        <v>417</v>
      </c>
      <c r="B269" s="5" t="s">
        <v>10</v>
      </c>
      <c r="C269" s="5">
        <v>518</v>
      </c>
      <c r="D269" s="5">
        <v>268</v>
      </c>
    </row>
    <row r="270" spans="1:4" x14ac:dyDescent="0.3">
      <c r="A270" s="5" t="s">
        <v>418</v>
      </c>
      <c r="B270" s="5" t="s">
        <v>50</v>
      </c>
      <c r="C270" s="5">
        <v>519</v>
      </c>
      <c r="D270" s="5">
        <v>269</v>
      </c>
    </row>
    <row r="271" spans="1:4" x14ac:dyDescent="0.3">
      <c r="A271" s="5" t="s">
        <v>419</v>
      </c>
      <c r="B271" s="5" t="s">
        <v>50</v>
      </c>
      <c r="C271" s="5">
        <v>521</v>
      </c>
      <c r="D271" s="5">
        <v>270</v>
      </c>
    </row>
    <row r="272" spans="1:4" x14ac:dyDescent="0.3">
      <c r="A272" s="5" t="s">
        <v>424</v>
      </c>
      <c r="B272" s="5" t="s">
        <v>152</v>
      </c>
      <c r="C272" s="5">
        <v>526</v>
      </c>
      <c r="D272" s="5">
        <v>271</v>
      </c>
    </row>
    <row r="273" spans="1:4" x14ac:dyDescent="0.3">
      <c r="A273" s="5" t="s">
        <v>425</v>
      </c>
      <c r="B273" s="5" t="s">
        <v>50</v>
      </c>
      <c r="C273" s="5">
        <v>527</v>
      </c>
      <c r="D273" s="5">
        <v>272</v>
      </c>
    </row>
    <row r="274" spans="1:4" x14ac:dyDescent="0.3">
      <c r="A274" s="5" t="s">
        <v>426</v>
      </c>
      <c r="B274" s="5" t="s">
        <v>50</v>
      </c>
      <c r="C274" s="5">
        <v>528</v>
      </c>
      <c r="D274" s="5">
        <v>273</v>
      </c>
    </row>
    <row r="275" spans="1:4" x14ac:dyDescent="0.3">
      <c r="A275" s="5" t="s">
        <v>427</v>
      </c>
      <c r="B275" s="5" t="s">
        <v>10</v>
      </c>
      <c r="C275" s="5">
        <v>529</v>
      </c>
      <c r="D275" s="5">
        <v>274</v>
      </c>
    </row>
    <row r="276" spans="1:4" x14ac:dyDescent="0.3">
      <c r="A276" s="5" t="s">
        <v>429</v>
      </c>
      <c r="B276" s="5" t="s">
        <v>10</v>
      </c>
      <c r="C276" s="5">
        <v>531</v>
      </c>
      <c r="D276" s="5">
        <v>275</v>
      </c>
    </row>
    <row r="277" spans="1:4" x14ac:dyDescent="0.3">
      <c r="A277" s="5" t="s">
        <v>431</v>
      </c>
      <c r="B277" s="5" t="s">
        <v>10</v>
      </c>
      <c r="C277" s="5">
        <v>533</v>
      </c>
      <c r="D277" s="5">
        <v>276</v>
      </c>
    </row>
    <row r="278" spans="1:4" x14ac:dyDescent="0.3">
      <c r="A278" s="5" t="s">
        <v>432</v>
      </c>
      <c r="B278" s="5" t="s">
        <v>152</v>
      </c>
      <c r="C278" s="5">
        <v>534</v>
      </c>
      <c r="D278" s="5">
        <v>277</v>
      </c>
    </row>
    <row r="279" spans="1:4" x14ac:dyDescent="0.3">
      <c r="A279" s="5" t="s">
        <v>433</v>
      </c>
      <c r="B279" s="5" t="s">
        <v>152</v>
      </c>
      <c r="C279" s="5">
        <v>535</v>
      </c>
      <c r="D279" s="5">
        <v>278</v>
      </c>
    </row>
    <row r="280" spans="1:4" x14ac:dyDescent="0.3">
      <c r="A280" s="5" t="s">
        <v>436</v>
      </c>
      <c r="B280" s="5" t="s">
        <v>10</v>
      </c>
      <c r="C280" s="5">
        <v>538</v>
      </c>
      <c r="D280" s="5">
        <v>279</v>
      </c>
    </row>
    <row r="281" spans="1:4" x14ac:dyDescent="0.3">
      <c r="A281" s="5" t="s">
        <v>437</v>
      </c>
      <c r="B281" s="5" t="s">
        <v>10</v>
      </c>
      <c r="C281" s="5">
        <v>539</v>
      </c>
      <c r="D281" s="5">
        <v>280</v>
      </c>
    </row>
    <row r="282" spans="1:4" x14ac:dyDescent="0.3">
      <c r="A282" s="5" t="s">
        <v>438</v>
      </c>
      <c r="B282" s="5" t="s">
        <v>10</v>
      </c>
      <c r="C282" s="5">
        <v>541</v>
      </c>
      <c r="D282" s="5">
        <v>281</v>
      </c>
    </row>
    <row r="283" spans="1:4" x14ac:dyDescent="0.3">
      <c r="A283" s="5" t="s">
        <v>574</v>
      </c>
      <c r="B283" s="5" t="s">
        <v>50</v>
      </c>
      <c r="C283" s="5">
        <v>542</v>
      </c>
      <c r="D283" s="5">
        <v>282</v>
      </c>
    </row>
    <row r="284" spans="1:4" x14ac:dyDescent="0.3">
      <c r="A284" s="5" t="s">
        <v>439</v>
      </c>
      <c r="B284" s="5" t="s">
        <v>152</v>
      </c>
      <c r="C284" s="5">
        <v>543</v>
      </c>
      <c r="D284" s="5">
        <v>283</v>
      </c>
    </row>
    <row r="285" spans="1:4" x14ac:dyDescent="0.3">
      <c r="A285" s="5" t="s">
        <v>441</v>
      </c>
      <c r="B285" s="5" t="s">
        <v>152</v>
      </c>
      <c r="C285" s="5">
        <v>545</v>
      </c>
      <c r="D285" s="5">
        <v>284</v>
      </c>
    </row>
    <row r="286" spans="1:4" x14ac:dyDescent="0.3">
      <c r="A286" s="5" t="s">
        <v>443</v>
      </c>
      <c r="B286" s="5" t="s">
        <v>152</v>
      </c>
      <c r="C286" s="5">
        <v>547</v>
      </c>
      <c r="D286" s="5">
        <v>285</v>
      </c>
    </row>
    <row r="287" spans="1:4" x14ac:dyDescent="0.3">
      <c r="A287" s="5" t="s">
        <v>567</v>
      </c>
      <c r="B287" s="5" t="s">
        <v>50</v>
      </c>
      <c r="C287" s="5">
        <v>549</v>
      </c>
      <c r="D287" s="5">
        <v>286</v>
      </c>
    </row>
    <row r="288" spans="1:4" x14ac:dyDescent="0.3">
      <c r="A288" s="5" t="s">
        <v>445</v>
      </c>
      <c r="B288" s="5" t="s">
        <v>10</v>
      </c>
      <c r="C288" s="5">
        <v>550</v>
      </c>
      <c r="D288" s="5">
        <v>287</v>
      </c>
    </row>
    <row r="289" spans="1:4" x14ac:dyDescent="0.3">
      <c r="A289" s="5" t="s">
        <v>446</v>
      </c>
      <c r="B289" s="5" t="s">
        <v>50</v>
      </c>
      <c r="C289" s="5">
        <v>551</v>
      </c>
      <c r="D289" s="5">
        <v>288</v>
      </c>
    </row>
    <row r="290" spans="1:4" x14ac:dyDescent="0.3">
      <c r="A290" s="5" t="s">
        <v>447</v>
      </c>
      <c r="B290" s="5" t="s">
        <v>10</v>
      </c>
      <c r="C290" s="5">
        <v>552</v>
      </c>
      <c r="D290" s="5">
        <v>289</v>
      </c>
    </row>
    <row r="291" spans="1:4" x14ac:dyDescent="0.3">
      <c r="A291" s="5" t="s">
        <v>449</v>
      </c>
      <c r="B291" s="5" t="s">
        <v>50</v>
      </c>
      <c r="C291" s="5">
        <v>554</v>
      </c>
      <c r="D291" s="5">
        <v>290</v>
      </c>
    </row>
    <row r="292" spans="1:4" x14ac:dyDescent="0.3">
      <c r="A292" s="5" t="s">
        <v>452</v>
      </c>
      <c r="B292" s="5" t="s">
        <v>50</v>
      </c>
      <c r="C292" s="5">
        <v>557</v>
      </c>
      <c r="D292" s="5">
        <v>291</v>
      </c>
    </row>
    <row r="293" spans="1:4" x14ac:dyDescent="0.3">
      <c r="A293" s="5" t="s">
        <v>453</v>
      </c>
      <c r="B293" s="5" t="s">
        <v>152</v>
      </c>
      <c r="C293" s="5">
        <v>558</v>
      </c>
      <c r="D293" s="5">
        <v>292</v>
      </c>
    </row>
    <row r="294" spans="1:4" x14ac:dyDescent="0.3">
      <c r="A294" s="5" t="s">
        <v>454</v>
      </c>
      <c r="B294" s="5" t="s">
        <v>152</v>
      </c>
      <c r="C294" s="5">
        <v>559</v>
      </c>
      <c r="D294" s="5">
        <v>293</v>
      </c>
    </row>
    <row r="295" spans="1:4" x14ac:dyDescent="0.3">
      <c r="A295" s="5" t="s">
        <v>456</v>
      </c>
      <c r="B295" s="5" t="s">
        <v>10</v>
      </c>
      <c r="C295" s="5">
        <v>561</v>
      </c>
      <c r="D295" s="5">
        <v>294</v>
      </c>
    </row>
    <row r="296" spans="1:4" x14ac:dyDescent="0.3">
      <c r="A296" s="5" t="s">
        <v>457</v>
      </c>
      <c r="B296" s="5" t="s">
        <v>50</v>
      </c>
      <c r="C296" s="5">
        <v>562</v>
      </c>
      <c r="D296" s="5">
        <v>295</v>
      </c>
    </row>
    <row r="297" spans="1:4" x14ac:dyDescent="0.3">
      <c r="A297" s="5" t="s">
        <v>458</v>
      </c>
      <c r="B297" s="5" t="s">
        <v>10</v>
      </c>
      <c r="C297" s="5">
        <v>563</v>
      </c>
      <c r="D297" s="5">
        <v>296</v>
      </c>
    </row>
    <row r="298" spans="1:4" x14ac:dyDescent="0.3">
      <c r="A298" s="5" t="s">
        <v>459</v>
      </c>
      <c r="B298" s="5" t="s">
        <v>50</v>
      </c>
      <c r="C298" s="5">
        <v>564</v>
      </c>
      <c r="D298" s="5">
        <v>297</v>
      </c>
    </row>
    <row r="299" spans="1:4" x14ac:dyDescent="0.3">
      <c r="A299" s="5" t="s">
        <v>460</v>
      </c>
      <c r="B299" s="5" t="s">
        <v>152</v>
      </c>
      <c r="C299" s="5">
        <v>565</v>
      </c>
      <c r="D299" s="5">
        <v>298</v>
      </c>
    </row>
    <row r="300" spans="1:4" x14ac:dyDescent="0.3">
      <c r="A300" s="5" t="s">
        <v>461</v>
      </c>
      <c r="B300" s="5" t="s">
        <v>10</v>
      </c>
      <c r="C300" s="5">
        <v>567</v>
      </c>
      <c r="D300" s="5">
        <v>299</v>
      </c>
    </row>
    <row r="301" spans="1:4" x14ac:dyDescent="0.3">
      <c r="A301" s="5" t="s">
        <v>464</v>
      </c>
      <c r="B301" s="5" t="s">
        <v>152</v>
      </c>
      <c r="C301" s="5">
        <v>570</v>
      </c>
      <c r="D301" s="5">
        <v>300</v>
      </c>
    </row>
    <row r="302" spans="1:4" x14ac:dyDescent="0.3">
      <c r="A302" s="5" t="s">
        <v>408</v>
      </c>
      <c r="B302" s="5" t="s">
        <v>50</v>
      </c>
      <c r="C302" s="5">
        <v>572</v>
      </c>
      <c r="D302" s="5">
        <v>301</v>
      </c>
    </row>
    <row r="303" spans="1:4" x14ac:dyDescent="0.3">
      <c r="A303" s="5" t="s">
        <v>466</v>
      </c>
      <c r="B303" s="5" t="s">
        <v>50</v>
      </c>
      <c r="C303" s="5">
        <v>573</v>
      </c>
      <c r="D303" s="5">
        <v>302</v>
      </c>
    </row>
    <row r="304" spans="1:4" x14ac:dyDescent="0.3">
      <c r="A304" s="5" t="s">
        <v>469</v>
      </c>
      <c r="B304" s="5" t="s">
        <v>10</v>
      </c>
      <c r="C304" s="5">
        <v>576</v>
      </c>
      <c r="D304" s="5">
        <v>303</v>
      </c>
    </row>
    <row r="305" spans="1:4" x14ac:dyDescent="0.3">
      <c r="A305" s="5" t="s">
        <v>470</v>
      </c>
      <c r="B305" s="5" t="s">
        <v>50</v>
      </c>
      <c r="C305" s="5">
        <v>577</v>
      </c>
      <c r="D305" s="5">
        <v>304</v>
      </c>
    </row>
    <row r="306" spans="1:4" x14ac:dyDescent="0.3">
      <c r="A306" s="5" t="s">
        <v>472</v>
      </c>
      <c r="B306" s="5" t="s">
        <v>50</v>
      </c>
      <c r="C306" s="5">
        <v>579</v>
      </c>
      <c r="D306" s="5">
        <v>305</v>
      </c>
    </row>
    <row r="307" spans="1:4" x14ac:dyDescent="0.3">
      <c r="A307" s="5" t="s">
        <v>903</v>
      </c>
      <c r="B307" s="5" t="s">
        <v>152</v>
      </c>
      <c r="C307" s="5">
        <v>581</v>
      </c>
      <c r="D307" s="5">
        <v>306</v>
      </c>
    </row>
    <row r="308" spans="1:4" x14ac:dyDescent="0.3">
      <c r="A308" s="5" t="s">
        <v>478</v>
      </c>
      <c r="B308" s="5" t="s">
        <v>152</v>
      </c>
      <c r="C308" s="5">
        <v>587</v>
      </c>
      <c r="D308" s="5">
        <v>307</v>
      </c>
    </row>
    <row r="309" spans="1:4" x14ac:dyDescent="0.3">
      <c r="A309" s="5" t="s">
        <v>479</v>
      </c>
      <c r="B309" s="5" t="s">
        <v>152</v>
      </c>
      <c r="C309" s="5">
        <v>588</v>
      </c>
      <c r="D309" s="5">
        <v>308</v>
      </c>
    </row>
    <row r="310" spans="1:4" x14ac:dyDescent="0.3">
      <c r="A310" s="5" t="s">
        <v>481</v>
      </c>
      <c r="B310" s="5" t="s">
        <v>10</v>
      </c>
      <c r="C310" s="5">
        <v>590</v>
      </c>
      <c r="D310" s="5">
        <v>309</v>
      </c>
    </row>
    <row r="311" spans="1:4" x14ac:dyDescent="0.3">
      <c r="A311" s="5" t="s">
        <v>483</v>
      </c>
      <c r="B311" s="5" t="s">
        <v>152</v>
      </c>
      <c r="C311" s="5">
        <v>593</v>
      </c>
      <c r="D311" s="5">
        <v>310</v>
      </c>
    </row>
    <row r="312" spans="1:4" x14ac:dyDescent="0.3">
      <c r="A312" s="5" t="s">
        <v>484</v>
      </c>
      <c r="B312" s="5" t="s">
        <v>152</v>
      </c>
      <c r="C312" s="5">
        <v>594</v>
      </c>
      <c r="D312" s="5">
        <v>311</v>
      </c>
    </row>
    <row r="313" spans="1:4" x14ac:dyDescent="0.3">
      <c r="A313" s="5" t="s">
        <v>485</v>
      </c>
      <c r="B313" s="5" t="s">
        <v>10</v>
      </c>
      <c r="C313" s="5">
        <v>595</v>
      </c>
      <c r="D313" s="5">
        <v>312</v>
      </c>
    </row>
    <row r="314" spans="1:4" x14ac:dyDescent="0.3">
      <c r="A314" s="5" t="s">
        <v>486</v>
      </c>
      <c r="B314" s="5" t="s">
        <v>50</v>
      </c>
      <c r="C314" s="5">
        <v>596</v>
      </c>
      <c r="D314" s="5">
        <v>313</v>
      </c>
    </row>
    <row r="315" spans="1:4" x14ac:dyDescent="0.3">
      <c r="A315" s="5" t="s">
        <v>489</v>
      </c>
      <c r="B315" s="5" t="s">
        <v>152</v>
      </c>
      <c r="C315" s="5">
        <v>600</v>
      </c>
      <c r="D315" s="5">
        <v>314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A892-3645-4FDA-854D-DAC47DE200F3}">
  <dimension ref="A1:Q613"/>
  <sheetViews>
    <sheetView topLeftCell="A523" workbookViewId="0">
      <selection activeCell="B540" sqref="B540"/>
    </sheetView>
  </sheetViews>
  <sheetFormatPr defaultRowHeight="16.5" x14ac:dyDescent="0.3"/>
  <cols>
    <col min="2" max="2" width="13" bestFit="1" customWidth="1"/>
  </cols>
  <sheetData>
    <row r="1" spans="1:17" x14ac:dyDescent="0.3">
      <c r="D1" s="6" t="s">
        <v>692</v>
      </c>
      <c r="E1" s="8" t="s">
        <v>695</v>
      </c>
      <c r="F1" s="8" t="s">
        <v>696</v>
      </c>
      <c r="G1" s="8" t="s">
        <v>697</v>
      </c>
      <c r="H1" s="8" t="s">
        <v>698</v>
      </c>
      <c r="I1" s="8" t="s">
        <v>699</v>
      </c>
    </row>
    <row r="2" spans="1:17" x14ac:dyDescent="0.3">
      <c r="D2" s="5" t="s">
        <v>5</v>
      </c>
      <c r="E2" s="5">
        <f>COUNTIF($C$14:$C$613,$D2)</f>
        <v>187</v>
      </c>
      <c r="F2" s="5">
        <f>COUNTIF($C$14:$C$413,$D2)</f>
        <v>161</v>
      </c>
      <c r="G2" s="5">
        <f>COUNTIF($C$14:$C$213,$D2)</f>
        <v>113</v>
      </c>
      <c r="H2" s="5">
        <f>COUNTIF($C$14:$C$113,$D2)</f>
        <v>68</v>
      </c>
      <c r="I2" s="5">
        <f>COUNTIF($C$14:$C$63,$D2)</f>
        <v>38</v>
      </c>
      <c r="O2" t="s">
        <v>656</v>
      </c>
      <c r="P2" t="s">
        <v>655</v>
      </c>
      <c r="Q2" t="s">
        <v>657</v>
      </c>
    </row>
    <row r="3" spans="1:17" x14ac:dyDescent="0.3">
      <c r="D3" s="5" t="s">
        <v>45</v>
      </c>
      <c r="E3" s="5">
        <f t="shared" ref="E3:E11" si="0">COUNTIF($C$14:$C$613,$D3)</f>
        <v>78</v>
      </c>
      <c r="F3" s="5">
        <f t="shared" ref="F3:F11" si="1">COUNTIF($C$14:$C$413,$D3)</f>
        <v>41</v>
      </c>
      <c r="G3" s="5">
        <f t="shared" ref="G3:G11" si="2">COUNTIF($C$14:$C$213,$D3)</f>
        <v>8</v>
      </c>
      <c r="H3" s="5">
        <f t="shared" ref="H3:H11" si="3">COUNTIF($C$14:$C$113,$D3)</f>
        <v>3</v>
      </c>
      <c r="I3" s="5">
        <f t="shared" ref="I3:I11" si="4">COUNTIF($C$14:$C$63,$D3)</f>
        <v>0</v>
      </c>
      <c r="O3" t="s">
        <v>495</v>
      </c>
      <c r="P3" t="s">
        <v>495</v>
      </c>
      <c r="Q3" t="s">
        <v>496</v>
      </c>
    </row>
    <row r="4" spans="1:17" x14ac:dyDescent="0.3">
      <c r="D4" s="5" t="s">
        <v>245</v>
      </c>
      <c r="E4" s="5">
        <f t="shared" si="0"/>
        <v>17</v>
      </c>
      <c r="F4" s="5">
        <f t="shared" si="1"/>
        <v>4</v>
      </c>
      <c r="G4" s="5">
        <f t="shared" si="2"/>
        <v>0</v>
      </c>
      <c r="H4" s="5">
        <f t="shared" si="3"/>
        <v>0</v>
      </c>
      <c r="I4" s="5">
        <f t="shared" si="4"/>
        <v>0</v>
      </c>
      <c r="O4" t="s">
        <v>493</v>
      </c>
      <c r="P4" t="s">
        <v>625</v>
      </c>
      <c r="Q4" s="2" t="s">
        <v>494</v>
      </c>
    </row>
    <row r="5" spans="1:17" x14ac:dyDescent="0.3">
      <c r="D5" s="5" t="s">
        <v>662</v>
      </c>
      <c r="E5" s="5">
        <f t="shared" si="0"/>
        <v>1</v>
      </c>
      <c r="F5" s="5">
        <f t="shared" si="1"/>
        <v>0</v>
      </c>
      <c r="G5" s="5">
        <f t="shared" si="2"/>
        <v>0</v>
      </c>
      <c r="H5" s="5">
        <f t="shared" si="3"/>
        <v>0</v>
      </c>
      <c r="I5" s="5">
        <f t="shared" si="4"/>
        <v>0</v>
      </c>
      <c r="O5" t="s">
        <v>497</v>
      </c>
      <c r="P5" s="7" t="s">
        <v>626</v>
      </c>
      <c r="Q5" s="4" t="s">
        <v>539</v>
      </c>
    </row>
    <row r="6" spans="1:17" x14ac:dyDescent="0.3">
      <c r="D6" s="9" t="s">
        <v>694</v>
      </c>
      <c r="E6" s="9">
        <f>SUM(E2:E5)</f>
        <v>283</v>
      </c>
      <c r="F6" s="9">
        <f t="shared" ref="F6:I6" si="5">SUM(F2:F5)</f>
        <v>206</v>
      </c>
      <c r="G6" s="9">
        <f t="shared" si="5"/>
        <v>121</v>
      </c>
      <c r="H6" s="9">
        <f t="shared" si="5"/>
        <v>71</v>
      </c>
      <c r="I6" s="9">
        <f t="shared" si="5"/>
        <v>38</v>
      </c>
      <c r="O6" t="s">
        <v>498</v>
      </c>
      <c r="P6" t="s">
        <v>498</v>
      </c>
      <c r="Q6" s="3" t="s">
        <v>499</v>
      </c>
    </row>
    <row r="7" spans="1:17" x14ac:dyDescent="0.3">
      <c r="D7" s="6" t="s">
        <v>693</v>
      </c>
      <c r="E7" s="8" t="s">
        <v>695</v>
      </c>
      <c r="F7" s="8" t="s">
        <v>696</v>
      </c>
      <c r="G7" s="8" t="s">
        <v>697</v>
      </c>
      <c r="H7" s="8" t="s">
        <v>698</v>
      </c>
      <c r="I7" s="8" t="s">
        <v>699</v>
      </c>
      <c r="O7" t="s">
        <v>500</v>
      </c>
      <c r="P7" t="s">
        <v>500</v>
      </c>
      <c r="Q7" s="3" t="s">
        <v>501</v>
      </c>
    </row>
    <row r="8" spans="1:17" x14ac:dyDescent="0.3">
      <c r="D8" s="5" t="s">
        <v>10</v>
      </c>
      <c r="E8" s="5">
        <f t="shared" si="0"/>
        <v>150</v>
      </c>
      <c r="F8" s="5">
        <f t="shared" si="1"/>
        <v>107</v>
      </c>
      <c r="G8" s="5">
        <f t="shared" si="2"/>
        <v>49</v>
      </c>
      <c r="H8" s="5">
        <f t="shared" si="3"/>
        <v>20</v>
      </c>
      <c r="I8" s="5">
        <f t="shared" si="4"/>
        <v>9</v>
      </c>
      <c r="O8" s="4" t="s">
        <v>491</v>
      </c>
      <c r="P8" s="7" t="s">
        <v>627</v>
      </c>
      <c r="Q8" s="4" t="s">
        <v>491</v>
      </c>
    </row>
    <row r="9" spans="1:17" x14ac:dyDescent="0.3">
      <c r="D9" s="5" t="s">
        <v>50</v>
      </c>
      <c r="E9" s="5">
        <f t="shared" si="0"/>
        <v>117</v>
      </c>
      <c r="F9" s="5">
        <f t="shared" si="1"/>
        <v>73</v>
      </c>
      <c r="G9" s="5">
        <f t="shared" si="2"/>
        <v>27</v>
      </c>
      <c r="H9" s="5">
        <f t="shared" si="3"/>
        <v>9</v>
      </c>
      <c r="I9" s="5">
        <f t="shared" si="4"/>
        <v>3</v>
      </c>
      <c r="O9" t="s">
        <v>492</v>
      </c>
      <c r="P9" s="7" t="s">
        <v>628</v>
      </c>
      <c r="Q9" s="4" t="s">
        <v>597</v>
      </c>
    </row>
    <row r="10" spans="1:17" x14ac:dyDescent="0.3">
      <c r="D10" s="5" t="s">
        <v>152</v>
      </c>
      <c r="E10" s="5">
        <f t="shared" si="0"/>
        <v>44</v>
      </c>
      <c r="F10" s="5">
        <f t="shared" si="1"/>
        <v>13</v>
      </c>
      <c r="G10" s="5">
        <f t="shared" si="2"/>
        <v>3</v>
      </c>
      <c r="H10" s="5">
        <f t="shared" si="3"/>
        <v>0</v>
      </c>
      <c r="I10" s="5">
        <f t="shared" si="4"/>
        <v>0</v>
      </c>
    </row>
    <row r="11" spans="1:17" x14ac:dyDescent="0.3">
      <c r="D11" s="5" t="s">
        <v>264</v>
      </c>
      <c r="E11" s="5">
        <f t="shared" si="0"/>
        <v>6</v>
      </c>
      <c r="F11" s="5">
        <f t="shared" si="1"/>
        <v>1</v>
      </c>
      <c r="G11" s="5">
        <f t="shared" si="2"/>
        <v>0</v>
      </c>
      <c r="H11" s="5">
        <f t="shared" si="3"/>
        <v>0</v>
      </c>
      <c r="I11" s="5">
        <f t="shared" si="4"/>
        <v>0</v>
      </c>
    </row>
    <row r="12" spans="1:17" x14ac:dyDescent="0.3">
      <c r="D12" s="9" t="s">
        <v>694</v>
      </c>
      <c r="E12" s="9">
        <f>SUM(E8:E11)</f>
        <v>317</v>
      </c>
      <c r="F12" s="9">
        <f t="shared" ref="F12:I12" si="6">SUM(F8:F11)</f>
        <v>194</v>
      </c>
      <c r="G12" s="9">
        <f t="shared" si="6"/>
        <v>79</v>
      </c>
      <c r="H12" s="9">
        <f t="shared" si="6"/>
        <v>29</v>
      </c>
      <c r="I12" s="9">
        <f t="shared" si="6"/>
        <v>12</v>
      </c>
    </row>
    <row r="13" spans="1:17" x14ac:dyDescent="0.3">
      <c r="A13" t="s">
        <v>1</v>
      </c>
      <c r="B13" t="s">
        <v>2</v>
      </c>
      <c r="C13" t="s">
        <v>3</v>
      </c>
    </row>
    <row r="14" spans="1:17" x14ac:dyDescent="0.3">
      <c r="A14">
        <v>1</v>
      </c>
      <c r="B14" t="s">
        <v>0</v>
      </c>
      <c r="C14" s="1" t="s">
        <v>5</v>
      </c>
    </row>
    <row r="15" spans="1:17" x14ac:dyDescent="0.3">
      <c r="A15">
        <v>2</v>
      </c>
      <c r="B15" t="s">
        <v>606</v>
      </c>
      <c r="C15" t="s">
        <v>5</v>
      </c>
    </row>
    <row r="16" spans="1:17" x14ac:dyDescent="0.3">
      <c r="A16">
        <v>3</v>
      </c>
      <c r="B16" t="s">
        <v>6</v>
      </c>
      <c r="C16" t="s">
        <v>5</v>
      </c>
    </row>
    <row r="17" spans="1:3" x14ac:dyDescent="0.3">
      <c r="A17">
        <v>4</v>
      </c>
      <c r="B17" t="s">
        <v>4</v>
      </c>
      <c r="C17" t="s">
        <v>5</v>
      </c>
    </row>
    <row r="18" spans="1:3" x14ac:dyDescent="0.3">
      <c r="A18">
        <v>5</v>
      </c>
      <c r="B18" t="s">
        <v>11</v>
      </c>
      <c r="C18" t="s">
        <v>5</v>
      </c>
    </row>
    <row r="19" spans="1:3" x14ac:dyDescent="0.3">
      <c r="A19">
        <v>6</v>
      </c>
      <c r="B19" t="s">
        <v>9</v>
      </c>
      <c r="C19" t="s">
        <v>10</v>
      </c>
    </row>
    <row r="20" spans="1:3" x14ac:dyDescent="0.3">
      <c r="A20">
        <v>7</v>
      </c>
      <c r="B20" t="s">
        <v>7</v>
      </c>
      <c r="C20" t="s">
        <v>5</v>
      </c>
    </row>
    <row r="21" spans="1:3" x14ac:dyDescent="0.3">
      <c r="A21">
        <v>8</v>
      </c>
      <c r="B21" t="s">
        <v>8</v>
      </c>
      <c r="C21" t="s">
        <v>5</v>
      </c>
    </row>
    <row r="22" spans="1:3" x14ac:dyDescent="0.3">
      <c r="A22">
        <v>9</v>
      </c>
      <c r="B22" t="s">
        <v>13</v>
      </c>
      <c r="C22" t="s">
        <v>5</v>
      </c>
    </row>
    <row r="23" spans="1:3" x14ac:dyDescent="0.3">
      <c r="A23">
        <v>10</v>
      </c>
      <c r="B23" t="s">
        <v>607</v>
      </c>
      <c r="C23" t="s">
        <v>10</v>
      </c>
    </row>
    <row r="24" spans="1:3" x14ac:dyDescent="0.3">
      <c r="A24">
        <v>11</v>
      </c>
      <c r="B24" t="s">
        <v>608</v>
      </c>
      <c r="C24" t="s">
        <v>5</v>
      </c>
    </row>
    <row r="25" spans="1:3" x14ac:dyDescent="0.3">
      <c r="A25">
        <v>12</v>
      </c>
      <c r="B25" t="s">
        <v>598</v>
      </c>
      <c r="C25" t="s">
        <v>10</v>
      </c>
    </row>
    <row r="26" spans="1:3" x14ac:dyDescent="0.3">
      <c r="A26">
        <v>13</v>
      </c>
      <c r="B26" t="s">
        <v>51</v>
      </c>
      <c r="C26" t="s">
        <v>5</v>
      </c>
    </row>
    <row r="27" spans="1:3" x14ac:dyDescent="0.3">
      <c r="A27">
        <v>14</v>
      </c>
      <c r="B27" t="s">
        <v>14</v>
      </c>
      <c r="C27" t="s">
        <v>10</v>
      </c>
    </row>
    <row r="28" spans="1:3" x14ac:dyDescent="0.3">
      <c r="A28">
        <v>15</v>
      </c>
      <c r="B28" t="s">
        <v>17</v>
      </c>
      <c r="C28" t="s">
        <v>5</v>
      </c>
    </row>
    <row r="29" spans="1:3" x14ac:dyDescent="0.3">
      <c r="A29">
        <v>16</v>
      </c>
      <c r="B29" t="s">
        <v>12</v>
      </c>
      <c r="C29" t="s">
        <v>5</v>
      </c>
    </row>
    <row r="30" spans="1:3" x14ac:dyDescent="0.3">
      <c r="A30">
        <v>17</v>
      </c>
      <c r="B30" t="s">
        <v>18</v>
      </c>
      <c r="C30" t="s">
        <v>5</v>
      </c>
    </row>
    <row r="31" spans="1:3" x14ac:dyDescent="0.3">
      <c r="A31">
        <v>18</v>
      </c>
      <c r="B31" t="s">
        <v>20</v>
      </c>
      <c r="C31" t="s">
        <v>5</v>
      </c>
    </row>
    <row r="32" spans="1:3" x14ac:dyDescent="0.3">
      <c r="A32">
        <v>19</v>
      </c>
      <c r="B32" t="s">
        <v>21</v>
      </c>
      <c r="C32" t="s">
        <v>10</v>
      </c>
    </row>
    <row r="33" spans="1:3" x14ac:dyDescent="0.3">
      <c r="A33">
        <v>20</v>
      </c>
      <c r="B33" t="s">
        <v>610</v>
      </c>
      <c r="C33" t="s">
        <v>10</v>
      </c>
    </row>
    <row r="34" spans="1:3" x14ac:dyDescent="0.3">
      <c r="A34">
        <v>21</v>
      </c>
      <c r="B34" t="s">
        <v>25</v>
      </c>
      <c r="C34" t="s">
        <v>5</v>
      </c>
    </row>
    <row r="35" spans="1:3" x14ac:dyDescent="0.3">
      <c r="A35">
        <v>22</v>
      </c>
      <c r="B35" t="s">
        <v>32</v>
      </c>
      <c r="C35" t="s">
        <v>5</v>
      </c>
    </row>
    <row r="36" spans="1:3" x14ac:dyDescent="0.3">
      <c r="A36">
        <v>23</v>
      </c>
      <c r="B36" t="s">
        <v>540</v>
      </c>
      <c r="C36" t="s">
        <v>50</v>
      </c>
    </row>
    <row r="37" spans="1:3" x14ac:dyDescent="0.3">
      <c r="A37">
        <v>24</v>
      </c>
      <c r="B37" t="s">
        <v>22</v>
      </c>
      <c r="C37" t="s">
        <v>5</v>
      </c>
    </row>
    <row r="38" spans="1:3" x14ac:dyDescent="0.3">
      <c r="A38">
        <v>25</v>
      </c>
      <c r="B38" t="s">
        <v>629</v>
      </c>
      <c r="C38" t="s">
        <v>5</v>
      </c>
    </row>
    <row r="39" spans="1:3" x14ac:dyDescent="0.3">
      <c r="A39">
        <v>26</v>
      </c>
      <c r="B39" t="s">
        <v>16</v>
      </c>
      <c r="C39" t="s">
        <v>5</v>
      </c>
    </row>
    <row r="40" spans="1:3" x14ac:dyDescent="0.3">
      <c r="A40">
        <v>27</v>
      </c>
      <c r="B40" t="s">
        <v>502</v>
      </c>
      <c r="C40" t="s">
        <v>5</v>
      </c>
    </row>
    <row r="41" spans="1:3" x14ac:dyDescent="0.3">
      <c r="A41">
        <v>28</v>
      </c>
      <c r="B41" t="s">
        <v>28</v>
      </c>
      <c r="C41" t="s">
        <v>5</v>
      </c>
    </row>
    <row r="42" spans="1:3" x14ac:dyDescent="0.3">
      <c r="A42">
        <v>29</v>
      </c>
      <c r="B42" t="s">
        <v>503</v>
      </c>
      <c r="C42" t="s">
        <v>5</v>
      </c>
    </row>
    <row r="43" spans="1:3" x14ac:dyDescent="0.3">
      <c r="A43">
        <v>30</v>
      </c>
      <c r="B43" t="s">
        <v>19</v>
      </c>
      <c r="C43" t="s">
        <v>5</v>
      </c>
    </row>
    <row r="44" spans="1:3" x14ac:dyDescent="0.3">
      <c r="A44">
        <v>31</v>
      </c>
      <c r="B44" t="s">
        <v>504</v>
      </c>
      <c r="C44" t="s">
        <v>5</v>
      </c>
    </row>
    <row r="45" spans="1:3" x14ac:dyDescent="0.3">
      <c r="A45">
        <v>32</v>
      </c>
      <c r="B45" t="s">
        <v>23</v>
      </c>
      <c r="C45" t="s">
        <v>5</v>
      </c>
    </row>
    <row r="46" spans="1:3" x14ac:dyDescent="0.3">
      <c r="A46">
        <v>33</v>
      </c>
      <c r="B46" t="s">
        <v>24</v>
      </c>
      <c r="C46" t="s">
        <v>5</v>
      </c>
    </row>
    <row r="47" spans="1:3" x14ac:dyDescent="0.3">
      <c r="A47">
        <v>34</v>
      </c>
      <c r="B47" t="s">
        <v>609</v>
      </c>
      <c r="C47" t="s">
        <v>5</v>
      </c>
    </row>
    <row r="48" spans="1:3" x14ac:dyDescent="0.3">
      <c r="A48">
        <v>35</v>
      </c>
      <c r="B48" t="s">
        <v>27</v>
      </c>
      <c r="C48" t="s">
        <v>5</v>
      </c>
    </row>
    <row r="49" spans="1:3" x14ac:dyDescent="0.3">
      <c r="A49">
        <v>36</v>
      </c>
      <c r="B49" t="s">
        <v>26</v>
      </c>
      <c r="C49" t="s">
        <v>10</v>
      </c>
    </row>
    <row r="50" spans="1:3" x14ac:dyDescent="0.3">
      <c r="A50">
        <v>37</v>
      </c>
      <c r="B50" t="s">
        <v>630</v>
      </c>
      <c r="C50" t="s">
        <v>5</v>
      </c>
    </row>
    <row r="51" spans="1:3" x14ac:dyDescent="0.3">
      <c r="A51">
        <v>38</v>
      </c>
      <c r="B51" t="s">
        <v>98</v>
      </c>
      <c r="C51" t="s">
        <v>50</v>
      </c>
    </row>
    <row r="52" spans="1:3" x14ac:dyDescent="0.3">
      <c r="A52">
        <v>39</v>
      </c>
      <c r="B52" t="s">
        <v>31</v>
      </c>
      <c r="C52" t="s">
        <v>5</v>
      </c>
    </row>
    <row r="53" spans="1:3" x14ac:dyDescent="0.3">
      <c r="A53">
        <v>40</v>
      </c>
      <c r="B53" t="s">
        <v>109</v>
      </c>
      <c r="C53" t="s">
        <v>50</v>
      </c>
    </row>
    <row r="54" spans="1:3" x14ac:dyDescent="0.3">
      <c r="A54">
        <v>41</v>
      </c>
      <c r="B54" t="s">
        <v>525</v>
      </c>
      <c r="C54" t="s">
        <v>5</v>
      </c>
    </row>
    <row r="55" spans="1:3" x14ac:dyDescent="0.3">
      <c r="A55">
        <v>42</v>
      </c>
      <c r="B55" t="s">
        <v>611</v>
      </c>
      <c r="C55" t="s">
        <v>5</v>
      </c>
    </row>
    <row r="56" spans="1:3" x14ac:dyDescent="0.3">
      <c r="A56">
        <v>43</v>
      </c>
      <c r="B56" t="s">
        <v>526</v>
      </c>
      <c r="C56" t="s">
        <v>5</v>
      </c>
    </row>
    <row r="57" spans="1:3" x14ac:dyDescent="0.3">
      <c r="A57">
        <v>44</v>
      </c>
      <c r="B57" t="s">
        <v>524</v>
      </c>
      <c r="C57" t="s">
        <v>5</v>
      </c>
    </row>
    <row r="58" spans="1:3" x14ac:dyDescent="0.3">
      <c r="A58">
        <v>45</v>
      </c>
      <c r="B58" t="s">
        <v>38</v>
      </c>
      <c r="C58" t="s">
        <v>10</v>
      </c>
    </row>
    <row r="59" spans="1:3" x14ac:dyDescent="0.3">
      <c r="A59">
        <v>46</v>
      </c>
      <c r="B59" t="s">
        <v>34</v>
      </c>
      <c r="C59" t="s">
        <v>10</v>
      </c>
    </row>
    <row r="60" spans="1:3" x14ac:dyDescent="0.3">
      <c r="A60">
        <v>47</v>
      </c>
      <c r="B60" t="s">
        <v>53</v>
      </c>
      <c r="C60" t="s">
        <v>5</v>
      </c>
    </row>
    <row r="61" spans="1:3" x14ac:dyDescent="0.3">
      <c r="A61">
        <v>48</v>
      </c>
      <c r="B61" t="s">
        <v>15</v>
      </c>
      <c r="C61" t="s">
        <v>5</v>
      </c>
    </row>
    <row r="62" spans="1:3" x14ac:dyDescent="0.3">
      <c r="A62">
        <v>49</v>
      </c>
      <c r="B62" t="s">
        <v>52</v>
      </c>
      <c r="C62" t="s">
        <v>5</v>
      </c>
    </row>
    <row r="63" spans="1:3" x14ac:dyDescent="0.3">
      <c r="A63">
        <v>50</v>
      </c>
      <c r="B63" t="s">
        <v>33</v>
      </c>
      <c r="C63" t="s">
        <v>5</v>
      </c>
    </row>
    <row r="64" spans="1:3" x14ac:dyDescent="0.3">
      <c r="A64">
        <v>51</v>
      </c>
      <c r="B64" t="s">
        <v>44</v>
      </c>
      <c r="C64" t="s">
        <v>45</v>
      </c>
    </row>
    <row r="65" spans="1:3" x14ac:dyDescent="0.3">
      <c r="A65">
        <v>52</v>
      </c>
      <c r="B65" t="s">
        <v>505</v>
      </c>
      <c r="C65" t="s">
        <v>5</v>
      </c>
    </row>
    <row r="66" spans="1:3" x14ac:dyDescent="0.3">
      <c r="A66">
        <v>53</v>
      </c>
      <c r="B66" t="s">
        <v>40</v>
      </c>
      <c r="C66" t="s">
        <v>10</v>
      </c>
    </row>
    <row r="67" spans="1:3" x14ac:dyDescent="0.3">
      <c r="A67">
        <v>54</v>
      </c>
      <c r="B67" t="s">
        <v>49</v>
      </c>
      <c r="C67" t="s">
        <v>5</v>
      </c>
    </row>
    <row r="68" spans="1:3" x14ac:dyDescent="0.3">
      <c r="A68">
        <v>55</v>
      </c>
      <c r="B68" t="s">
        <v>510</v>
      </c>
      <c r="C68" t="s">
        <v>5</v>
      </c>
    </row>
    <row r="69" spans="1:3" x14ac:dyDescent="0.3">
      <c r="A69">
        <v>56</v>
      </c>
      <c r="B69" t="s">
        <v>527</v>
      </c>
      <c r="C69" t="s">
        <v>5</v>
      </c>
    </row>
    <row r="70" spans="1:3" x14ac:dyDescent="0.3">
      <c r="A70">
        <v>57</v>
      </c>
      <c r="B70" t="s">
        <v>83</v>
      </c>
      <c r="C70" t="s">
        <v>5</v>
      </c>
    </row>
    <row r="71" spans="1:3" x14ac:dyDescent="0.3">
      <c r="A71">
        <v>58</v>
      </c>
      <c r="B71" t="s">
        <v>36</v>
      </c>
      <c r="C71" t="s">
        <v>10</v>
      </c>
    </row>
    <row r="72" spans="1:3" x14ac:dyDescent="0.3">
      <c r="A72">
        <v>59</v>
      </c>
      <c r="B72" t="s">
        <v>631</v>
      </c>
      <c r="C72" t="s">
        <v>5</v>
      </c>
    </row>
    <row r="73" spans="1:3" x14ac:dyDescent="0.3">
      <c r="A73">
        <v>60</v>
      </c>
      <c r="B73" t="s">
        <v>612</v>
      </c>
      <c r="C73" t="s">
        <v>5</v>
      </c>
    </row>
    <row r="74" spans="1:3" x14ac:dyDescent="0.3">
      <c r="A74">
        <v>61</v>
      </c>
      <c r="B74" t="s">
        <v>39</v>
      </c>
      <c r="C74" t="s">
        <v>5</v>
      </c>
    </row>
    <row r="75" spans="1:3" x14ac:dyDescent="0.3">
      <c r="A75">
        <v>62</v>
      </c>
      <c r="B75" t="s">
        <v>620</v>
      </c>
      <c r="C75" t="s">
        <v>5</v>
      </c>
    </row>
    <row r="76" spans="1:3" x14ac:dyDescent="0.3">
      <c r="A76">
        <v>63</v>
      </c>
      <c r="B76" t="s">
        <v>632</v>
      </c>
      <c r="C76" t="s">
        <v>10</v>
      </c>
    </row>
    <row r="77" spans="1:3" x14ac:dyDescent="0.3">
      <c r="A77">
        <v>64</v>
      </c>
      <c r="B77" t="s">
        <v>35</v>
      </c>
      <c r="C77" t="s">
        <v>5</v>
      </c>
    </row>
    <row r="78" spans="1:3" x14ac:dyDescent="0.3">
      <c r="A78">
        <v>65</v>
      </c>
      <c r="B78" t="s">
        <v>46</v>
      </c>
      <c r="C78" t="s">
        <v>5</v>
      </c>
    </row>
    <row r="79" spans="1:3" x14ac:dyDescent="0.3">
      <c r="A79">
        <v>66</v>
      </c>
      <c r="B79" t="s">
        <v>42</v>
      </c>
      <c r="C79" t="s">
        <v>5</v>
      </c>
    </row>
    <row r="80" spans="1:3" x14ac:dyDescent="0.3">
      <c r="A80">
        <v>67</v>
      </c>
      <c r="B80" t="s">
        <v>508</v>
      </c>
      <c r="C80" t="s">
        <v>5</v>
      </c>
    </row>
    <row r="81" spans="1:3" x14ac:dyDescent="0.3">
      <c r="A81">
        <v>68</v>
      </c>
      <c r="B81" t="s">
        <v>509</v>
      </c>
      <c r="C81" t="s">
        <v>5</v>
      </c>
    </row>
    <row r="82" spans="1:3" x14ac:dyDescent="0.3">
      <c r="A82">
        <v>69</v>
      </c>
      <c r="B82" t="s">
        <v>37</v>
      </c>
      <c r="C82" t="s">
        <v>5</v>
      </c>
    </row>
    <row r="83" spans="1:3" x14ac:dyDescent="0.3">
      <c r="A83">
        <v>70</v>
      </c>
      <c r="B83" t="s">
        <v>507</v>
      </c>
      <c r="C83" t="s">
        <v>5</v>
      </c>
    </row>
    <row r="84" spans="1:3" x14ac:dyDescent="0.3">
      <c r="A84">
        <v>71</v>
      </c>
      <c r="B84" t="s">
        <v>47</v>
      </c>
      <c r="C84" t="s">
        <v>10</v>
      </c>
    </row>
    <row r="85" spans="1:3" x14ac:dyDescent="0.3">
      <c r="A85">
        <v>72</v>
      </c>
      <c r="B85" t="s">
        <v>60</v>
      </c>
      <c r="C85" t="s">
        <v>5</v>
      </c>
    </row>
    <row r="86" spans="1:3" x14ac:dyDescent="0.3">
      <c r="A86">
        <v>73</v>
      </c>
      <c r="B86" t="s">
        <v>41</v>
      </c>
      <c r="C86" t="s">
        <v>10</v>
      </c>
    </row>
    <row r="87" spans="1:3" x14ac:dyDescent="0.3">
      <c r="A87">
        <v>74</v>
      </c>
      <c r="B87" t="s">
        <v>528</v>
      </c>
      <c r="C87" t="s">
        <v>5</v>
      </c>
    </row>
    <row r="88" spans="1:3" x14ac:dyDescent="0.3">
      <c r="A88">
        <v>75</v>
      </c>
      <c r="B88" t="s">
        <v>621</v>
      </c>
      <c r="C88" t="s">
        <v>5</v>
      </c>
    </row>
    <row r="89" spans="1:3" x14ac:dyDescent="0.3">
      <c r="A89">
        <v>76</v>
      </c>
      <c r="B89" t="s">
        <v>58</v>
      </c>
      <c r="C89" t="s">
        <v>10</v>
      </c>
    </row>
    <row r="90" spans="1:3" x14ac:dyDescent="0.3">
      <c r="A90">
        <v>77</v>
      </c>
      <c r="B90" t="s">
        <v>599</v>
      </c>
      <c r="C90" t="s">
        <v>10</v>
      </c>
    </row>
    <row r="91" spans="1:3" x14ac:dyDescent="0.3">
      <c r="A91">
        <v>78</v>
      </c>
      <c r="B91" t="s">
        <v>103</v>
      </c>
      <c r="C91" t="s">
        <v>50</v>
      </c>
    </row>
    <row r="92" spans="1:3" x14ac:dyDescent="0.3">
      <c r="A92">
        <v>79</v>
      </c>
      <c r="B92" t="s">
        <v>77</v>
      </c>
      <c r="C92" t="s">
        <v>50</v>
      </c>
    </row>
    <row r="93" spans="1:3" x14ac:dyDescent="0.3">
      <c r="A93">
        <v>80</v>
      </c>
      <c r="B93" t="s">
        <v>128</v>
      </c>
      <c r="C93" t="s">
        <v>50</v>
      </c>
    </row>
    <row r="94" spans="1:3" x14ac:dyDescent="0.3">
      <c r="A94">
        <v>81</v>
      </c>
      <c r="B94" t="s">
        <v>63</v>
      </c>
      <c r="C94" t="s">
        <v>5</v>
      </c>
    </row>
    <row r="95" spans="1:3" x14ac:dyDescent="0.3">
      <c r="A95">
        <v>82</v>
      </c>
      <c r="B95" t="s">
        <v>568</v>
      </c>
      <c r="C95" t="s">
        <v>50</v>
      </c>
    </row>
    <row r="96" spans="1:3" x14ac:dyDescent="0.3">
      <c r="A96">
        <v>83</v>
      </c>
      <c r="B96" t="s">
        <v>579</v>
      </c>
      <c r="C96" t="s">
        <v>45</v>
      </c>
    </row>
    <row r="97" spans="1:3" x14ac:dyDescent="0.3">
      <c r="A97">
        <v>84</v>
      </c>
      <c r="B97" t="s">
        <v>56</v>
      </c>
      <c r="C97" t="s">
        <v>5</v>
      </c>
    </row>
    <row r="98" spans="1:3" x14ac:dyDescent="0.3">
      <c r="A98">
        <v>85</v>
      </c>
      <c r="B98" t="s">
        <v>69</v>
      </c>
      <c r="C98" t="s">
        <v>5</v>
      </c>
    </row>
    <row r="99" spans="1:3" x14ac:dyDescent="0.3">
      <c r="A99">
        <v>86</v>
      </c>
      <c r="B99" t="s">
        <v>70</v>
      </c>
      <c r="C99" t="s">
        <v>10</v>
      </c>
    </row>
    <row r="100" spans="1:3" x14ac:dyDescent="0.3">
      <c r="A100">
        <v>87</v>
      </c>
      <c r="B100" t="s">
        <v>71</v>
      </c>
      <c r="C100" t="s">
        <v>5</v>
      </c>
    </row>
    <row r="101" spans="1:3" x14ac:dyDescent="0.3">
      <c r="A101">
        <v>88</v>
      </c>
      <c r="B101" t="s">
        <v>88</v>
      </c>
      <c r="C101" t="s">
        <v>10</v>
      </c>
    </row>
    <row r="102" spans="1:3" x14ac:dyDescent="0.3">
      <c r="A102">
        <v>89</v>
      </c>
      <c r="B102" t="s">
        <v>91</v>
      </c>
      <c r="C102" t="s">
        <v>45</v>
      </c>
    </row>
    <row r="103" spans="1:3" x14ac:dyDescent="0.3">
      <c r="A103">
        <v>90</v>
      </c>
      <c r="B103" t="s">
        <v>72</v>
      </c>
      <c r="C103" t="s">
        <v>50</v>
      </c>
    </row>
    <row r="104" spans="1:3" x14ac:dyDescent="0.3">
      <c r="A104">
        <v>91</v>
      </c>
      <c r="B104" t="s">
        <v>66</v>
      </c>
      <c r="C104" t="s">
        <v>10</v>
      </c>
    </row>
    <row r="105" spans="1:3" x14ac:dyDescent="0.3">
      <c r="A105">
        <v>92</v>
      </c>
      <c r="B105" t="s">
        <v>80</v>
      </c>
      <c r="C105" t="s">
        <v>50</v>
      </c>
    </row>
    <row r="106" spans="1:3" x14ac:dyDescent="0.3">
      <c r="A106">
        <v>93</v>
      </c>
      <c r="B106" t="s">
        <v>506</v>
      </c>
      <c r="C106" t="s">
        <v>5</v>
      </c>
    </row>
    <row r="107" spans="1:3" x14ac:dyDescent="0.3">
      <c r="A107">
        <v>94</v>
      </c>
      <c r="B107" t="s">
        <v>512</v>
      </c>
      <c r="C107" t="s">
        <v>5</v>
      </c>
    </row>
    <row r="108" spans="1:3" x14ac:dyDescent="0.3">
      <c r="A108">
        <v>95</v>
      </c>
      <c r="B108" t="s">
        <v>67</v>
      </c>
      <c r="C108" t="s">
        <v>5</v>
      </c>
    </row>
    <row r="109" spans="1:3" x14ac:dyDescent="0.3">
      <c r="A109">
        <v>96</v>
      </c>
      <c r="B109" t="s">
        <v>87</v>
      </c>
      <c r="C109" t="s">
        <v>5</v>
      </c>
    </row>
    <row r="110" spans="1:3" x14ac:dyDescent="0.3">
      <c r="A110">
        <v>97</v>
      </c>
      <c r="B110" t="s">
        <v>513</v>
      </c>
      <c r="C110" t="s">
        <v>5</v>
      </c>
    </row>
    <row r="111" spans="1:3" x14ac:dyDescent="0.3">
      <c r="A111">
        <v>98</v>
      </c>
      <c r="B111" t="s">
        <v>59</v>
      </c>
      <c r="C111" t="s">
        <v>5</v>
      </c>
    </row>
    <row r="112" spans="1:3" x14ac:dyDescent="0.3">
      <c r="A112">
        <v>99</v>
      </c>
      <c r="B112" t="s">
        <v>48</v>
      </c>
      <c r="C112" t="s">
        <v>10</v>
      </c>
    </row>
    <row r="113" spans="1:3" x14ac:dyDescent="0.3">
      <c r="A113">
        <v>100</v>
      </c>
      <c r="B113" t="s">
        <v>90</v>
      </c>
      <c r="C113" t="s">
        <v>5</v>
      </c>
    </row>
    <row r="114" spans="1:3" x14ac:dyDescent="0.3">
      <c r="A114">
        <v>101</v>
      </c>
      <c r="B114" t="s">
        <v>99</v>
      </c>
      <c r="C114" t="s">
        <v>5</v>
      </c>
    </row>
    <row r="115" spans="1:3" x14ac:dyDescent="0.3">
      <c r="A115">
        <v>102</v>
      </c>
      <c r="B115" t="s">
        <v>64</v>
      </c>
      <c r="C115" t="s">
        <v>10</v>
      </c>
    </row>
    <row r="116" spans="1:3" x14ac:dyDescent="0.3">
      <c r="A116">
        <v>103</v>
      </c>
      <c r="B116" t="s">
        <v>55</v>
      </c>
      <c r="C116" t="s">
        <v>5</v>
      </c>
    </row>
    <row r="117" spans="1:3" x14ac:dyDescent="0.3">
      <c r="A117">
        <v>104</v>
      </c>
      <c r="B117" t="s">
        <v>73</v>
      </c>
      <c r="C117" t="s">
        <v>5</v>
      </c>
    </row>
    <row r="118" spans="1:3" x14ac:dyDescent="0.3">
      <c r="A118">
        <v>105</v>
      </c>
      <c r="B118" t="s">
        <v>81</v>
      </c>
      <c r="C118" t="s">
        <v>5</v>
      </c>
    </row>
    <row r="119" spans="1:3" x14ac:dyDescent="0.3">
      <c r="A119">
        <v>106</v>
      </c>
      <c r="B119" t="s">
        <v>62</v>
      </c>
      <c r="C119" t="s">
        <v>5</v>
      </c>
    </row>
    <row r="120" spans="1:3" x14ac:dyDescent="0.3">
      <c r="A120">
        <v>107</v>
      </c>
      <c r="B120" t="s">
        <v>78</v>
      </c>
      <c r="C120" t="s">
        <v>5</v>
      </c>
    </row>
    <row r="121" spans="1:3" x14ac:dyDescent="0.3">
      <c r="A121">
        <v>108</v>
      </c>
      <c r="B121" t="s">
        <v>57</v>
      </c>
      <c r="C121" t="s">
        <v>5</v>
      </c>
    </row>
    <row r="122" spans="1:3" x14ac:dyDescent="0.3">
      <c r="A122">
        <v>109</v>
      </c>
      <c r="B122" t="s">
        <v>61</v>
      </c>
      <c r="C122" t="s">
        <v>10</v>
      </c>
    </row>
    <row r="123" spans="1:3" x14ac:dyDescent="0.3">
      <c r="A123">
        <v>110</v>
      </c>
      <c r="B123" t="s">
        <v>143</v>
      </c>
      <c r="C123" t="s">
        <v>50</v>
      </c>
    </row>
    <row r="124" spans="1:3" x14ac:dyDescent="0.3">
      <c r="A124">
        <v>111</v>
      </c>
      <c r="B124" t="s">
        <v>54</v>
      </c>
      <c r="C124" t="s">
        <v>5</v>
      </c>
    </row>
    <row r="125" spans="1:3" x14ac:dyDescent="0.3">
      <c r="A125">
        <v>112</v>
      </c>
      <c r="B125" t="s">
        <v>82</v>
      </c>
      <c r="C125" t="s">
        <v>5</v>
      </c>
    </row>
    <row r="126" spans="1:3" x14ac:dyDescent="0.3">
      <c r="A126">
        <v>113</v>
      </c>
      <c r="B126" t="s">
        <v>580</v>
      </c>
      <c r="C126" t="s">
        <v>45</v>
      </c>
    </row>
    <row r="127" spans="1:3" x14ac:dyDescent="0.3">
      <c r="A127">
        <v>114</v>
      </c>
      <c r="B127" t="s">
        <v>74</v>
      </c>
      <c r="C127" t="s">
        <v>5</v>
      </c>
    </row>
    <row r="128" spans="1:3" x14ac:dyDescent="0.3">
      <c r="A128">
        <v>115</v>
      </c>
      <c r="B128" t="s">
        <v>200</v>
      </c>
      <c r="C128" t="s">
        <v>50</v>
      </c>
    </row>
    <row r="129" spans="1:3" x14ac:dyDescent="0.3">
      <c r="A129">
        <v>116</v>
      </c>
      <c r="B129" t="s">
        <v>515</v>
      </c>
      <c r="C129" t="s">
        <v>5</v>
      </c>
    </row>
    <row r="130" spans="1:3" x14ac:dyDescent="0.3">
      <c r="A130">
        <v>117</v>
      </c>
      <c r="B130" t="s">
        <v>68</v>
      </c>
      <c r="C130" t="s">
        <v>5</v>
      </c>
    </row>
    <row r="131" spans="1:3" x14ac:dyDescent="0.3">
      <c r="A131">
        <v>118</v>
      </c>
      <c r="B131" t="s">
        <v>511</v>
      </c>
      <c r="C131" t="s">
        <v>5</v>
      </c>
    </row>
    <row r="132" spans="1:3" x14ac:dyDescent="0.3">
      <c r="A132">
        <v>119</v>
      </c>
      <c r="B132" t="s">
        <v>530</v>
      </c>
      <c r="C132" t="s">
        <v>5</v>
      </c>
    </row>
    <row r="133" spans="1:3" x14ac:dyDescent="0.3">
      <c r="A133">
        <v>120</v>
      </c>
      <c r="B133" t="s">
        <v>86</v>
      </c>
      <c r="C133" t="s">
        <v>5</v>
      </c>
    </row>
    <row r="134" spans="1:3" x14ac:dyDescent="0.3">
      <c r="A134">
        <v>121</v>
      </c>
      <c r="B134" t="s">
        <v>137</v>
      </c>
      <c r="C134" t="s">
        <v>50</v>
      </c>
    </row>
    <row r="135" spans="1:3" x14ac:dyDescent="0.3">
      <c r="A135">
        <v>122</v>
      </c>
      <c r="B135" t="s">
        <v>85</v>
      </c>
      <c r="C135" t="s">
        <v>5</v>
      </c>
    </row>
    <row r="136" spans="1:3" x14ac:dyDescent="0.3">
      <c r="A136">
        <v>123</v>
      </c>
      <c r="B136" t="s">
        <v>633</v>
      </c>
      <c r="C136" t="s">
        <v>50</v>
      </c>
    </row>
    <row r="137" spans="1:3" x14ac:dyDescent="0.3">
      <c r="A137">
        <v>124</v>
      </c>
      <c r="B137" t="s">
        <v>84</v>
      </c>
      <c r="C137" t="s">
        <v>5</v>
      </c>
    </row>
    <row r="138" spans="1:3" x14ac:dyDescent="0.3">
      <c r="A138">
        <v>125</v>
      </c>
      <c r="B138" t="s">
        <v>96</v>
      </c>
      <c r="C138" t="s">
        <v>5</v>
      </c>
    </row>
    <row r="139" spans="1:3" x14ac:dyDescent="0.3">
      <c r="A139">
        <v>126</v>
      </c>
      <c r="B139" t="s">
        <v>79</v>
      </c>
      <c r="C139" t="s">
        <v>5</v>
      </c>
    </row>
    <row r="140" spans="1:3" x14ac:dyDescent="0.3">
      <c r="A140">
        <v>127</v>
      </c>
      <c r="B140" t="s">
        <v>94</v>
      </c>
      <c r="C140" t="s">
        <v>5</v>
      </c>
    </row>
    <row r="141" spans="1:3" x14ac:dyDescent="0.3">
      <c r="A141">
        <v>128</v>
      </c>
      <c r="B141" t="s">
        <v>92</v>
      </c>
      <c r="C141" t="s">
        <v>5</v>
      </c>
    </row>
    <row r="142" spans="1:3" x14ac:dyDescent="0.3">
      <c r="A142">
        <v>129</v>
      </c>
      <c r="B142" t="s">
        <v>93</v>
      </c>
      <c r="C142" t="s">
        <v>5</v>
      </c>
    </row>
    <row r="143" spans="1:3" x14ac:dyDescent="0.3">
      <c r="A143">
        <v>130</v>
      </c>
      <c r="B143" t="s">
        <v>167</v>
      </c>
      <c r="C143" t="s">
        <v>50</v>
      </c>
    </row>
    <row r="144" spans="1:3" x14ac:dyDescent="0.3">
      <c r="A144">
        <v>131</v>
      </c>
      <c r="B144" t="s">
        <v>634</v>
      </c>
      <c r="C144" t="s">
        <v>5</v>
      </c>
    </row>
    <row r="145" spans="1:3" x14ac:dyDescent="0.3">
      <c r="A145">
        <v>132</v>
      </c>
      <c r="B145" t="s">
        <v>95</v>
      </c>
      <c r="C145" t="s">
        <v>10</v>
      </c>
    </row>
    <row r="146" spans="1:3" x14ac:dyDescent="0.3">
      <c r="A146">
        <v>133</v>
      </c>
      <c r="B146" t="s">
        <v>76</v>
      </c>
      <c r="C146" t="s">
        <v>5</v>
      </c>
    </row>
    <row r="147" spans="1:3" x14ac:dyDescent="0.3">
      <c r="A147">
        <v>134</v>
      </c>
      <c r="B147" t="s">
        <v>110</v>
      </c>
      <c r="C147" t="s">
        <v>10</v>
      </c>
    </row>
    <row r="148" spans="1:3" x14ac:dyDescent="0.3">
      <c r="A148">
        <v>135</v>
      </c>
      <c r="B148" t="s">
        <v>529</v>
      </c>
      <c r="C148" t="s">
        <v>5</v>
      </c>
    </row>
    <row r="149" spans="1:3" x14ac:dyDescent="0.3">
      <c r="A149">
        <v>136</v>
      </c>
      <c r="B149" t="s">
        <v>543</v>
      </c>
      <c r="C149" t="s">
        <v>50</v>
      </c>
    </row>
    <row r="150" spans="1:3" x14ac:dyDescent="0.3">
      <c r="A150">
        <v>137</v>
      </c>
      <c r="B150" t="s">
        <v>545</v>
      </c>
      <c r="C150" t="s">
        <v>50</v>
      </c>
    </row>
    <row r="151" spans="1:3" x14ac:dyDescent="0.3">
      <c r="A151">
        <v>138</v>
      </c>
      <c r="B151" t="s">
        <v>175</v>
      </c>
      <c r="C151" t="s">
        <v>50</v>
      </c>
    </row>
    <row r="152" spans="1:3" x14ac:dyDescent="0.3">
      <c r="A152">
        <v>139</v>
      </c>
      <c r="B152" t="s">
        <v>514</v>
      </c>
      <c r="C152" t="s">
        <v>5</v>
      </c>
    </row>
    <row r="153" spans="1:3" x14ac:dyDescent="0.3">
      <c r="A153">
        <v>140</v>
      </c>
      <c r="B153" t="s">
        <v>108</v>
      </c>
      <c r="C153" t="s">
        <v>5</v>
      </c>
    </row>
    <row r="154" spans="1:3" x14ac:dyDescent="0.3">
      <c r="A154">
        <v>141</v>
      </c>
      <c r="B154" t="s">
        <v>122</v>
      </c>
      <c r="C154" t="s">
        <v>50</v>
      </c>
    </row>
    <row r="155" spans="1:3" x14ac:dyDescent="0.3">
      <c r="A155">
        <v>142</v>
      </c>
      <c r="B155" t="s">
        <v>151</v>
      </c>
      <c r="C155" t="s">
        <v>152</v>
      </c>
    </row>
    <row r="156" spans="1:3" x14ac:dyDescent="0.3">
      <c r="A156">
        <v>143</v>
      </c>
      <c r="B156" t="s">
        <v>168</v>
      </c>
      <c r="C156" t="s">
        <v>10</v>
      </c>
    </row>
    <row r="157" spans="1:3" x14ac:dyDescent="0.3">
      <c r="A157">
        <v>144</v>
      </c>
      <c r="B157" t="s">
        <v>75</v>
      </c>
      <c r="C157" t="s">
        <v>5</v>
      </c>
    </row>
    <row r="158" spans="1:3" x14ac:dyDescent="0.3">
      <c r="A158">
        <v>145</v>
      </c>
      <c r="B158" t="s">
        <v>116</v>
      </c>
      <c r="C158" t="s">
        <v>10</v>
      </c>
    </row>
    <row r="159" spans="1:3" x14ac:dyDescent="0.3">
      <c r="A159">
        <v>146</v>
      </c>
      <c r="B159" t="s">
        <v>89</v>
      </c>
      <c r="C159" t="s">
        <v>10</v>
      </c>
    </row>
    <row r="160" spans="1:3" x14ac:dyDescent="0.3">
      <c r="A160">
        <v>147</v>
      </c>
      <c r="B160" t="s">
        <v>100</v>
      </c>
      <c r="C160" t="s">
        <v>10</v>
      </c>
    </row>
    <row r="161" spans="1:3" x14ac:dyDescent="0.3">
      <c r="A161">
        <v>148</v>
      </c>
      <c r="B161" t="s">
        <v>127</v>
      </c>
      <c r="C161" t="s">
        <v>10</v>
      </c>
    </row>
    <row r="162" spans="1:3" x14ac:dyDescent="0.3">
      <c r="A162">
        <v>149</v>
      </c>
      <c r="B162" t="s">
        <v>544</v>
      </c>
      <c r="C162" t="s">
        <v>50</v>
      </c>
    </row>
    <row r="163" spans="1:3" x14ac:dyDescent="0.3">
      <c r="A163">
        <v>150</v>
      </c>
      <c r="B163" t="s">
        <v>174</v>
      </c>
      <c r="C163" t="s">
        <v>50</v>
      </c>
    </row>
    <row r="164" spans="1:3" x14ac:dyDescent="0.3">
      <c r="A164">
        <v>151</v>
      </c>
      <c r="B164" t="s">
        <v>635</v>
      </c>
      <c r="C164" t="s">
        <v>10</v>
      </c>
    </row>
    <row r="165" spans="1:3" x14ac:dyDescent="0.3">
      <c r="A165">
        <v>152</v>
      </c>
      <c r="B165" t="s">
        <v>690</v>
      </c>
      <c r="C165" t="s">
        <v>50</v>
      </c>
    </row>
    <row r="166" spans="1:3" x14ac:dyDescent="0.3">
      <c r="A166">
        <v>153</v>
      </c>
      <c r="B166" t="s">
        <v>636</v>
      </c>
      <c r="C166" t="s">
        <v>10</v>
      </c>
    </row>
    <row r="167" spans="1:3" x14ac:dyDescent="0.3">
      <c r="A167">
        <v>154</v>
      </c>
      <c r="B167" t="s">
        <v>148</v>
      </c>
      <c r="C167" t="s">
        <v>10</v>
      </c>
    </row>
    <row r="168" spans="1:3" x14ac:dyDescent="0.3">
      <c r="A168">
        <v>155</v>
      </c>
      <c r="B168" t="s">
        <v>517</v>
      </c>
      <c r="C168" t="s">
        <v>5</v>
      </c>
    </row>
    <row r="169" spans="1:3" x14ac:dyDescent="0.3">
      <c r="A169">
        <v>156</v>
      </c>
      <c r="B169" t="s">
        <v>146</v>
      </c>
      <c r="C169" t="s">
        <v>50</v>
      </c>
    </row>
    <row r="170" spans="1:3" x14ac:dyDescent="0.3">
      <c r="A170">
        <v>157</v>
      </c>
      <c r="B170" t="s">
        <v>65</v>
      </c>
      <c r="C170" t="s">
        <v>5</v>
      </c>
    </row>
    <row r="171" spans="1:3" x14ac:dyDescent="0.3">
      <c r="A171">
        <v>158</v>
      </c>
      <c r="B171" t="s">
        <v>97</v>
      </c>
      <c r="C171" t="s">
        <v>5</v>
      </c>
    </row>
    <row r="172" spans="1:3" x14ac:dyDescent="0.3">
      <c r="A172">
        <v>159</v>
      </c>
      <c r="B172" t="s">
        <v>217</v>
      </c>
      <c r="C172" t="s">
        <v>45</v>
      </c>
    </row>
    <row r="173" spans="1:3" x14ac:dyDescent="0.3">
      <c r="A173">
        <v>160</v>
      </c>
      <c r="B173" t="s">
        <v>105</v>
      </c>
      <c r="C173" t="s">
        <v>5</v>
      </c>
    </row>
    <row r="174" spans="1:3" x14ac:dyDescent="0.3">
      <c r="A174">
        <v>161</v>
      </c>
      <c r="B174" t="s">
        <v>111</v>
      </c>
      <c r="C174" t="s">
        <v>5</v>
      </c>
    </row>
    <row r="175" spans="1:3" x14ac:dyDescent="0.3">
      <c r="A175">
        <v>162</v>
      </c>
      <c r="B175" t="s">
        <v>516</v>
      </c>
      <c r="C175" t="s">
        <v>5</v>
      </c>
    </row>
    <row r="176" spans="1:3" x14ac:dyDescent="0.3">
      <c r="A176">
        <v>163</v>
      </c>
      <c r="B176" t="s">
        <v>117</v>
      </c>
      <c r="C176" t="s">
        <v>5</v>
      </c>
    </row>
    <row r="177" spans="1:3" x14ac:dyDescent="0.3">
      <c r="A177">
        <v>164</v>
      </c>
      <c r="B177" t="s">
        <v>113</v>
      </c>
      <c r="C177" t="s">
        <v>5</v>
      </c>
    </row>
    <row r="178" spans="1:3" x14ac:dyDescent="0.3">
      <c r="A178">
        <v>165</v>
      </c>
      <c r="B178" t="s">
        <v>130</v>
      </c>
      <c r="C178" t="s">
        <v>45</v>
      </c>
    </row>
    <row r="179" spans="1:3" x14ac:dyDescent="0.3">
      <c r="A179">
        <v>166</v>
      </c>
      <c r="B179" t="s">
        <v>107</v>
      </c>
      <c r="C179" t="s">
        <v>5</v>
      </c>
    </row>
    <row r="180" spans="1:3" x14ac:dyDescent="0.3">
      <c r="A180">
        <v>167</v>
      </c>
      <c r="B180" t="s">
        <v>226</v>
      </c>
      <c r="C180" t="s">
        <v>50</v>
      </c>
    </row>
    <row r="181" spans="1:3" x14ac:dyDescent="0.3">
      <c r="A181">
        <v>168</v>
      </c>
      <c r="B181" t="s">
        <v>106</v>
      </c>
      <c r="C181" t="s">
        <v>5</v>
      </c>
    </row>
    <row r="182" spans="1:3" x14ac:dyDescent="0.3">
      <c r="A182">
        <v>169</v>
      </c>
      <c r="B182" t="s">
        <v>112</v>
      </c>
      <c r="C182" t="s">
        <v>10</v>
      </c>
    </row>
    <row r="183" spans="1:3" x14ac:dyDescent="0.3">
      <c r="A183">
        <v>170</v>
      </c>
      <c r="B183" t="s">
        <v>169</v>
      </c>
      <c r="C183" t="s">
        <v>50</v>
      </c>
    </row>
    <row r="184" spans="1:3" x14ac:dyDescent="0.3">
      <c r="A184">
        <v>171</v>
      </c>
      <c r="B184" t="s">
        <v>158</v>
      </c>
      <c r="C184" t="s">
        <v>10</v>
      </c>
    </row>
    <row r="185" spans="1:3" x14ac:dyDescent="0.3">
      <c r="A185">
        <v>172</v>
      </c>
      <c r="B185" t="s">
        <v>176</v>
      </c>
      <c r="C185" t="s">
        <v>10</v>
      </c>
    </row>
    <row r="186" spans="1:3" x14ac:dyDescent="0.3">
      <c r="A186">
        <v>173</v>
      </c>
      <c r="B186" t="s">
        <v>104</v>
      </c>
      <c r="C186" t="s">
        <v>10</v>
      </c>
    </row>
    <row r="187" spans="1:3" x14ac:dyDescent="0.3">
      <c r="A187">
        <v>174</v>
      </c>
      <c r="B187" t="s">
        <v>101</v>
      </c>
      <c r="C187" t="s">
        <v>10</v>
      </c>
    </row>
    <row r="188" spans="1:3" x14ac:dyDescent="0.3">
      <c r="A188">
        <v>175</v>
      </c>
      <c r="B188" t="s">
        <v>121</v>
      </c>
      <c r="C188" t="s">
        <v>10</v>
      </c>
    </row>
    <row r="189" spans="1:3" x14ac:dyDescent="0.3">
      <c r="A189">
        <v>176</v>
      </c>
      <c r="B189" t="s">
        <v>532</v>
      </c>
      <c r="C189" t="s">
        <v>5</v>
      </c>
    </row>
    <row r="190" spans="1:3" x14ac:dyDescent="0.3">
      <c r="A190">
        <v>177</v>
      </c>
      <c r="B190" t="s">
        <v>156</v>
      </c>
      <c r="C190" t="s">
        <v>45</v>
      </c>
    </row>
    <row r="191" spans="1:3" x14ac:dyDescent="0.3">
      <c r="A191">
        <v>178</v>
      </c>
      <c r="B191" t="s">
        <v>123</v>
      </c>
      <c r="C191" t="s">
        <v>10</v>
      </c>
    </row>
    <row r="192" spans="1:3" x14ac:dyDescent="0.3">
      <c r="A192">
        <v>179</v>
      </c>
      <c r="B192" t="s">
        <v>134</v>
      </c>
      <c r="C192" t="s">
        <v>10</v>
      </c>
    </row>
    <row r="193" spans="1:3" x14ac:dyDescent="0.3">
      <c r="A193">
        <v>180</v>
      </c>
      <c r="B193" t="s">
        <v>546</v>
      </c>
      <c r="C193" t="s">
        <v>50</v>
      </c>
    </row>
    <row r="194" spans="1:3" x14ac:dyDescent="0.3">
      <c r="A194">
        <v>181</v>
      </c>
      <c r="B194" t="s">
        <v>145</v>
      </c>
      <c r="C194" t="s">
        <v>5</v>
      </c>
    </row>
    <row r="195" spans="1:3" x14ac:dyDescent="0.3">
      <c r="A195">
        <v>182</v>
      </c>
      <c r="B195" t="s">
        <v>581</v>
      </c>
      <c r="C195" t="s">
        <v>45</v>
      </c>
    </row>
    <row r="196" spans="1:3" x14ac:dyDescent="0.3">
      <c r="A196">
        <v>183</v>
      </c>
      <c r="B196" t="s">
        <v>161</v>
      </c>
      <c r="C196" t="s">
        <v>152</v>
      </c>
    </row>
    <row r="197" spans="1:3" x14ac:dyDescent="0.3">
      <c r="A197">
        <v>184</v>
      </c>
      <c r="B197" t="s">
        <v>102</v>
      </c>
      <c r="C197" t="s">
        <v>10</v>
      </c>
    </row>
    <row r="198" spans="1:3" x14ac:dyDescent="0.3">
      <c r="A198">
        <v>185</v>
      </c>
      <c r="B198" t="s">
        <v>181</v>
      </c>
      <c r="C198" t="s">
        <v>5</v>
      </c>
    </row>
    <row r="199" spans="1:3" x14ac:dyDescent="0.3">
      <c r="A199">
        <v>186</v>
      </c>
      <c r="B199" t="s">
        <v>132</v>
      </c>
      <c r="C199" t="s">
        <v>10</v>
      </c>
    </row>
    <row r="200" spans="1:3" x14ac:dyDescent="0.3">
      <c r="A200">
        <v>187</v>
      </c>
      <c r="B200" t="s">
        <v>177</v>
      </c>
      <c r="C200" t="s">
        <v>152</v>
      </c>
    </row>
    <row r="201" spans="1:3" x14ac:dyDescent="0.3">
      <c r="A201">
        <v>188</v>
      </c>
      <c r="B201" t="s">
        <v>140</v>
      </c>
      <c r="C201" t="s">
        <v>5</v>
      </c>
    </row>
    <row r="202" spans="1:3" x14ac:dyDescent="0.3">
      <c r="A202">
        <v>189</v>
      </c>
      <c r="B202" t="s">
        <v>136</v>
      </c>
      <c r="C202" t="s">
        <v>10</v>
      </c>
    </row>
    <row r="203" spans="1:3" x14ac:dyDescent="0.3">
      <c r="A203">
        <v>190</v>
      </c>
      <c r="B203" t="s">
        <v>118</v>
      </c>
      <c r="C203" t="s">
        <v>5</v>
      </c>
    </row>
    <row r="204" spans="1:3" x14ac:dyDescent="0.3">
      <c r="A204">
        <v>191</v>
      </c>
      <c r="B204" t="s">
        <v>126</v>
      </c>
      <c r="C204" t="s">
        <v>10</v>
      </c>
    </row>
    <row r="205" spans="1:3" x14ac:dyDescent="0.3">
      <c r="A205">
        <v>192</v>
      </c>
      <c r="B205" t="s">
        <v>163</v>
      </c>
      <c r="C205" t="s">
        <v>10</v>
      </c>
    </row>
    <row r="206" spans="1:3" x14ac:dyDescent="0.3">
      <c r="A206">
        <v>193</v>
      </c>
      <c r="B206" t="s">
        <v>135</v>
      </c>
      <c r="C206" t="s">
        <v>50</v>
      </c>
    </row>
    <row r="207" spans="1:3" x14ac:dyDescent="0.3">
      <c r="A207">
        <v>194</v>
      </c>
      <c r="B207" t="s">
        <v>149</v>
      </c>
      <c r="C207" t="s">
        <v>5</v>
      </c>
    </row>
    <row r="208" spans="1:3" x14ac:dyDescent="0.3">
      <c r="A208">
        <v>195</v>
      </c>
      <c r="B208" t="s">
        <v>150</v>
      </c>
      <c r="C208" t="s">
        <v>10</v>
      </c>
    </row>
    <row r="209" spans="1:3" x14ac:dyDescent="0.3">
      <c r="A209">
        <v>196</v>
      </c>
      <c r="B209" t="s">
        <v>142</v>
      </c>
      <c r="C209" t="s">
        <v>10</v>
      </c>
    </row>
    <row r="210" spans="1:3" x14ac:dyDescent="0.3">
      <c r="A210">
        <v>197</v>
      </c>
      <c r="B210" t="s">
        <v>138</v>
      </c>
      <c r="C210" t="s">
        <v>50</v>
      </c>
    </row>
    <row r="211" spans="1:3" x14ac:dyDescent="0.3">
      <c r="A211">
        <v>198</v>
      </c>
      <c r="B211" t="s">
        <v>131</v>
      </c>
      <c r="C211" t="s">
        <v>10</v>
      </c>
    </row>
    <row r="212" spans="1:3" x14ac:dyDescent="0.3">
      <c r="A212">
        <v>199</v>
      </c>
      <c r="B212" t="s">
        <v>120</v>
      </c>
      <c r="C212" t="s">
        <v>5</v>
      </c>
    </row>
    <row r="213" spans="1:3" x14ac:dyDescent="0.3">
      <c r="A213">
        <v>200</v>
      </c>
      <c r="B213" t="s">
        <v>153</v>
      </c>
      <c r="C213" t="s">
        <v>10</v>
      </c>
    </row>
    <row r="214" spans="1:3" x14ac:dyDescent="0.3">
      <c r="A214">
        <v>201</v>
      </c>
      <c r="B214" t="s">
        <v>205</v>
      </c>
      <c r="C214" t="s">
        <v>5</v>
      </c>
    </row>
    <row r="215" spans="1:3" x14ac:dyDescent="0.3">
      <c r="A215">
        <v>202</v>
      </c>
      <c r="B215" t="s">
        <v>173</v>
      </c>
      <c r="C215" t="s">
        <v>5</v>
      </c>
    </row>
    <row r="216" spans="1:3" x14ac:dyDescent="0.3">
      <c r="A216">
        <v>203</v>
      </c>
      <c r="B216" t="s">
        <v>519</v>
      </c>
      <c r="C216" t="s">
        <v>5</v>
      </c>
    </row>
    <row r="217" spans="1:3" x14ac:dyDescent="0.3">
      <c r="A217">
        <v>204</v>
      </c>
      <c r="B217" t="s">
        <v>114</v>
      </c>
      <c r="C217" t="s">
        <v>10</v>
      </c>
    </row>
    <row r="218" spans="1:3" x14ac:dyDescent="0.3">
      <c r="A218">
        <v>205</v>
      </c>
      <c r="B218" t="s">
        <v>273</v>
      </c>
      <c r="C218" t="s">
        <v>50</v>
      </c>
    </row>
    <row r="219" spans="1:3" x14ac:dyDescent="0.3">
      <c r="A219">
        <v>206</v>
      </c>
      <c r="B219" t="s">
        <v>547</v>
      </c>
      <c r="C219" t="s">
        <v>50</v>
      </c>
    </row>
    <row r="220" spans="1:3" x14ac:dyDescent="0.3">
      <c r="A220">
        <v>207</v>
      </c>
      <c r="B220" t="s">
        <v>133</v>
      </c>
      <c r="C220" t="s">
        <v>5</v>
      </c>
    </row>
    <row r="221" spans="1:3" x14ac:dyDescent="0.3">
      <c r="A221">
        <v>208</v>
      </c>
      <c r="B221" t="s">
        <v>582</v>
      </c>
      <c r="C221" t="s">
        <v>45</v>
      </c>
    </row>
    <row r="222" spans="1:3" x14ac:dyDescent="0.3">
      <c r="A222">
        <v>209</v>
      </c>
      <c r="B222" t="s">
        <v>185</v>
      </c>
      <c r="C222" t="s">
        <v>50</v>
      </c>
    </row>
    <row r="223" spans="1:3" x14ac:dyDescent="0.3">
      <c r="A223">
        <v>210</v>
      </c>
      <c r="B223" t="s">
        <v>119</v>
      </c>
      <c r="C223" t="s">
        <v>10</v>
      </c>
    </row>
    <row r="224" spans="1:3" x14ac:dyDescent="0.3">
      <c r="A224">
        <v>211</v>
      </c>
      <c r="B224" t="s">
        <v>139</v>
      </c>
      <c r="C224" t="s">
        <v>10</v>
      </c>
    </row>
    <row r="225" spans="1:3" x14ac:dyDescent="0.3">
      <c r="A225">
        <v>212</v>
      </c>
      <c r="B225" t="s">
        <v>144</v>
      </c>
      <c r="C225" t="s">
        <v>10</v>
      </c>
    </row>
    <row r="226" spans="1:3" x14ac:dyDescent="0.3">
      <c r="A226">
        <v>213</v>
      </c>
      <c r="B226" t="s">
        <v>157</v>
      </c>
      <c r="C226" t="s">
        <v>5</v>
      </c>
    </row>
    <row r="227" spans="1:3" x14ac:dyDescent="0.3">
      <c r="A227">
        <v>214</v>
      </c>
      <c r="B227" t="s">
        <v>159</v>
      </c>
      <c r="C227" t="s">
        <v>5</v>
      </c>
    </row>
    <row r="228" spans="1:3" x14ac:dyDescent="0.3">
      <c r="A228">
        <v>215</v>
      </c>
      <c r="B228" t="s">
        <v>164</v>
      </c>
      <c r="C228" t="s">
        <v>10</v>
      </c>
    </row>
    <row r="229" spans="1:3" x14ac:dyDescent="0.3">
      <c r="A229">
        <v>216</v>
      </c>
      <c r="B229" t="s">
        <v>195</v>
      </c>
      <c r="C229" t="s">
        <v>10</v>
      </c>
    </row>
    <row r="230" spans="1:3" x14ac:dyDescent="0.3">
      <c r="A230">
        <v>217</v>
      </c>
      <c r="B230" t="s">
        <v>115</v>
      </c>
      <c r="C230" t="s">
        <v>10</v>
      </c>
    </row>
    <row r="231" spans="1:3" x14ac:dyDescent="0.3">
      <c r="A231">
        <v>218</v>
      </c>
      <c r="B231" t="s">
        <v>147</v>
      </c>
      <c r="C231" t="s">
        <v>5</v>
      </c>
    </row>
    <row r="232" spans="1:3" x14ac:dyDescent="0.3">
      <c r="A232">
        <v>219</v>
      </c>
      <c r="B232" t="s">
        <v>125</v>
      </c>
      <c r="C232" t="s">
        <v>50</v>
      </c>
    </row>
    <row r="233" spans="1:3" x14ac:dyDescent="0.3">
      <c r="A233">
        <v>220</v>
      </c>
      <c r="B233" t="s">
        <v>190</v>
      </c>
      <c r="C233" t="s">
        <v>5</v>
      </c>
    </row>
    <row r="234" spans="1:3" x14ac:dyDescent="0.3">
      <c r="A234">
        <v>221</v>
      </c>
      <c r="B234" t="s">
        <v>179</v>
      </c>
      <c r="C234" t="s">
        <v>10</v>
      </c>
    </row>
    <row r="235" spans="1:3" x14ac:dyDescent="0.3">
      <c r="A235">
        <v>222</v>
      </c>
      <c r="B235" t="s">
        <v>141</v>
      </c>
      <c r="C235" t="s">
        <v>50</v>
      </c>
    </row>
    <row r="236" spans="1:3" x14ac:dyDescent="0.3">
      <c r="A236">
        <v>223</v>
      </c>
      <c r="B236" t="s">
        <v>196</v>
      </c>
      <c r="C236" t="s">
        <v>10</v>
      </c>
    </row>
    <row r="237" spans="1:3" x14ac:dyDescent="0.3">
      <c r="A237">
        <v>224</v>
      </c>
      <c r="B237" t="s">
        <v>171</v>
      </c>
      <c r="C237" t="s">
        <v>10</v>
      </c>
    </row>
    <row r="238" spans="1:3" x14ac:dyDescent="0.3">
      <c r="A238">
        <v>225</v>
      </c>
      <c r="B238" t="s">
        <v>155</v>
      </c>
      <c r="C238" t="s">
        <v>10</v>
      </c>
    </row>
    <row r="239" spans="1:3" x14ac:dyDescent="0.3">
      <c r="A239">
        <v>226</v>
      </c>
      <c r="B239" t="s">
        <v>199</v>
      </c>
      <c r="C239" t="s">
        <v>152</v>
      </c>
    </row>
    <row r="240" spans="1:3" x14ac:dyDescent="0.3">
      <c r="A240">
        <v>227</v>
      </c>
      <c r="B240" t="s">
        <v>584</v>
      </c>
      <c r="C240" t="s">
        <v>45</v>
      </c>
    </row>
    <row r="241" spans="1:3" x14ac:dyDescent="0.3">
      <c r="A241">
        <v>228</v>
      </c>
      <c r="B241" t="s">
        <v>180</v>
      </c>
      <c r="C241" t="s">
        <v>5</v>
      </c>
    </row>
    <row r="242" spans="1:3" x14ac:dyDescent="0.3">
      <c r="A242">
        <v>229</v>
      </c>
      <c r="B242" t="s">
        <v>209</v>
      </c>
      <c r="C242" t="s">
        <v>5</v>
      </c>
    </row>
    <row r="243" spans="1:3" x14ac:dyDescent="0.3">
      <c r="A243">
        <v>230</v>
      </c>
      <c r="B243" t="s">
        <v>172</v>
      </c>
      <c r="C243" t="s">
        <v>5</v>
      </c>
    </row>
    <row r="244" spans="1:3" x14ac:dyDescent="0.3">
      <c r="A244">
        <v>231</v>
      </c>
      <c r="B244" t="s">
        <v>251</v>
      </c>
      <c r="C244" t="s">
        <v>45</v>
      </c>
    </row>
    <row r="245" spans="1:3" x14ac:dyDescent="0.3">
      <c r="A245">
        <v>232</v>
      </c>
      <c r="B245" t="s">
        <v>206</v>
      </c>
      <c r="C245" t="s">
        <v>5</v>
      </c>
    </row>
    <row r="246" spans="1:3" x14ac:dyDescent="0.3">
      <c r="A246">
        <v>233</v>
      </c>
      <c r="B246" t="s">
        <v>124</v>
      </c>
      <c r="C246" t="s">
        <v>10</v>
      </c>
    </row>
    <row r="247" spans="1:3" x14ac:dyDescent="0.3">
      <c r="A247">
        <v>234</v>
      </c>
      <c r="B247" t="s">
        <v>170</v>
      </c>
      <c r="C247" t="s">
        <v>10</v>
      </c>
    </row>
    <row r="248" spans="1:3" x14ac:dyDescent="0.3">
      <c r="A248">
        <v>235</v>
      </c>
      <c r="B248" t="s">
        <v>256</v>
      </c>
      <c r="C248" t="s">
        <v>50</v>
      </c>
    </row>
    <row r="249" spans="1:3" x14ac:dyDescent="0.3">
      <c r="A249">
        <v>236</v>
      </c>
      <c r="B249" t="s">
        <v>569</v>
      </c>
      <c r="C249" t="s">
        <v>50</v>
      </c>
    </row>
    <row r="250" spans="1:3" x14ac:dyDescent="0.3">
      <c r="A250">
        <v>237</v>
      </c>
      <c r="B250" t="s">
        <v>188</v>
      </c>
      <c r="C250" t="s">
        <v>5</v>
      </c>
    </row>
    <row r="251" spans="1:3" x14ac:dyDescent="0.3">
      <c r="A251">
        <v>238</v>
      </c>
      <c r="B251" t="s">
        <v>637</v>
      </c>
      <c r="C251" t="s">
        <v>50</v>
      </c>
    </row>
    <row r="252" spans="1:3" x14ac:dyDescent="0.3">
      <c r="A252">
        <v>239</v>
      </c>
      <c r="B252" t="s">
        <v>549</v>
      </c>
      <c r="C252" t="s">
        <v>50</v>
      </c>
    </row>
    <row r="253" spans="1:3" x14ac:dyDescent="0.3">
      <c r="A253">
        <v>240</v>
      </c>
      <c r="B253" t="s">
        <v>239</v>
      </c>
      <c r="C253" t="s">
        <v>45</v>
      </c>
    </row>
    <row r="254" spans="1:3" x14ac:dyDescent="0.3">
      <c r="A254">
        <v>241</v>
      </c>
      <c r="B254" t="s">
        <v>182</v>
      </c>
      <c r="C254" t="s">
        <v>5</v>
      </c>
    </row>
    <row r="255" spans="1:3" x14ac:dyDescent="0.3">
      <c r="A255">
        <v>242</v>
      </c>
      <c r="B255" t="s">
        <v>551</v>
      </c>
      <c r="C255" t="s">
        <v>50</v>
      </c>
    </row>
    <row r="256" spans="1:3" x14ac:dyDescent="0.3">
      <c r="A256">
        <v>243</v>
      </c>
      <c r="B256" t="s">
        <v>548</v>
      </c>
      <c r="C256" t="s">
        <v>50</v>
      </c>
    </row>
    <row r="257" spans="1:3" x14ac:dyDescent="0.3">
      <c r="A257">
        <v>244</v>
      </c>
      <c r="B257" t="s">
        <v>227</v>
      </c>
      <c r="C257" t="s">
        <v>45</v>
      </c>
    </row>
    <row r="258" spans="1:3" x14ac:dyDescent="0.3">
      <c r="A258">
        <v>245</v>
      </c>
      <c r="B258" t="s">
        <v>305</v>
      </c>
      <c r="C258" t="s">
        <v>50</v>
      </c>
    </row>
    <row r="259" spans="1:3" x14ac:dyDescent="0.3">
      <c r="A259">
        <v>246</v>
      </c>
      <c r="B259" t="s">
        <v>220</v>
      </c>
      <c r="C259" t="s">
        <v>45</v>
      </c>
    </row>
    <row r="260" spans="1:3" x14ac:dyDescent="0.3">
      <c r="A260">
        <v>247</v>
      </c>
      <c r="B260" t="s">
        <v>275</v>
      </c>
      <c r="C260" t="s">
        <v>50</v>
      </c>
    </row>
    <row r="261" spans="1:3" x14ac:dyDescent="0.3">
      <c r="A261">
        <v>248</v>
      </c>
      <c r="B261" t="s">
        <v>160</v>
      </c>
      <c r="C261" t="s">
        <v>10</v>
      </c>
    </row>
    <row r="262" spans="1:3" x14ac:dyDescent="0.3">
      <c r="A262">
        <v>249</v>
      </c>
      <c r="B262" t="s">
        <v>518</v>
      </c>
      <c r="C262" t="s">
        <v>5</v>
      </c>
    </row>
    <row r="263" spans="1:3" x14ac:dyDescent="0.3">
      <c r="A263">
        <v>250</v>
      </c>
      <c r="B263" t="s">
        <v>210</v>
      </c>
      <c r="C263" t="s">
        <v>5</v>
      </c>
    </row>
    <row r="264" spans="1:3" x14ac:dyDescent="0.3">
      <c r="A264">
        <v>251</v>
      </c>
      <c r="B264" t="s">
        <v>302</v>
      </c>
      <c r="C264" t="s">
        <v>50</v>
      </c>
    </row>
    <row r="265" spans="1:3" x14ac:dyDescent="0.3">
      <c r="A265">
        <v>252</v>
      </c>
      <c r="B265" t="s">
        <v>189</v>
      </c>
      <c r="C265" t="s">
        <v>10</v>
      </c>
    </row>
    <row r="266" spans="1:3" x14ac:dyDescent="0.3">
      <c r="A266">
        <v>253</v>
      </c>
      <c r="B266" t="s">
        <v>165</v>
      </c>
      <c r="C266" t="s">
        <v>5</v>
      </c>
    </row>
    <row r="267" spans="1:3" x14ac:dyDescent="0.3">
      <c r="A267">
        <v>254</v>
      </c>
      <c r="B267" t="s">
        <v>178</v>
      </c>
      <c r="C267" t="s">
        <v>10</v>
      </c>
    </row>
    <row r="268" spans="1:3" x14ac:dyDescent="0.3">
      <c r="A268">
        <v>255</v>
      </c>
      <c r="B268" t="s">
        <v>212</v>
      </c>
      <c r="C268" t="s">
        <v>10</v>
      </c>
    </row>
    <row r="269" spans="1:3" x14ac:dyDescent="0.3">
      <c r="A269">
        <v>256</v>
      </c>
      <c r="B269" t="s">
        <v>213</v>
      </c>
      <c r="C269" t="s">
        <v>5</v>
      </c>
    </row>
    <row r="270" spans="1:3" x14ac:dyDescent="0.3">
      <c r="A270">
        <v>257</v>
      </c>
      <c r="B270" t="s">
        <v>216</v>
      </c>
      <c r="C270" t="s">
        <v>50</v>
      </c>
    </row>
    <row r="271" spans="1:3" x14ac:dyDescent="0.3">
      <c r="A271">
        <v>258</v>
      </c>
      <c r="B271" t="s">
        <v>585</v>
      </c>
      <c r="C271" t="s">
        <v>45</v>
      </c>
    </row>
    <row r="272" spans="1:3" x14ac:dyDescent="0.3">
      <c r="A272">
        <v>259</v>
      </c>
      <c r="B272" t="s">
        <v>208</v>
      </c>
      <c r="C272" t="s">
        <v>10</v>
      </c>
    </row>
    <row r="273" spans="1:3" x14ac:dyDescent="0.3">
      <c r="A273">
        <v>260</v>
      </c>
      <c r="B273" t="s">
        <v>272</v>
      </c>
      <c r="C273" t="s">
        <v>45</v>
      </c>
    </row>
    <row r="274" spans="1:3" x14ac:dyDescent="0.3">
      <c r="A274">
        <v>261</v>
      </c>
      <c r="B274" t="s">
        <v>284</v>
      </c>
      <c r="C274" t="s">
        <v>152</v>
      </c>
    </row>
    <row r="275" spans="1:3" x14ac:dyDescent="0.3">
      <c r="A275">
        <v>262</v>
      </c>
      <c r="B275" t="s">
        <v>221</v>
      </c>
      <c r="C275" t="s">
        <v>10</v>
      </c>
    </row>
    <row r="276" spans="1:3" x14ac:dyDescent="0.3">
      <c r="A276">
        <v>263</v>
      </c>
      <c r="B276" s="2" t="s">
        <v>638</v>
      </c>
      <c r="C276" t="s">
        <v>5</v>
      </c>
    </row>
    <row r="277" spans="1:3" x14ac:dyDescent="0.3">
      <c r="A277">
        <v>264</v>
      </c>
      <c r="B277" t="s">
        <v>250</v>
      </c>
      <c r="C277" t="s">
        <v>50</v>
      </c>
    </row>
    <row r="278" spans="1:3" x14ac:dyDescent="0.3">
      <c r="A278">
        <v>265</v>
      </c>
      <c r="B278" t="s">
        <v>266</v>
      </c>
      <c r="C278" t="s">
        <v>45</v>
      </c>
    </row>
    <row r="279" spans="1:3" x14ac:dyDescent="0.3">
      <c r="A279">
        <v>266</v>
      </c>
      <c r="B279" t="s">
        <v>229</v>
      </c>
      <c r="C279" t="s">
        <v>10</v>
      </c>
    </row>
    <row r="280" spans="1:3" x14ac:dyDescent="0.3">
      <c r="A280">
        <v>267</v>
      </c>
      <c r="B280" t="s">
        <v>520</v>
      </c>
      <c r="C280" t="s">
        <v>5</v>
      </c>
    </row>
    <row r="281" spans="1:3" x14ac:dyDescent="0.3">
      <c r="A281">
        <v>268</v>
      </c>
      <c r="B281" s="2" t="s">
        <v>639</v>
      </c>
      <c r="C281" t="s">
        <v>50</v>
      </c>
    </row>
    <row r="282" spans="1:3" x14ac:dyDescent="0.3">
      <c r="A282">
        <v>269</v>
      </c>
      <c r="B282" t="s">
        <v>129</v>
      </c>
      <c r="C282" t="s">
        <v>5</v>
      </c>
    </row>
    <row r="283" spans="1:3" x14ac:dyDescent="0.3">
      <c r="A283">
        <v>270</v>
      </c>
      <c r="B283" t="s">
        <v>235</v>
      </c>
      <c r="C283" t="s">
        <v>50</v>
      </c>
    </row>
    <row r="284" spans="1:3" x14ac:dyDescent="0.3">
      <c r="A284">
        <v>271</v>
      </c>
      <c r="B284" t="s">
        <v>298</v>
      </c>
      <c r="C284" t="s">
        <v>45</v>
      </c>
    </row>
    <row r="285" spans="1:3" x14ac:dyDescent="0.3">
      <c r="A285">
        <v>272</v>
      </c>
      <c r="B285" t="s">
        <v>193</v>
      </c>
      <c r="C285" t="s">
        <v>10</v>
      </c>
    </row>
    <row r="286" spans="1:3" x14ac:dyDescent="0.3">
      <c r="A286">
        <v>273</v>
      </c>
      <c r="B286" t="s">
        <v>191</v>
      </c>
      <c r="C286" t="s">
        <v>5</v>
      </c>
    </row>
    <row r="287" spans="1:3" x14ac:dyDescent="0.3">
      <c r="A287">
        <v>274</v>
      </c>
      <c r="B287" t="s">
        <v>236</v>
      </c>
      <c r="C287" t="s">
        <v>5</v>
      </c>
    </row>
    <row r="288" spans="1:3" x14ac:dyDescent="0.3">
      <c r="A288">
        <v>275</v>
      </c>
      <c r="B288" t="s">
        <v>197</v>
      </c>
      <c r="C288" t="s">
        <v>10</v>
      </c>
    </row>
    <row r="289" spans="1:3" x14ac:dyDescent="0.3">
      <c r="A289">
        <v>276</v>
      </c>
      <c r="B289" t="s">
        <v>225</v>
      </c>
      <c r="C289" t="s">
        <v>5</v>
      </c>
    </row>
    <row r="290" spans="1:3" x14ac:dyDescent="0.3">
      <c r="A290">
        <v>277</v>
      </c>
      <c r="B290" t="s">
        <v>222</v>
      </c>
      <c r="C290" t="s">
        <v>50</v>
      </c>
    </row>
    <row r="291" spans="1:3" x14ac:dyDescent="0.3">
      <c r="A291">
        <v>278</v>
      </c>
      <c r="B291" t="s">
        <v>203</v>
      </c>
      <c r="C291" t="s">
        <v>10</v>
      </c>
    </row>
    <row r="292" spans="1:3" x14ac:dyDescent="0.3">
      <c r="A292">
        <v>279</v>
      </c>
      <c r="B292" t="s">
        <v>154</v>
      </c>
      <c r="C292" t="s">
        <v>5</v>
      </c>
    </row>
    <row r="293" spans="1:3" x14ac:dyDescent="0.3">
      <c r="A293">
        <v>280</v>
      </c>
      <c r="B293" t="s">
        <v>184</v>
      </c>
      <c r="C293" t="s">
        <v>10</v>
      </c>
    </row>
    <row r="294" spans="1:3" x14ac:dyDescent="0.3">
      <c r="A294">
        <v>281</v>
      </c>
      <c r="B294" t="s">
        <v>201</v>
      </c>
      <c r="C294" t="s">
        <v>5</v>
      </c>
    </row>
    <row r="295" spans="1:3" x14ac:dyDescent="0.3">
      <c r="A295">
        <v>282</v>
      </c>
      <c r="B295" t="s">
        <v>237</v>
      </c>
      <c r="C295" t="s">
        <v>152</v>
      </c>
    </row>
    <row r="296" spans="1:3" x14ac:dyDescent="0.3">
      <c r="A296">
        <v>283</v>
      </c>
      <c r="B296" t="s">
        <v>261</v>
      </c>
      <c r="C296" t="s">
        <v>50</v>
      </c>
    </row>
    <row r="297" spans="1:3" x14ac:dyDescent="0.3">
      <c r="A297">
        <v>284</v>
      </c>
      <c r="B297" t="s">
        <v>555</v>
      </c>
      <c r="C297" t="s">
        <v>50</v>
      </c>
    </row>
    <row r="298" spans="1:3" x14ac:dyDescent="0.3">
      <c r="A298">
        <v>285</v>
      </c>
      <c r="B298" t="s">
        <v>246</v>
      </c>
      <c r="C298" t="s">
        <v>10</v>
      </c>
    </row>
    <row r="299" spans="1:3" x14ac:dyDescent="0.3">
      <c r="A299">
        <v>286</v>
      </c>
      <c r="B299" t="s">
        <v>521</v>
      </c>
      <c r="C299" t="s">
        <v>5</v>
      </c>
    </row>
    <row r="300" spans="1:3" x14ac:dyDescent="0.3">
      <c r="A300">
        <v>287</v>
      </c>
      <c r="B300" t="s">
        <v>267</v>
      </c>
      <c r="C300" t="s">
        <v>50</v>
      </c>
    </row>
    <row r="301" spans="1:3" x14ac:dyDescent="0.3">
      <c r="A301">
        <v>288</v>
      </c>
      <c r="B301" t="s">
        <v>192</v>
      </c>
      <c r="C301" t="s">
        <v>45</v>
      </c>
    </row>
    <row r="302" spans="1:3" x14ac:dyDescent="0.3">
      <c r="A302">
        <v>289</v>
      </c>
      <c r="B302" t="s">
        <v>166</v>
      </c>
      <c r="C302" t="s">
        <v>5</v>
      </c>
    </row>
    <row r="303" spans="1:3" x14ac:dyDescent="0.3">
      <c r="A303">
        <v>290</v>
      </c>
      <c r="B303" t="s">
        <v>234</v>
      </c>
      <c r="C303" t="s">
        <v>5</v>
      </c>
    </row>
    <row r="304" spans="1:3" x14ac:dyDescent="0.3">
      <c r="A304">
        <v>291</v>
      </c>
      <c r="B304" t="s">
        <v>232</v>
      </c>
      <c r="C304" t="s">
        <v>10</v>
      </c>
    </row>
    <row r="305" spans="1:3" x14ac:dyDescent="0.3">
      <c r="A305">
        <v>292</v>
      </c>
      <c r="B305" t="s">
        <v>255</v>
      </c>
      <c r="C305" t="s">
        <v>5</v>
      </c>
    </row>
    <row r="306" spans="1:3" x14ac:dyDescent="0.3">
      <c r="A306">
        <v>293</v>
      </c>
      <c r="B306" t="s">
        <v>214</v>
      </c>
      <c r="C306" t="s">
        <v>10</v>
      </c>
    </row>
    <row r="307" spans="1:3" x14ac:dyDescent="0.3">
      <c r="A307">
        <v>294</v>
      </c>
      <c r="B307" t="s">
        <v>187</v>
      </c>
      <c r="C307" t="s">
        <v>50</v>
      </c>
    </row>
    <row r="308" spans="1:3" x14ac:dyDescent="0.3">
      <c r="A308">
        <v>295</v>
      </c>
      <c r="B308" t="s">
        <v>276</v>
      </c>
      <c r="C308" t="s">
        <v>45</v>
      </c>
    </row>
    <row r="309" spans="1:3" x14ac:dyDescent="0.3">
      <c r="A309">
        <v>296</v>
      </c>
      <c r="B309" t="s">
        <v>640</v>
      </c>
      <c r="C309" t="s">
        <v>50</v>
      </c>
    </row>
    <row r="310" spans="1:3" x14ac:dyDescent="0.3">
      <c r="A310">
        <v>297</v>
      </c>
      <c r="B310" t="s">
        <v>230</v>
      </c>
      <c r="C310" t="s">
        <v>152</v>
      </c>
    </row>
    <row r="311" spans="1:3" x14ac:dyDescent="0.3">
      <c r="A311">
        <v>298</v>
      </c>
      <c r="B311" t="s">
        <v>641</v>
      </c>
      <c r="C311" t="s">
        <v>245</v>
      </c>
    </row>
    <row r="312" spans="1:3" x14ac:dyDescent="0.3">
      <c r="A312">
        <v>299</v>
      </c>
      <c r="B312" t="s">
        <v>202</v>
      </c>
      <c r="C312" t="s">
        <v>45</v>
      </c>
    </row>
    <row r="313" spans="1:3" x14ac:dyDescent="0.3">
      <c r="A313">
        <v>300</v>
      </c>
      <c r="B313" t="s">
        <v>260</v>
      </c>
      <c r="C313" t="s">
        <v>10</v>
      </c>
    </row>
    <row r="314" spans="1:3" x14ac:dyDescent="0.3">
      <c r="A314">
        <v>301</v>
      </c>
      <c r="B314" t="s">
        <v>219</v>
      </c>
      <c r="C314" t="s">
        <v>10</v>
      </c>
    </row>
    <row r="315" spans="1:3" x14ac:dyDescent="0.3">
      <c r="A315">
        <v>302</v>
      </c>
      <c r="B315" s="2" t="s">
        <v>642</v>
      </c>
      <c r="C315" t="s">
        <v>5</v>
      </c>
    </row>
    <row r="316" spans="1:3" x14ac:dyDescent="0.3">
      <c r="A316">
        <v>303</v>
      </c>
      <c r="B316" t="s">
        <v>552</v>
      </c>
      <c r="C316" t="s">
        <v>50</v>
      </c>
    </row>
    <row r="317" spans="1:3" x14ac:dyDescent="0.3">
      <c r="A317">
        <v>304</v>
      </c>
      <c r="B317" t="s">
        <v>243</v>
      </c>
      <c r="C317" t="s">
        <v>45</v>
      </c>
    </row>
    <row r="318" spans="1:3" x14ac:dyDescent="0.3">
      <c r="A318">
        <v>305</v>
      </c>
      <c r="B318" t="s">
        <v>223</v>
      </c>
      <c r="C318" t="s">
        <v>50</v>
      </c>
    </row>
    <row r="319" spans="1:3" x14ac:dyDescent="0.3">
      <c r="A319">
        <v>306</v>
      </c>
      <c r="B319" t="s">
        <v>194</v>
      </c>
      <c r="C319" t="s">
        <v>45</v>
      </c>
    </row>
    <row r="320" spans="1:3" x14ac:dyDescent="0.3">
      <c r="A320">
        <v>307</v>
      </c>
      <c r="B320" t="s">
        <v>282</v>
      </c>
      <c r="C320" t="s">
        <v>5</v>
      </c>
    </row>
    <row r="321" spans="1:3" x14ac:dyDescent="0.3">
      <c r="A321">
        <v>308</v>
      </c>
      <c r="B321" t="s">
        <v>253</v>
      </c>
      <c r="C321" t="s">
        <v>50</v>
      </c>
    </row>
    <row r="322" spans="1:3" x14ac:dyDescent="0.3">
      <c r="A322">
        <v>309</v>
      </c>
      <c r="B322" t="s">
        <v>218</v>
      </c>
      <c r="C322" t="s">
        <v>10</v>
      </c>
    </row>
    <row r="323" spans="1:3" x14ac:dyDescent="0.3">
      <c r="A323">
        <v>310</v>
      </c>
      <c r="B323" t="s">
        <v>207</v>
      </c>
      <c r="C323" t="s">
        <v>10</v>
      </c>
    </row>
    <row r="324" spans="1:3" x14ac:dyDescent="0.3">
      <c r="A324">
        <v>311</v>
      </c>
      <c r="B324" t="s">
        <v>162</v>
      </c>
      <c r="C324" t="s">
        <v>10</v>
      </c>
    </row>
    <row r="325" spans="1:3" x14ac:dyDescent="0.3">
      <c r="A325">
        <v>312</v>
      </c>
      <c r="B325" t="s">
        <v>553</v>
      </c>
      <c r="C325" t="s">
        <v>50</v>
      </c>
    </row>
    <row r="326" spans="1:3" x14ac:dyDescent="0.3">
      <c r="A326">
        <v>313</v>
      </c>
      <c r="B326" t="s">
        <v>587</v>
      </c>
      <c r="C326" t="s">
        <v>45</v>
      </c>
    </row>
    <row r="327" spans="1:3" x14ac:dyDescent="0.3">
      <c r="A327">
        <v>314</v>
      </c>
      <c r="B327" t="s">
        <v>312</v>
      </c>
      <c r="C327" t="s">
        <v>50</v>
      </c>
    </row>
    <row r="328" spans="1:3" x14ac:dyDescent="0.3">
      <c r="A328">
        <v>315</v>
      </c>
      <c r="B328" t="s">
        <v>271</v>
      </c>
      <c r="C328" t="s">
        <v>50</v>
      </c>
    </row>
    <row r="329" spans="1:3" x14ac:dyDescent="0.3">
      <c r="A329">
        <v>316</v>
      </c>
      <c r="B329" t="s">
        <v>314</v>
      </c>
      <c r="C329" t="s">
        <v>50</v>
      </c>
    </row>
    <row r="330" spans="1:3" x14ac:dyDescent="0.3">
      <c r="A330">
        <v>317</v>
      </c>
      <c r="B330" t="s">
        <v>231</v>
      </c>
      <c r="C330" t="s">
        <v>10</v>
      </c>
    </row>
    <row r="331" spans="1:3" x14ac:dyDescent="0.3">
      <c r="A331">
        <v>318</v>
      </c>
      <c r="B331" t="s">
        <v>295</v>
      </c>
      <c r="C331" t="s">
        <v>10</v>
      </c>
    </row>
    <row r="332" spans="1:3" x14ac:dyDescent="0.3">
      <c r="A332">
        <v>319</v>
      </c>
      <c r="B332" t="s">
        <v>252</v>
      </c>
      <c r="C332" t="s">
        <v>10</v>
      </c>
    </row>
    <row r="333" spans="1:3" x14ac:dyDescent="0.3">
      <c r="A333">
        <v>320</v>
      </c>
      <c r="B333" t="s">
        <v>311</v>
      </c>
      <c r="C333" t="s">
        <v>10</v>
      </c>
    </row>
    <row r="334" spans="1:3" x14ac:dyDescent="0.3">
      <c r="A334">
        <v>321</v>
      </c>
      <c r="B334" t="s">
        <v>248</v>
      </c>
      <c r="C334" t="s">
        <v>10</v>
      </c>
    </row>
    <row r="335" spans="1:3" x14ac:dyDescent="0.3">
      <c r="A335">
        <v>322</v>
      </c>
      <c r="B335" t="s">
        <v>211</v>
      </c>
      <c r="C335" t="s">
        <v>10</v>
      </c>
    </row>
    <row r="336" spans="1:3" x14ac:dyDescent="0.3">
      <c r="A336">
        <v>323</v>
      </c>
      <c r="B336" t="s">
        <v>290</v>
      </c>
      <c r="C336" t="s">
        <v>45</v>
      </c>
    </row>
    <row r="337" spans="1:3" x14ac:dyDescent="0.3">
      <c r="A337">
        <v>324</v>
      </c>
      <c r="B337" t="s">
        <v>325</v>
      </c>
      <c r="C337" t="s">
        <v>50</v>
      </c>
    </row>
    <row r="338" spans="1:3" x14ac:dyDescent="0.3">
      <c r="A338">
        <v>325</v>
      </c>
      <c r="B338" t="s">
        <v>277</v>
      </c>
      <c r="C338" t="s">
        <v>10</v>
      </c>
    </row>
    <row r="339" spans="1:3" x14ac:dyDescent="0.3">
      <c r="A339">
        <v>326</v>
      </c>
      <c r="B339" t="s">
        <v>240</v>
      </c>
      <c r="C339" t="s">
        <v>5</v>
      </c>
    </row>
    <row r="340" spans="1:3" x14ac:dyDescent="0.3">
      <c r="A340">
        <v>327</v>
      </c>
      <c r="B340" t="s">
        <v>224</v>
      </c>
      <c r="C340" t="s">
        <v>45</v>
      </c>
    </row>
    <row r="341" spans="1:3" x14ac:dyDescent="0.3">
      <c r="A341">
        <v>328</v>
      </c>
      <c r="B341" t="s">
        <v>550</v>
      </c>
      <c r="C341" t="s">
        <v>50</v>
      </c>
    </row>
    <row r="342" spans="1:3" x14ac:dyDescent="0.3">
      <c r="A342">
        <v>329</v>
      </c>
      <c r="B342" t="s">
        <v>643</v>
      </c>
      <c r="C342" t="s">
        <v>50</v>
      </c>
    </row>
    <row r="343" spans="1:3" x14ac:dyDescent="0.3">
      <c r="A343">
        <v>330</v>
      </c>
      <c r="B343" t="s">
        <v>183</v>
      </c>
      <c r="C343" t="s">
        <v>10</v>
      </c>
    </row>
    <row r="344" spans="1:3" x14ac:dyDescent="0.3">
      <c r="A344">
        <v>331</v>
      </c>
      <c r="B344" t="s">
        <v>249</v>
      </c>
      <c r="C344" t="s">
        <v>152</v>
      </c>
    </row>
    <row r="345" spans="1:3" x14ac:dyDescent="0.3">
      <c r="A345">
        <v>332</v>
      </c>
      <c r="B345" t="s">
        <v>204</v>
      </c>
      <c r="C345" t="s">
        <v>10</v>
      </c>
    </row>
    <row r="346" spans="1:3" x14ac:dyDescent="0.3">
      <c r="A346">
        <v>333</v>
      </c>
      <c r="B346" t="s">
        <v>303</v>
      </c>
      <c r="C346" t="s">
        <v>50</v>
      </c>
    </row>
    <row r="347" spans="1:3" x14ac:dyDescent="0.3">
      <c r="A347">
        <v>334</v>
      </c>
      <c r="B347" t="s">
        <v>571</v>
      </c>
      <c r="C347" t="s">
        <v>50</v>
      </c>
    </row>
    <row r="348" spans="1:3" x14ac:dyDescent="0.3">
      <c r="A348">
        <v>335</v>
      </c>
      <c r="B348" t="s">
        <v>242</v>
      </c>
      <c r="C348" t="s">
        <v>10</v>
      </c>
    </row>
    <row r="349" spans="1:3" x14ac:dyDescent="0.3">
      <c r="A349">
        <v>336</v>
      </c>
      <c r="B349" t="s">
        <v>600</v>
      </c>
      <c r="C349" t="s">
        <v>10</v>
      </c>
    </row>
    <row r="350" spans="1:3" x14ac:dyDescent="0.3">
      <c r="A350">
        <v>337</v>
      </c>
      <c r="B350" t="s">
        <v>233</v>
      </c>
      <c r="C350" t="s">
        <v>10</v>
      </c>
    </row>
    <row r="351" spans="1:3" x14ac:dyDescent="0.3">
      <c r="A351">
        <v>338</v>
      </c>
      <c r="B351" t="s">
        <v>310</v>
      </c>
      <c r="C351" t="s">
        <v>50</v>
      </c>
    </row>
    <row r="352" spans="1:3" x14ac:dyDescent="0.3">
      <c r="A352">
        <v>339</v>
      </c>
      <c r="B352" t="s">
        <v>198</v>
      </c>
      <c r="C352" t="s">
        <v>5</v>
      </c>
    </row>
    <row r="353" spans="1:3" x14ac:dyDescent="0.3">
      <c r="A353">
        <v>340</v>
      </c>
      <c r="B353" t="s">
        <v>269</v>
      </c>
      <c r="C353" t="s">
        <v>10</v>
      </c>
    </row>
    <row r="354" spans="1:3" x14ac:dyDescent="0.3">
      <c r="A354">
        <v>341</v>
      </c>
      <c r="B354" t="s">
        <v>268</v>
      </c>
      <c r="C354" t="s">
        <v>45</v>
      </c>
    </row>
    <row r="355" spans="1:3" x14ac:dyDescent="0.3">
      <c r="A355">
        <v>342</v>
      </c>
      <c r="B355" t="s">
        <v>285</v>
      </c>
      <c r="C355" t="s">
        <v>10</v>
      </c>
    </row>
    <row r="356" spans="1:3" x14ac:dyDescent="0.3">
      <c r="A356">
        <v>343</v>
      </c>
      <c r="B356" t="s">
        <v>523</v>
      </c>
      <c r="C356" t="s">
        <v>5</v>
      </c>
    </row>
    <row r="357" spans="1:3" x14ac:dyDescent="0.3">
      <c r="A357">
        <v>344</v>
      </c>
      <c r="B357" t="s">
        <v>265</v>
      </c>
      <c r="C357" t="s">
        <v>45</v>
      </c>
    </row>
    <row r="358" spans="1:3" x14ac:dyDescent="0.3">
      <c r="A358">
        <v>345</v>
      </c>
      <c r="B358" t="s">
        <v>258</v>
      </c>
      <c r="C358" t="s">
        <v>5</v>
      </c>
    </row>
    <row r="359" spans="1:3" x14ac:dyDescent="0.3">
      <c r="A359">
        <v>346</v>
      </c>
      <c r="B359" t="s">
        <v>293</v>
      </c>
      <c r="C359" t="s">
        <v>10</v>
      </c>
    </row>
    <row r="360" spans="1:3" x14ac:dyDescent="0.3">
      <c r="A360">
        <v>347</v>
      </c>
      <c r="B360" t="s">
        <v>286</v>
      </c>
      <c r="C360" t="s">
        <v>10</v>
      </c>
    </row>
    <row r="361" spans="1:3" x14ac:dyDescent="0.3">
      <c r="A361">
        <v>348</v>
      </c>
      <c r="B361" t="s">
        <v>270</v>
      </c>
      <c r="C361" t="s">
        <v>152</v>
      </c>
    </row>
    <row r="362" spans="1:3" x14ac:dyDescent="0.3">
      <c r="A362">
        <v>349</v>
      </c>
      <c r="B362" t="s">
        <v>340</v>
      </c>
      <c r="C362" t="s">
        <v>45</v>
      </c>
    </row>
    <row r="363" spans="1:3" x14ac:dyDescent="0.3">
      <c r="A363">
        <v>350</v>
      </c>
      <c r="B363" t="s">
        <v>228</v>
      </c>
      <c r="C363" t="s">
        <v>10</v>
      </c>
    </row>
    <row r="364" spans="1:3" x14ac:dyDescent="0.3">
      <c r="A364">
        <v>351</v>
      </c>
      <c r="B364" t="s">
        <v>247</v>
      </c>
      <c r="C364" t="s">
        <v>5</v>
      </c>
    </row>
    <row r="365" spans="1:3" x14ac:dyDescent="0.3">
      <c r="A365">
        <v>352</v>
      </c>
      <c r="B365" t="s">
        <v>322</v>
      </c>
      <c r="C365" t="s">
        <v>45</v>
      </c>
    </row>
    <row r="366" spans="1:3" x14ac:dyDescent="0.3">
      <c r="A366">
        <v>353</v>
      </c>
      <c r="B366" t="s">
        <v>588</v>
      </c>
      <c r="C366" t="s">
        <v>45</v>
      </c>
    </row>
    <row r="367" spans="1:3" x14ac:dyDescent="0.3">
      <c r="A367">
        <v>354</v>
      </c>
      <c r="B367" t="s">
        <v>287</v>
      </c>
      <c r="C367" t="s">
        <v>45</v>
      </c>
    </row>
    <row r="368" spans="1:3" x14ac:dyDescent="0.3">
      <c r="A368">
        <v>355</v>
      </c>
      <c r="B368" t="s">
        <v>306</v>
      </c>
      <c r="C368" t="s">
        <v>5</v>
      </c>
    </row>
    <row r="369" spans="1:3" x14ac:dyDescent="0.3">
      <c r="A369">
        <v>356</v>
      </c>
      <c r="B369" t="s">
        <v>586</v>
      </c>
      <c r="C369" t="s">
        <v>45</v>
      </c>
    </row>
    <row r="370" spans="1:3" x14ac:dyDescent="0.3">
      <c r="A370">
        <v>357</v>
      </c>
      <c r="B370" t="s">
        <v>355</v>
      </c>
      <c r="C370" t="s">
        <v>245</v>
      </c>
    </row>
    <row r="371" spans="1:3" x14ac:dyDescent="0.3">
      <c r="A371">
        <v>358</v>
      </c>
      <c r="B371" t="s">
        <v>292</v>
      </c>
      <c r="C371" t="s">
        <v>5</v>
      </c>
    </row>
    <row r="372" spans="1:3" x14ac:dyDescent="0.3">
      <c r="A372">
        <v>359</v>
      </c>
      <c r="B372" t="s">
        <v>347</v>
      </c>
      <c r="C372" t="s">
        <v>245</v>
      </c>
    </row>
    <row r="373" spans="1:3" x14ac:dyDescent="0.3">
      <c r="A373">
        <v>360</v>
      </c>
      <c r="B373" t="s">
        <v>534</v>
      </c>
      <c r="C373" t="s">
        <v>5</v>
      </c>
    </row>
    <row r="374" spans="1:3" x14ac:dyDescent="0.3">
      <c r="A374">
        <v>361</v>
      </c>
      <c r="B374" t="s">
        <v>330</v>
      </c>
      <c r="C374" t="s">
        <v>50</v>
      </c>
    </row>
    <row r="375" spans="1:3" x14ac:dyDescent="0.3">
      <c r="A375">
        <v>362</v>
      </c>
      <c r="B375" t="s">
        <v>583</v>
      </c>
      <c r="C375" t="s">
        <v>45</v>
      </c>
    </row>
    <row r="376" spans="1:3" x14ac:dyDescent="0.3">
      <c r="A376">
        <v>363</v>
      </c>
      <c r="B376" t="s">
        <v>288</v>
      </c>
      <c r="C376" t="s">
        <v>152</v>
      </c>
    </row>
    <row r="377" spans="1:3" x14ac:dyDescent="0.3">
      <c r="A377">
        <v>364</v>
      </c>
      <c r="B377" t="s">
        <v>263</v>
      </c>
      <c r="C377" t="s">
        <v>264</v>
      </c>
    </row>
    <row r="378" spans="1:3" x14ac:dyDescent="0.3">
      <c r="A378">
        <v>365</v>
      </c>
      <c r="B378" t="s">
        <v>601</v>
      </c>
      <c r="C378" t="s">
        <v>10</v>
      </c>
    </row>
    <row r="379" spans="1:3" x14ac:dyDescent="0.3">
      <c r="A379">
        <v>366</v>
      </c>
      <c r="B379" s="2" t="s">
        <v>644</v>
      </c>
      <c r="C379" t="s">
        <v>50</v>
      </c>
    </row>
    <row r="380" spans="1:3" x14ac:dyDescent="0.3">
      <c r="A380">
        <v>367</v>
      </c>
      <c r="B380" t="s">
        <v>274</v>
      </c>
      <c r="C380" t="s">
        <v>10</v>
      </c>
    </row>
    <row r="381" spans="1:3" x14ac:dyDescent="0.3">
      <c r="A381">
        <v>368</v>
      </c>
      <c r="B381" t="s">
        <v>564</v>
      </c>
      <c r="C381" t="s">
        <v>50</v>
      </c>
    </row>
    <row r="382" spans="1:3" x14ac:dyDescent="0.3">
      <c r="A382">
        <v>369</v>
      </c>
      <c r="B382" t="s">
        <v>356</v>
      </c>
      <c r="C382" t="s">
        <v>45</v>
      </c>
    </row>
    <row r="383" spans="1:3" x14ac:dyDescent="0.3">
      <c r="A383">
        <v>370</v>
      </c>
      <c r="B383" t="s">
        <v>254</v>
      </c>
      <c r="C383" t="s">
        <v>5</v>
      </c>
    </row>
    <row r="384" spans="1:3" x14ac:dyDescent="0.3">
      <c r="A384">
        <v>371</v>
      </c>
      <c r="B384" t="s">
        <v>351</v>
      </c>
      <c r="C384" t="s">
        <v>45</v>
      </c>
    </row>
    <row r="385" spans="1:3" x14ac:dyDescent="0.3">
      <c r="A385">
        <v>372</v>
      </c>
      <c r="B385" t="s">
        <v>289</v>
      </c>
      <c r="C385" t="s">
        <v>50</v>
      </c>
    </row>
    <row r="386" spans="1:3" x14ac:dyDescent="0.3">
      <c r="A386">
        <v>373</v>
      </c>
      <c r="B386" t="s">
        <v>572</v>
      </c>
      <c r="C386" t="s">
        <v>50</v>
      </c>
    </row>
    <row r="387" spans="1:3" x14ac:dyDescent="0.3">
      <c r="A387">
        <v>374</v>
      </c>
      <c r="B387" t="s">
        <v>283</v>
      </c>
      <c r="C387" t="s">
        <v>10</v>
      </c>
    </row>
    <row r="388" spans="1:3" x14ac:dyDescent="0.3">
      <c r="A388">
        <v>375</v>
      </c>
      <c r="B388" t="s">
        <v>296</v>
      </c>
      <c r="C388" t="s">
        <v>10</v>
      </c>
    </row>
    <row r="389" spans="1:3" x14ac:dyDescent="0.3">
      <c r="A389">
        <v>376</v>
      </c>
      <c r="B389" t="s">
        <v>570</v>
      </c>
      <c r="C389" t="s">
        <v>50</v>
      </c>
    </row>
    <row r="390" spans="1:3" x14ac:dyDescent="0.3">
      <c r="A390">
        <v>377</v>
      </c>
      <c r="B390" t="s">
        <v>342</v>
      </c>
      <c r="C390" t="s">
        <v>45</v>
      </c>
    </row>
    <row r="391" spans="1:3" x14ac:dyDescent="0.3">
      <c r="A391">
        <v>378</v>
      </c>
      <c r="B391" t="s">
        <v>328</v>
      </c>
      <c r="C391" t="s">
        <v>5</v>
      </c>
    </row>
    <row r="392" spans="1:3" x14ac:dyDescent="0.3">
      <c r="A392">
        <v>379</v>
      </c>
      <c r="B392" t="s">
        <v>535</v>
      </c>
      <c r="C392" t="s">
        <v>5</v>
      </c>
    </row>
    <row r="393" spans="1:3" x14ac:dyDescent="0.3">
      <c r="A393">
        <v>380</v>
      </c>
      <c r="B393" t="s">
        <v>366</v>
      </c>
      <c r="C393" t="s">
        <v>45</v>
      </c>
    </row>
    <row r="394" spans="1:3" x14ac:dyDescent="0.3">
      <c r="A394">
        <v>381</v>
      </c>
      <c r="B394" t="s">
        <v>645</v>
      </c>
      <c r="C394" t="s">
        <v>10</v>
      </c>
    </row>
    <row r="395" spans="1:3" x14ac:dyDescent="0.3">
      <c r="A395">
        <v>382</v>
      </c>
      <c r="B395" t="s">
        <v>300</v>
      </c>
      <c r="C395" t="s">
        <v>10</v>
      </c>
    </row>
    <row r="396" spans="1:3" x14ac:dyDescent="0.3">
      <c r="A396">
        <v>383</v>
      </c>
      <c r="B396" s="2" t="s">
        <v>646</v>
      </c>
      <c r="C396" t="s">
        <v>50</v>
      </c>
    </row>
    <row r="397" spans="1:3" x14ac:dyDescent="0.3">
      <c r="A397">
        <v>384</v>
      </c>
      <c r="B397" t="s">
        <v>321</v>
      </c>
      <c r="C397" t="s">
        <v>45</v>
      </c>
    </row>
    <row r="398" spans="1:3" x14ac:dyDescent="0.3">
      <c r="A398">
        <v>385</v>
      </c>
      <c r="B398" t="s">
        <v>262</v>
      </c>
      <c r="C398" t="s">
        <v>152</v>
      </c>
    </row>
    <row r="399" spans="1:3" x14ac:dyDescent="0.3">
      <c r="A399">
        <v>386</v>
      </c>
      <c r="B399" t="s">
        <v>533</v>
      </c>
      <c r="C399" t="s">
        <v>5</v>
      </c>
    </row>
    <row r="400" spans="1:3" x14ac:dyDescent="0.3">
      <c r="A400">
        <v>387</v>
      </c>
      <c r="B400" t="s">
        <v>335</v>
      </c>
      <c r="C400" t="s">
        <v>45</v>
      </c>
    </row>
    <row r="401" spans="1:3" x14ac:dyDescent="0.3">
      <c r="A401">
        <v>388</v>
      </c>
      <c r="B401" t="s">
        <v>294</v>
      </c>
      <c r="C401" t="s">
        <v>152</v>
      </c>
    </row>
    <row r="402" spans="1:3" x14ac:dyDescent="0.3">
      <c r="A402">
        <v>389</v>
      </c>
      <c r="B402" t="s">
        <v>590</v>
      </c>
      <c r="C402" t="s">
        <v>45</v>
      </c>
    </row>
    <row r="403" spans="1:3" x14ac:dyDescent="0.3">
      <c r="A403">
        <v>390</v>
      </c>
      <c r="B403" t="s">
        <v>647</v>
      </c>
      <c r="C403" t="s">
        <v>245</v>
      </c>
    </row>
    <row r="404" spans="1:3" x14ac:dyDescent="0.3">
      <c r="A404">
        <v>391</v>
      </c>
      <c r="B404" t="s">
        <v>338</v>
      </c>
      <c r="C404" t="s">
        <v>10</v>
      </c>
    </row>
    <row r="405" spans="1:3" x14ac:dyDescent="0.3">
      <c r="A405">
        <v>392</v>
      </c>
      <c r="B405" t="s">
        <v>575</v>
      </c>
      <c r="C405" t="s">
        <v>5</v>
      </c>
    </row>
    <row r="406" spans="1:3" x14ac:dyDescent="0.3">
      <c r="A406">
        <v>393</v>
      </c>
      <c r="B406" t="s">
        <v>304</v>
      </c>
      <c r="C406" t="s">
        <v>5</v>
      </c>
    </row>
    <row r="407" spans="1:3" x14ac:dyDescent="0.3">
      <c r="A407">
        <v>394</v>
      </c>
      <c r="B407" t="s">
        <v>307</v>
      </c>
      <c r="C407" t="s">
        <v>10</v>
      </c>
    </row>
    <row r="408" spans="1:3" x14ac:dyDescent="0.3">
      <c r="A408">
        <v>395</v>
      </c>
      <c r="B408" t="s">
        <v>336</v>
      </c>
      <c r="C408" t="s">
        <v>50</v>
      </c>
    </row>
    <row r="409" spans="1:3" x14ac:dyDescent="0.3">
      <c r="A409">
        <v>396</v>
      </c>
      <c r="B409" t="s">
        <v>522</v>
      </c>
      <c r="C409" t="s">
        <v>5</v>
      </c>
    </row>
    <row r="410" spans="1:3" x14ac:dyDescent="0.3">
      <c r="A410">
        <v>397</v>
      </c>
      <c r="B410" t="s">
        <v>301</v>
      </c>
      <c r="C410" t="s">
        <v>10</v>
      </c>
    </row>
    <row r="411" spans="1:3" x14ac:dyDescent="0.3">
      <c r="A411">
        <v>398</v>
      </c>
      <c r="B411" t="s">
        <v>281</v>
      </c>
      <c r="C411" t="s">
        <v>5</v>
      </c>
    </row>
    <row r="412" spans="1:3" x14ac:dyDescent="0.3">
      <c r="A412">
        <v>399</v>
      </c>
      <c r="B412" t="s">
        <v>318</v>
      </c>
      <c r="C412" t="s">
        <v>152</v>
      </c>
    </row>
    <row r="413" spans="1:3" x14ac:dyDescent="0.3">
      <c r="A413">
        <v>400</v>
      </c>
      <c r="B413" t="s">
        <v>313</v>
      </c>
      <c r="C413" t="s">
        <v>50</v>
      </c>
    </row>
    <row r="414" spans="1:3" x14ac:dyDescent="0.3">
      <c r="A414">
        <v>401</v>
      </c>
      <c r="B414" t="s">
        <v>344</v>
      </c>
      <c r="C414" t="s">
        <v>5</v>
      </c>
    </row>
    <row r="415" spans="1:3" x14ac:dyDescent="0.3">
      <c r="A415">
        <v>402</v>
      </c>
      <c r="B415" t="s">
        <v>536</v>
      </c>
      <c r="C415" t="s">
        <v>5</v>
      </c>
    </row>
    <row r="416" spans="1:3" x14ac:dyDescent="0.3">
      <c r="A416">
        <v>403</v>
      </c>
      <c r="B416" t="s">
        <v>369</v>
      </c>
      <c r="C416" t="s">
        <v>50</v>
      </c>
    </row>
    <row r="417" spans="1:3" x14ac:dyDescent="0.3">
      <c r="A417">
        <v>404</v>
      </c>
      <c r="B417" t="s">
        <v>319</v>
      </c>
      <c r="C417" t="s">
        <v>5</v>
      </c>
    </row>
    <row r="418" spans="1:3" x14ac:dyDescent="0.3">
      <c r="A418">
        <v>405</v>
      </c>
      <c r="B418" t="s">
        <v>554</v>
      </c>
      <c r="C418" t="s">
        <v>50</v>
      </c>
    </row>
    <row r="419" spans="1:3" x14ac:dyDescent="0.3">
      <c r="A419">
        <v>406</v>
      </c>
      <c r="B419" t="s">
        <v>299</v>
      </c>
      <c r="C419" t="s">
        <v>10</v>
      </c>
    </row>
    <row r="420" spans="1:3" x14ac:dyDescent="0.3">
      <c r="A420">
        <v>407</v>
      </c>
      <c r="B420" t="s">
        <v>308</v>
      </c>
      <c r="C420" t="s">
        <v>152</v>
      </c>
    </row>
    <row r="421" spans="1:3" x14ac:dyDescent="0.3">
      <c r="A421">
        <v>408</v>
      </c>
      <c r="B421" t="s">
        <v>334</v>
      </c>
      <c r="C421" t="s">
        <v>10</v>
      </c>
    </row>
    <row r="422" spans="1:3" x14ac:dyDescent="0.3">
      <c r="A422">
        <v>409</v>
      </c>
      <c r="B422" t="s">
        <v>345</v>
      </c>
      <c r="C422" t="s">
        <v>152</v>
      </c>
    </row>
    <row r="423" spans="1:3" x14ac:dyDescent="0.3">
      <c r="A423">
        <v>410</v>
      </c>
      <c r="B423" t="s">
        <v>317</v>
      </c>
      <c r="C423" t="s">
        <v>10</v>
      </c>
    </row>
    <row r="424" spans="1:3" x14ac:dyDescent="0.3">
      <c r="A424">
        <v>411</v>
      </c>
      <c r="B424" t="s">
        <v>349</v>
      </c>
      <c r="C424" t="s">
        <v>50</v>
      </c>
    </row>
    <row r="425" spans="1:3" x14ac:dyDescent="0.3">
      <c r="A425">
        <v>412</v>
      </c>
      <c r="B425" t="s">
        <v>341</v>
      </c>
      <c r="C425" t="s">
        <v>5</v>
      </c>
    </row>
    <row r="426" spans="1:3" x14ac:dyDescent="0.3">
      <c r="A426">
        <v>413</v>
      </c>
      <c r="B426" t="s">
        <v>343</v>
      </c>
      <c r="C426" t="s">
        <v>45</v>
      </c>
    </row>
    <row r="427" spans="1:3" x14ac:dyDescent="0.3">
      <c r="A427">
        <v>414</v>
      </c>
      <c r="B427" t="s">
        <v>382</v>
      </c>
      <c r="C427" t="s">
        <v>245</v>
      </c>
    </row>
    <row r="428" spans="1:3" x14ac:dyDescent="0.3">
      <c r="A428">
        <v>415</v>
      </c>
      <c r="B428" t="s">
        <v>400</v>
      </c>
      <c r="C428" t="s">
        <v>45</v>
      </c>
    </row>
    <row r="429" spans="1:3" x14ac:dyDescent="0.3">
      <c r="A429">
        <v>416</v>
      </c>
      <c r="B429" t="s">
        <v>563</v>
      </c>
      <c r="C429" t="s">
        <v>50</v>
      </c>
    </row>
    <row r="430" spans="1:3" x14ac:dyDescent="0.3">
      <c r="A430">
        <v>417</v>
      </c>
      <c r="B430" t="s">
        <v>602</v>
      </c>
      <c r="C430" t="s">
        <v>10</v>
      </c>
    </row>
    <row r="431" spans="1:3" x14ac:dyDescent="0.3">
      <c r="A431">
        <v>418</v>
      </c>
      <c r="B431" t="s">
        <v>320</v>
      </c>
      <c r="C431" t="s">
        <v>10</v>
      </c>
    </row>
    <row r="432" spans="1:3" x14ac:dyDescent="0.3">
      <c r="A432">
        <v>419</v>
      </c>
      <c r="B432" t="s">
        <v>421</v>
      </c>
      <c r="C432" t="s">
        <v>245</v>
      </c>
    </row>
    <row r="433" spans="1:3" x14ac:dyDescent="0.3">
      <c r="A433">
        <v>420</v>
      </c>
      <c r="B433" t="s">
        <v>333</v>
      </c>
      <c r="C433" t="s">
        <v>5</v>
      </c>
    </row>
    <row r="434" spans="1:3" x14ac:dyDescent="0.3">
      <c r="A434">
        <v>421</v>
      </c>
      <c r="B434" t="s">
        <v>297</v>
      </c>
      <c r="C434" t="s">
        <v>5</v>
      </c>
    </row>
    <row r="435" spans="1:3" x14ac:dyDescent="0.3">
      <c r="A435">
        <v>422</v>
      </c>
      <c r="B435" t="s">
        <v>556</v>
      </c>
      <c r="C435" t="s">
        <v>50</v>
      </c>
    </row>
    <row r="436" spans="1:3" x14ac:dyDescent="0.3">
      <c r="A436">
        <v>423</v>
      </c>
      <c r="B436" t="s">
        <v>353</v>
      </c>
      <c r="C436" t="s">
        <v>45</v>
      </c>
    </row>
    <row r="437" spans="1:3" x14ac:dyDescent="0.3">
      <c r="A437">
        <v>424</v>
      </c>
      <c r="B437" t="s">
        <v>327</v>
      </c>
      <c r="C437" t="s">
        <v>152</v>
      </c>
    </row>
    <row r="438" spans="1:3" x14ac:dyDescent="0.3">
      <c r="A438">
        <v>425</v>
      </c>
      <c r="B438" t="s">
        <v>560</v>
      </c>
      <c r="C438" t="s">
        <v>50</v>
      </c>
    </row>
    <row r="439" spans="1:3" x14ac:dyDescent="0.3">
      <c r="A439">
        <v>426</v>
      </c>
      <c r="B439" t="s">
        <v>329</v>
      </c>
      <c r="C439" t="s">
        <v>50</v>
      </c>
    </row>
    <row r="440" spans="1:3" x14ac:dyDescent="0.3">
      <c r="A440">
        <v>427</v>
      </c>
      <c r="B440" t="s">
        <v>385</v>
      </c>
      <c r="C440" t="s">
        <v>45</v>
      </c>
    </row>
    <row r="441" spans="1:3" x14ac:dyDescent="0.3">
      <c r="A441">
        <v>428</v>
      </c>
      <c r="B441" t="s">
        <v>538</v>
      </c>
      <c r="C441" t="s">
        <v>5</v>
      </c>
    </row>
    <row r="442" spans="1:3" x14ac:dyDescent="0.3">
      <c r="A442">
        <v>429</v>
      </c>
      <c r="B442" t="s">
        <v>365</v>
      </c>
      <c r="C442" t="s">
        <v>45</v>
      </c>
    </row>
    <row r="443" spans="1:3" x14ac:dyDescent="0.3">
      <c r="A443">
        <v>430</v>
      </c>
      <c r="B443" t="s">
        <v>339</v>
      </c>
      <c r="C443" t="s">
        <v>10</v>
      </c>
    </row>
    <row r="444" spans="1:3" x14ac:dyDescent="0.3">
      <c r="A444">
        <v>431</v>
      </c>
      <c r="B444" t="s">
        <v>566</v>
      </c>
      <c r="C444" t="s">
        <v>50</v>
      </c>
    </row>
    <row r="445" spans="1:3" x14ac:dyDescent="0.3">
      <c r="A445">
        <v>432</v>
      </c>
      <c r="B445" t="s">
        <v>557</v>
      </c>
      <c r="C445" t="s">
        <v>50</v>
      </c>
    </row>
    <row r="446" spans="1:3" x14ac:dyDescent="0.3">
      <c r="A446">
        <v>433</v>
      </c>
      <c r="B446" t="s">
        <v>591</v>
      </c>
      <c r="C446" t="s">
        <v>45</v>
      </c>
    </row>
    <row r="447" spans="1:3" x14ac:dyDescent="0.3">
      <c r="A447">
        <v>434</v>
      </c>
      <c r="B447" t="s">
        <v>215</v>
      </c>
      <c r="C447" t="s">
        <v>10</v>
      </c>
    </row>
    <row r="448" spans="1:3" x14ac:dyDescent="0.3">
      <c r="A448">
        <v>435</v>
      </c>
      <c r="B448" t="s">
        <v>331</v>
      </c>
      <c r="C448" t="s">
        <v>152</v>
      </c>
    </row>
    <row r="449" spans="1:3" x14ac:dyDescent="0.3">
      <c r="A449">
        <v>436</v>
      </c>
      <c r="B449" t="s">
        <v>589</v>
      </c>
      <c r="C449" t="s">
        <v>45</v>
      </c>
    </row>
    <row r="450" spans="1:3" x14ac:dyDescent="0.3">
      <c r="A450">
        <v>437</v>
      </c>
      <c r="B450" t="s">
        <v>373</v>
      </c>
      <c r="C450" t="s">
        <v>10</v>
      </c>
    </row>
    <row r="451" spans="1:3" x14ac:dyDescent="0.3">
      <c r="A451">
        <v>438</v>
      </c>
      <c r="B451" t="s">
        <v>346</v>
      </c>
      <c r="C451" t="s">
        <v>152</v>
      </c>
    </row>
    <row r="452" spans="1:3" x14ac:dyDescent="0.3">
      <c r="A452">
        <v>439</v>
      </c>
      <c r="B452" t="s">
        <v>363</v>
      </c>
      <c r="C452" t="s">
        <v>50</v>
      </c>
    </row>
    <row r="453" spans="1:3" x14ac:dyDescent="0.3">
      <c r="A453">
        <v>440</v>
      </c>
      <c r="B453" t="s">
        <v>323</v>
      </c>
      <c r="C453" t="s">
        <v>5</v>
      </c>
    </row>
    <row r="454" spans="1:3" x14ac:dyDescent="0.3">
      <c r="A454">
        <v>441</v>
      </c>
      <c r="B454" t="s">
        <v>648</v>
      </c>
      <c r="C454" t="s">
        <v>10</v>
      </c>
    </row>
    <row r="455" spans="1:3" x14ac:dyDescent="0.3">
      <c r="A455">
        <v>442</v>
      </c>
      <c r="B455" t="s">
        <v>257</v>
      </c>
      <c r="C455" t="s">
        <v>152</v>
      </c>
    </row>
    <row r="456" spans="1:3" x14ac:dyDescent="0.3">
      <c r="A456">
        <v>443</v>
      </c>
      <c r="B456" t="s">
        <v>592</v>
      </c>
      <c r="C456" t="s">
        <v>45</v>
      </c>
    </row>
    <row r="457" spans="1:3" x14ac:dyDescent="0.3">
      <c r="A457">
        <v>444</v>
      </c>
      <c r="B457" t="s">
        <v>359</v>
      </c>
      <c r="C457" t="s">
        <v>5</v>
      </c>
    </row>
    <row r="458" spans="1:3" x14ac:dyDescent="0.3">
      <c r="A458">
        <v>445</v>
      </c>
      <c r="B458" t="s">
        <v>428</v>
      </c>
      <c r="C458" t="s">
        <v>45</v>
      </c>
    </row>
    <row r="459" spans="1:3" x14ac:dyDescent="0.3">
      <c r="A459">
        <v>446</v>
      </c>
      <c r="B459" t="s">
        <v>603</v>
      </c>
      <c r="C459" t="s">
        <v>10</v>
      </c>
    </row>
    <row r="460" spans="1:3" x14ac:dyDescent="0.3">
      <c r="A460">
        <v>447</v>
      </c>
      <c r="B460" t="s">
        <v>649</v>
      </c>
      <c r="C460" t="s">
        <v>50</v>
      </c>
    </row>
    <row r="461" spans="1:3" x14ac:dyDescent="0.3">
      <c r="A461">
        <v>448</v>
      </c>
      <c r="B461" t="s">
        <v>280</v>
      </c>
      <c r="C461" t="s">
        <v>10</v>
      </c>
    </row>
    <row r="462" spans="1:3" x14ac:dyDescent="0.3">
      <c r="A462">
        <v>449</v>
      </c>
      <c r="B462" t="s">
        <v>432</v>
      </c>
      <c r="C462" t="s">
        <v>152</v>
      </c>
    </row>
    <row r="463" spans="1:3" x14ac:dyDescent="0.3">
      <c r="A463">
        <v>450</v>
      </c>
      <c r="B463" t="s">
        <v>372</v>
      </c>
      <c r="C463" t="s">
        <v>10</v>
      </c>
    </row>
    <row r="464" spans="1:3" x14ac:dyDescent="0.3">
      <c r="A464">
        <v>451</v>
      </c>
      <c r="B464" t="s">
        <v>360</v>
      </c>
      <c r="C464" t="s">
        <v>152</v>
      </c>
    </row>
    <row r="465" spans="1:3" x14ac:dyDescent="0.3">
      <c r="A465">
        <v>452</v>
      </c>
      <c r="B465" t="s">
        <v>354</v>
      </c>
      <c r="C465" t="s">
        <v>45</v>
      </c>
    </row>
    <row r="466" spans="1:3" x14ac:dyDescent="0.3">
      <c r="A466">
        <v>453</v>
      </c>
      <c r="B466" t="s">
        <v>361</v>
      </c>
      <c r="C466" t="s">
        <v>5</v>
      </c>
    </row>
    <row r="467" spans="1:3" x14ac:dyDescent="0.3">
      <c r="A467">
        <v>454</v>
      </c>
      <c r="B467" t="s">
        <v>315</v>
      </c>
      <c r="C467" t="s">
        <v>10</v>
      </c>
    </row>
    <row r="468" spans="1:3" x14ac:dyDescent="0.3">
      <c r="A468">
        <v>455</v>
      </c>
      <c r="B468" t="s">
        <v>452</v>
      </c>
      <c r="C468" t="s">
        <v>50</v>
      </c>
    </row>
    <row r="469" spans="1:3" x14ac:dyDescent="0.3">
      <c r="A469">
        <v>456</v>
      </c>
      <c r="B469" t="s">
        <v>650</v>
      </c>
      <c r="C469" t="s">
        <v>50</v>
      </c>
    </row>
    <row r="470" spans="1:3" x14ac:dyDescent="0.3">
      <c r="A470">
        <v>457</v>
      </c>
      <c r="B470" t="s">
        <v>291</v>
      </c>
      <c r="C470" t="s">
        <v>5</v>
      </c>
    </row>
    <row r="471" spans="1:3" x14ac:dyDescent="0.3">
      <c r="A471">
        <v>458</v>
      </c>
      <c r="B471" t="s">
        <v>368</v>
      </c>
      <c r="C471" t="s">
        <v>5</v>
      </c>
    </row>
    <row r="472" spans="1:3" x14ac:dyDescent="0.3">
      <c r="A472">
        <v>459</v>
      </c>
      <c r="B472" t="s">
        <v>395</v>
      </c>
      <c r="C472" t="s">
        <v>50</v>
      </c>
    </row>
    <row r="473" spans="1:3" x14ac:dyDescent="0.3">
      <c r="A473">
        <v>460</v>
      </c>
      <c r="B473" t="s">
        <v>350</v>
      </c>
      <c r="C473" t="s">
        <v>10</v>
      </c>
    </row>
    <row r="474" spans="1:3" x14ac:dyDescent="0.3">
      <c r="A474">
        <v>461</v>
      </c>
      <c r="B474" t="s">
        <v>411</v>
      </c>
      <c r="C474" t="s">
        <v>45</v>
      </c>
    </row>
    <row r="475" spans="1:3" x14ac:dyDescent="0.3">
      <c r="A475">
        <v>462</v>
      </c>
      <c r="B475" t="s">
        <v>558</v>
      </c>
      <c r="C475" t="s">
        <v>50</v>
      </c>
    </row>
    <row r="476" spans="1:3" x14ac:dyDescent="0.3">
      <c r="A476">
        <v>463</v>
      </c>
      <c r="B476" t="s">
        <v>362</v>
      </c>
      <c r="C476" t="s">
        <v>10</v>
      </c>
    </row>
    <row r="477" spans="1:3" x14ac:dyDescent="0.3">
      <c r="A477">
        <v>464</v>
      </c>
      <c r="B477" t="s">
        <v>379</v>
      </c>
      <c r="C477" t="s">
        <v>10</v>
      </c>
    </row>
    <row r="478" spans="1:3" x14ac:dyDescent="0.3">
      <c r="A478">
        <v>465</v>
      </c>
      <c r="B478" t="s">
        <v>559</v>
      </c>
      <c r="C478" t="s">
        <v>50</v>
      </c>
    </row>
    <row r="479" spans="1:3" x14ac:dyDescent="0.3">
      <c r="A479">
        <v>466</v>
      </c>
      <c r="B479" t="s">
        <v>443</v>
      </c>
      <c r="C479" t="s">
        <v>152</v>
      </c>
    </row>
    <row r="480" spans="1:3" x14ac:dyDescent="0.3">
      <c r="A480">
        <v>467</v>
      </c>
      <c r="B480" t="s">
        <v>383</v>
      </c>
      <c r="C480" t="s">
        <v>5</v>
      </c>
    </row>
    <row r="481" spans="1:3" x14ac:dyDescent="0.3">
      <c r="A481">
        <v>468</v>
      </c>
      <c r="B481" t="s">
        <v>413</v>
      </c>
      <c r="C481" t="s">
        <v>245</v>
      </c>
    </row>
    <row r="482" spans="1:3" x14ac:dyDescent="0.3">
      <c r="A482">
        <v>469</v>
      </c>
      <c r="B482" t="s">
        <v>393</v>
      </c>
      <c r="C482" t="s">
        <v>50</v>
      </c>
    </row>
    <row r="483" spans="1:3" x14ac:dyDescent="0.3">
      <c r="A483">
        <v>470</v>
      </c>
      <c r="B483" t="s">
        <v>562</v>
      </c>
      <c r="C483" t="s">
        <v>50</v>
      </c>
    </row>
    <row r="484" spans="1:3" x14ac:dyDescent="0.3">
      <c r="A484">
        <v>471</v>
      </c>
      <c r="B484" t="s">
        <v>417</v>
      </c>
      <c r="C484" t="s">
        <v>10</v>
      </c>
    </row>
    <row r="485" spans="1:3" x14ac:dyDescent="0.3">
      <c r="A485">
        <v>472</v>
      </c>
      <c r="B485" t="s">
        <v>426</v>
      </c>
      <c r="C485" t="s">
        <v>50</v>
      </c>
    </row>
    <row r="486" spans="1:3" x14ac:dyDescent="0.3">
      <c r="A486">
        <v>473</v>
      </c>
      <c r="B486" t="s">
        <v>377</v>
      </c>
      <c r="C486" t="s">
        <v>5</v>
      </c>
    </row>
    <row r="487" spans="1:3" x14ac:dyDescent="0.3">
      <c r="A487">
        <v>474</v>
      </c>
      <c r="B487" t="s">
        <v>390</v>
      </c>
      <c r="C487" t="s">
        <v>152</v>
      </c>
    </row>
    <row r="488" spans="1:3" x14ac:dyDescent="0.3">
      <c r="A488">
        <v>475</v>
      </c>
      <c r="B488" t="s">
        <v>561</v>
      </c>
      <c r="C488" t="s">
        <v>50</v>
      </c>
    </row>
    <row r="489" spans="1:3" x14ac:dyDescent="0.3">
      <c r="A489">
        <v>476</v>
      </c>
      <c r="B489" t="s">
        <v>422</v>
      </c>
      <c r="C489" t="s">
        <v>45</v>
      </c>
    </row>
    <row r="490" spans="1:3" x14ac:dyDescent="0.3">
      <c r="A490">
        <v>477</v>
      </c>
      <c r="B490" t="s">
        <v>370</v>
      </c>
      <c r="C490" t="s">
        <v>152</v>
      </c>
    </row>
    <row r="491" spans="1:3" x14ac:dyDescent="0.3">
      <c r="A491">
        <v>478</v>
      </c>
      <c r="B491" t="s">
        <v>337</v>
      </c>
      <c r="C491" t="s">
        <v>5</v>
      </c>
    </row>
    <row r="492" spans="1:3" x14ac:dyDescent="0.3">
      <c r="A492">
        <v>479</v>
      </c>
      <c r="B492" t="s">
        <v>399</v>
      </c>
      <c r="C492" t="s">
        <v>10</v>
      </c>
    </row>
    <row r="493" spans="1:3" x14ac:dyDescent="0.3">
      <c r="A493">
        <v>480</v>
      </c>
      <c r="B493" t="s">
        <v>416</v>
      </c>
      <c r="C493" t="s">
        <v>50</v>
      </c>
    </row>
    <row r="494" spans="1:3" x14ac:dyDescent="0.3">
      <c r="A494">
        <v>481</v>
      </c>
      <c r="B494" s="2" t="s">
        <v>651</v>
      </c>
      <c r="C494" t="s">
        <v>245</v>
      </c>
    </row>
    <row r="495" spans="1:3" x14ac:dyDescent="0.3">
      <c r="A495">
        <v>482</v>
      </c>
      <c r="B495" t="s">
        <v>425</v>
      </c>
      <c r="C495" t="s">
        <v>50</v>
      </c>
    </row>
    <row r="496" spans="1:3" x14ac:dyDescent="0.3">
      <c r="A496">
        <v>483</v>
      </c>
      <c r="B496" t="s">
        <v>410</v>
      </c>
      <c r="C496" t="s">
        <v>45</v>
      </c>
    </row>
    <row r="497" spans="1:3" x14ac:dyDescent="0.3">
      <c r="A497">
        <v>484</v>
      </c>
      <c r="B497" t="s">
        <v>412</v>
      </c>
      <c r="C497" t="s">
        <v>50</v>
      </c>
    </row>
    <row r="498" spans="1:3" x14ac:dyDescent="0.3">
      <c r="A498">
        <v>485</v>
      </c>
      <c r="B498" t="s">
        <v>435</v>
      </c>
      <c r="C498" t="s">
        <v>45</v>
      </c>
    </row>
    <row r="499" spans="1:3" x14ac:dyDescent="0.3">
      <c r="A499">
        <v>486</v>
      </c>
      <c r="B499" t="s">
        <v>593</v>
      </c>
      <c r="C499" t="s">
        <v>45</v>
      </c>
    </row>
    <row r="500" spans="1:3" x14ac:dyDescent="0.3">
      <c r="A500">
        <v>487</v>
      </c>
      <c r="B500" t="s">
        <v>455</v>
      </c>
      <c r="C500" t="s">
        <v>245</v>
      </c>
    </row>
    <row r="501" spans="1:3" x14ac:dyDescent="0.3">
      <c r="A501">
        <v>488</v>
      </c>
      <c r="B501" t="s">
        <v>441</v>
      </c>
      <c r="C501" t="s">
        <v>152</v>
      </c>
    </row>
    <row r="502" spans="1:3" x14ac:dyDescent="0.3">
      <c r="A502">
        <v>489</v>
      </c>
      <c r="B502" t="s">
        <v>358</v>
      </c>
      <c r="C502" t="s">
        <v>45</v>
      </c>
    </row>
    <row r="503" spans="1:3" x14ac:dyDescent="0.3">
      <c r="A503">
        <v>490</v>
      </c>
      <c r="B503" t="s">
        <v>431</v>
      </c>
      <c r="C503" t="s">
        <v>10</v>
      </c>
    </row>
    <row r="504" spans="1:3" x14ac:dyDescent="0.3">
      <c r="A504">
        <v>491</v>
      </c>
      <c r="B504" t="s">
        <v>332</v>
      </c>
      <c r="C504" t="s">
        <v>10</v>
      </c>
    </row>
    <row r="505" spans="1:3" x14ac:dyDescent="0.3">
      <c r="A505">
        <v>492</v>
      </c>
      <c r="B505" t="s">
        <v>381</v>
      </c>
      <c r="C505" t="s">
        <v>152</v>
      </c>
    </row>
    <row r="506" spans="1:3" x14ac:dyDescent="0.3">
      <c r="A506">
        <v>493</v>
      </c>
      <c r="B506" t="s">
        <v>357</v>
      </c>
      <c r="C506" t="s">
        <v>5</v>
      </c>
    </row>
    <row r="507" spans="1:3" x14ac:dyDescent="0.3">
      <c r="A507">
        <v>494</v>
      </c>
      <c r="B507" t="s">
        <v>326</v>
      </c>
      <c r="C507" t="s">
        <v>5</v>
      </c>
    </row>
    <row r="508" spans="1:3" x14ac:dyDescent="0.3">
      <c r="A508">
        <v>495</v>
      </c>
      <c r="B508" t="s">
        <v>652</v>
      </c>
      <c r="C508" t="s">
        <v>264</v>
      </c>
    </row>
    <row r="509" spans="1:3" x14ac:dyDescent="0.3">
      <c r="A509">
        <v>496</v>
      </c>
      <c r="B509" t="s">
        <v>578</v>
      </c>
      <c r="C509" t="s">
        <v>5</v>
      </c>
    </row>
    <row r="510" spans="1:3" x14ac:dyDescent="0.3">
      <c r="A510">
        <v>497</v>
      </c>
      <c r="B510" t="s">
        <v>380</v>
      </c>
      <c r="C510" t="s">
        <v>152</v>
      </c>
    </row>
    <row r="511" spans="1:3" x14ac:dyDescent="0.3">
      <c r="A511">
        <v>498</v>
      </c>
      <c r="B511" t="s">
        <v>595</v>
      </c>
      <c r="C511" t="s">
        <v>45</v>
      </c>
    </row>
    <row r="512" spans="1:3" x14ac:dyDescent="0.3">
      <c r="A512">
        <v>499</v>
      </c>
      <c r="B512" t="s">
        <v>397</v>
      </c>
      <c r="C512" t="s">
        <v>152</v>
      </c>
    </row>
    <row r="513" spans="1:3" x14ac:dyDescent="0.3">
      <c r="A513">
        <v>500</v>
      </c>
      <c r="B513" t="s">
        <v>465</v>
      </c>
      <c r="C513" t="s">
        <v>245</v>
      </c>
    </row>
    <row r="514" spans="1:3" x14ac:dyDescent="0.3">
      <c r="A514">
        <v>501</v>
      </c>
      <c r="B514" t="s">
        <v>653</v>
      </c>
      <c r="C514" t="s">
        <v>245</v>
      </c>
    </row>
    <row r="515" spans="1:3" x14ac:dyDescent="0.3">
      <c r="A515">
        <v>502</v>
      </c>
      <c r="B515" t="s">
        <v>654</v>
      </c>
      <c r="C515" t="s">
        <v>152</v>
      </c>
    </row>
    <row r="516" spans="1:3" x14ac:dyDescent="0.3">
      <c r="A516">
        <v>503</v>
      </c>
      <c r="B516" t="s">
        <v>688</v>
      </c>
      <c r="C516" t="s">
        <v>264</v>
      </c>
    </row>
    <row r="517" spans="1:3" x14ac:dyDescent="0.3">
      <c r="A517">
        <v>504</v>
      </c>
      <c r="B517" t="s">
        <v>384</v>
      </c>
      <c r="C517" t="s">
        <v>152</v>
      </c>
    </row>
    <row r="518" spans="1:3" x14ac:dyDescent="0.3">
      <c r="A518">
        <v>505</v>
      </c>
      <c r="B518" t="s">
        <v>658</v>
      </c>
      <c r="C518" t="s">
        <v>45</v>
      </c>
    </row>
    <row r="519" spans="1:3" x14ac:dyDescent="0.3">
      <c r="A519">
        <v>506</v>
      </c>
      <c r="B519" t="s">
        <v>659</v>
      </c>
      <c r="C519" t="s">
        <v>152</v>
      </c>
    </row>
    <row r="520" spans="1:3" x14ac:dyDescent="0.3">
      <c r="A520">
        <v>507</v>
      </c>
      <c r="B520" t="s">
        <v>449</v>
      </c>
      <c r="C520" t="s">
        <v>50</v>
      </c>
    </row>
    <row r="521" spans="1:3" x14ac:dyDescent="0.3">
      <c r="A521">
        <v>508</v>
      </c>
      <c r="B521" t="s">
        <v>418</v>
      </c>
      <c r="C521" t="s">
        <v>50</v>
      </c>
    </row>
    <row r="522" spans="1:3" x14ac:dyDescent="0.3">
      <c r="A522">
        <v>509</v>
      </c>
      <c r="B522" t="s">
        <v>481</v>
      </c>
      <c r="C522" t="s">
        <v>10</v>
      </c>
    </row>
    <row r="523" spans="1:3" x14ac:dyDescent="0.3">
      <c r="A523">
        <v>510</v>
      </c>
      <c r="B523" t="s">
        <v>482</v>
      </c>
      <c r="C523" t="s">
        <v>45</v>
      </c>
    </row>
    <row r="524" spans="1:3" x14ac:dyDescent="0.3">
      <c r="A524">
        <v>511</v>
      </c>
      <c r="B524" t="s">
        <v>401</v>
      </c>
      <c r="C524" t="s">
        <v>50</v>
      </c>
    </row>
    <row r="525" spans="1:3" x14ac:dyDescent="0.3">
      <c r="A525">
        <v>512</v>
      </c>
      <c r="B525" t="s">
        <v>604</v>
      </c>
      <c r="C525" t="s">
        <v>10</v>
      </c>
    </row>
    <row r="526" spans="1:3" x14ac:dyDescent="0.3">
      <c r="A526">
        <v>513</v>
      </c>
      <c r="B526" t="s">
        <v>442</v>
      </c>
      <c r="C526" t="s">
        <v>45</v>
      </c>
    </row>
    <row r="527" spans="1:3" x14ac:dyDescent="0.3">
      <c r="A527">
        <v>514</v>
      </c>
      <c r="B527" t="s">
        <v>463</v>
      </c>
      <c r="C527" t="s">
        <v>45</v>
      </c>
    </row>
    <row r="528" spans="1:3" x14ac:dyDescent="0.3">
      <c r="A528">
        <v>515</v>
      </c>
      <c r="B528" t="s">
        <v>388</v>
      </c>
      <c r="C528" t="s">
        <v>5</v>
      </c>
    </row>
    <row r="529" spans="1:3" x14ac:dyDescent="0.3">
      <c r="A529">
        <v>516</v>
      </c>
      <c r="B529" t="s">
        <v>660</v>
      </c>
      <c r="C529" t="s">
        <v>50</v>
      </c>
    </row>
    <row r="530" spans="1:3" x14ac:dyDescent="0.3">
      <c r="A530">
        <v>517</v>
      </c>
      <c r="B530" t="s">
        <v>486</v>
      </c>
      <c r="C530" t="s">
        <v>50</v>
      </c>
    </row>
    <row r="531" spans="1:3" x14ac:dyDescent="0.3">
      <c r="A531">
        <v>518</v>
      </c>
      <c r="B531" t="s">
        <v>430</v>
      </c>
      <c r="C531" t="s">
        <v>45</v>
      </c>
    </row>
    <row r="532" spans="1:3" x14ac:dyDescent="0.3">
      <c r="A532">
        <v>519</v>
      </c>
      <c r="B532" t="s">
        <v>392</v>
      </c>
      <c r="C532" t="s">
        <v>50</v>
      </c>
    </row>
    <row r="533" spans="1:3" x14ac:dyDescent="0.3">
      <c r="A533">
        <v>520</v>
      </c>
      <c r="B533" t="s">
        <v>429</v>
      </c>
      <c r="C533" t="s">
        <v>10</v>
      </c>
    </row>
    <row r="534" spans="1:3" x14ac:dyDescent="0.3">
      <c r="A534">
        <v>521</v>
      </c>
      <c r="B534" t="s">
        <v>348</v>
      </c>
      <c r="C534" t="s">
        <v>10</v>
      </c>
    </row>
    <row r="535" spans="1:3" x14ac:dyDescent="0.3">
      <c r="A535">
        <v>522</v>
      </c>
      <c r="B535" t="s">
        <v>472</v>
      </c>
      <c r="C535" t="s">
        <v>50</v>
      </c>
    </row>
    <row r="536" spans="1:3" x14ac:dyDescent="0.3">
      <c r="A536">
        <v>523</v>
      </c>
      <c r="B536" t="s">
        <v>661</v>
      </c>
      <c r="C536" t="s">
        <v>662</v>
      </c>
    </row>
    <row r="537" spans="1:3" x14ac:dyDescent="0.3">
      <c r="A537">
        <v>524</v>
      </c>
      <c r="B537" t="s">
        <v>398</v>
      </c>
      <c r="C537" t="s">
        <v>10</v>
      </c>
    </row>
    <row r="538" spans="1:3" x14ac:dyDescent="0.3">
      <c r="A538">
        <v>525</v>
      </c>
      <c r="B538" t="s">
        <v>663</v>
      </c>
      <c r="C538" t="s">
        <v>264</v>
      </c>
    </row>
    <row r="539" spans="1:3" x14ac:dyDescent="0.3">
      <c r="A539">
        <v>526</v>
      </c>
      <c r="B539" t="s">
        <v>364</v>
      </c>
      <c r="C539" t="s">
        <v>10</v>
      </c>
    </row>
    <row r="540" spans="1:3" x14ac:dyDescent="0.3">
      <c r="A540">
        <v>527</v>
      </c>
      <c r="B540" t="s">
        <v>461</v>
      </c>
      <c r="C540" t="s">
        <v>10</v>
      </c>
    </row>
    <row r="541" spans="1:3" x14ac:dyDescent="0.3">
      <c r="A541">
        <v>528</v>
      </c>
      <c r="B541" t="s">
        <v>376</v>
      </c>
      <c r="C541" t="s">
        <v>45</v>
      </c>
    </row>
    <row r="542" spans="1:3" x14ac:dyDescent="0.3">
      <c r="A542">
        <v>529</v>
      </c>
      <c r="B542" t="s">
        <v>664</v>
      </c>
      <c r="C542" t="s">
        <v>10</v>
      </c>
    </row>
    <row r="543" spans="1:3" x14ac:dyDescent="0.3">
      <c r="A543">
        <v>530</v>
      </c>
      <c r="B543" t="s">
        <v>470</v>
      </c>
      <c r="C543" t="s">
        <v>50</v>
      </c>
    </row>
    <row r="544" spans="1:3" x14ac:dyDescent="0.3">
      <c r="A544">
        <v>531</v>
      </c>
      <c r="B544" t="s">
        <v>574</v>
      </c>
      <c r="C544" t="s">
        <v>50</v>
      </c>
    </row>
    <row r="545" spans="1:3" x14ac:dyDescent="0.3">
      <c r="A545">
        <v>532</v>
      </c>
      <c r="B545" t="s">
        <v>367</v>
      </c>
      <c r="C545" t="s">
        <v>5</v>
      </c>
    </row>
    <row r="546" spans="1:3" x14ac:dyDescent="0.3">
      <c r="A546">
        <v>533</v>
      </c>
      <c r="B546" t="s">
        <v>324</v>
      </c>
      <c r="C546" t="s">
        <v>10</v>
      </c>
    </row>
    <row r="547" spans="1:3" x14ac:dyDescent="0.3">
      <c r="A547">
        <v>534</v>
      </c>
      <c r="B547" t="s">
        <v>389</v>
      </c>
      <c r="C547" t="s">
        <v>5</v>
      </c>
    </row>
    <row r="548" spans="1:3" x14ac:dyDescent="0.3">
      <c r="A548">
        <v>535</v>
      </c>
      <c r="B548" t="s">
        <v>391</v>
      </c>
      <c r="C548" t="s">
        <v>50</v>
      </c>
    </row>
    <row r="549" spans="1:3" x14ac:dyDescent="0.3">
      <c r="A549">
        <v>536</v>
      </c>
      <c r="B549" t="s">
        <v>665</v>
      </c>
      <c r="C549" t="s">
        <v>45</v>
      </c>
    </row>
    <row r="550" spans="1:3" x14ac:dyDescent="0.3">
      <c r="A550">
        <v>537</v>
      </c>
      <c r="B550" t="s">
        <v>444</v>
      </c>
      <c r="C550" t="s">
        <v>5</v>
      </c>
    </row>
    <row r="551" spans="1:3" x14ac:dyDescent="0.3">
      <c r="A551">
        <v>538</v>
      </c>
      <c r="B551" t="s">
        <v>460</v>
      </c>
      <c r="C551" t="s">
        <v>152</v>
      </c>
    </row>
    <row r="552" spans="1:3" x14ac:dyDescent="0.3">
      <c r="A552">
        <v>539</v>
      </c>
      <c r="B552" t="s">
        <v>474</v>
      </c>
      <c r="C552" t="s">
        <v>45</v>
      </c>
    </row>
    <row r="553" spans="1:3" x14ac:dyDescent="0.3">
      <c r="A553">
        <v>540</v>
      </c>
      <c r="B553" t="s">
        <v>567</v>
      </c>
      <c r="C553" t="s">
        <v>50</v>
      </c>
    </row>
    <row r="554" spans="1:3" x14ac:dyDescent="0.3">
      <c r="A554">
        <v>541</v>
      </c>
      <c r="B554" t="s">
        <v>446</v>
      </c>
      <c r="C554" t="s">
        <v>50</v>
      </c>
    </row>
    <row r="555" spans="1:3" x14ac:dyDescent="0.3">
      <c r="A555">
        <v>542</v>
      </c>
      <c r="B555" t="s">
        <v>394</v>
      </c>
      <c r="C555" t="s">
        <v>5</v>
      </c>
    </row>
    <row r="556" spans="1:3" x14ac:dyDescent="0.3">
      <c r="A556">
        <v>543</v>
      </c>
      <c r="B556" t="s">
        <v>666</v>
      </c>
      <c r="C556" t="s">
        <v>45</v>
      </c>
    </row>
    <row r="557" spans="1:3" x14ac:dyDescent="0.3">
      <c r="A557">
        <v>544</v>
      </c>
      <c r="B557" t="s">
        <v>407</v>
      </c>
      <c r="C557" t="s">
        <v>10</v>
      </c>
    </row>
    <row r="558" spans="1:3" x14ac:dyDescent="0.3">
      <c r="A558">
        <v>545</v>
      </c>
      <c r="B558" t="s">
        <v>689</v>
      </c>
      <c r="C558" t="s">
        <v>264</v>
      </c>
    </row>
    <row r="559" spans="1:3" x14ac:dyDescent="0.3">
      <c r="A559">
        <v>546</v>
      </c>
      <c r="B559" t="s">
        <v>596</v>
      </c>
      <c r="C559" t="s">
        <v>45</v>
      </c>
    </row>
    <row r="560" spans="1:3" x14ac:dyDescent="0.3">
      <c r="A560">
        <v>547</v>
      </c>
      <c r="B560" t="s">
        <v>667</v>
      </c>
      <c r="C560" t="s">
        <v>152</v>
      </c>
    </row>
    <row r="561" spans="1:3" x14ac:dyDescent="0.3">
      <c r="A561">
        <v>548</v>
      </c>
      <c r="B561" t="s">
        <v>577</v>
      </c>
      <c r="C561" t="s">
        <v>5</v>
      </c>
    </row>
    <row r="562" spans="1:3" x14ac:dyDescent="0.3">
      <c r="A562">
        <v>549</v>
      </c>
      <c r="B562" t="s">
        <v>403</v>
      </c>
      <c r="C562" t="s">
        <v>10</v>
      </c>
    </row>
    <row r="563" spans="1:3" x14ac:dyDescent="0.3">
      <c r="A563">
        <v>550</v>
      </c>
      <c r="B563" t="s">
        <v>479</v>
      </c>
      <c r="C563" t="s">
        <v>152</v>
      </c>
    </row>
    <row r="564" spans="1:3" x14ac:dyDescent="0.3">
      <c r="A564">
        <v>551</v>
      </c>
      <c r="B564" t="s">
        <v>457</v>
      </c>
      <c r="C564" t="s">
        <v>50</v>
      </c>
    </row>
    <row r="565" spans="1:3" x14ac:dyDescent="0.3">
      <c r="A565">
        <v>552</v>
      </c>
      <c r="B565" t="s">
        <v>668</v>
      </c>
      <c r="C565" t="s">
        <v>152</v>
      </c>
    </row>
    <row r="566" spans="1:3" x14ac:dyDescent="0.3">
      <c r="A566">
        <v>553</v>
      </c>
      <c r="B566" t="s">
        <v>414</v>
      </c>
      <c r="C566" t="s">
        <v>50</v>
      </c>
    </row>
    <row r="567" spans="1:3" x14ac:dyDescent="0.3">
      <c r="A567">
        <v>554</v>
      </c>
      <c r="B567" t="s">
        <v>489</v>
      </c>
      <c r="C567" t="s">
        <v>152</v>
      </c>
    </row>
    <row r="568" spans="1:3" x14ac:dyDescent="0.3">
      <c r="A568">
        <v>555</v>
      </c>
      <c r="B568" t="s">
        <v>669</v>
      </c>
      <c r="C568" t="s">
        <v>245</v>
      </c>
    </row>
    <row r="569" spans="1:3" x14ac:dyDescent="0.3">
      <c r="A569">
        <v>556</v>
      </c>
      <c r="B569" t="s">
        <v>691</v>
      </c>
      <c r="C569" t="s">
        <v>45</v>
      </c>
    </row>
    <row r="570" spans="1:3" x14ac:dyDescent="0.3">
      <c r="A570">
        <v>557</v>
      </c>
      <c r="B570" t="s">
        <v>480</v>
      </c>
      <c r="C570" t="s">
        <v>45</v>
      </c>
    </row>
    <row r="571" spans="1:3" x14ac:dyDescent="0.3">
      <c r="A571">
        <v>558</v>
      </c>
      <c r="B571" s="2" t="s">
        <v>670</v>
      </c>
      <c r="C571" t="s">
        <v>50</v>
      </c>
    </row>
    <row r="572" spans="1:3" x14ac:dyDescent="0.3">
      <c r="A572">
        <v>559</v>
      </c>
      <c r="B572" t="s">
        <v>671</v>
      </c>
      <c r="C572" t="s">
        <v>245</v>
      </c>
    </row>
    <row r="573" spans="1:3" x14ac:dyDescent="0.3">
      <c r="A573">
        <v>560</v>
      </c>
      <c r="B573" t="s">
        <v>406</v>
      </c>
      <c r="C573" t="s">
        <v>10</v>
      </c>
    </row>
    <row r="574" spans="1:3" x14ac:dyDescent="0.3">
      <c r="A574">
        <v>561</v>
      </c>
      <c r="B574" t="s">
        <v>672</v>
      </c>
      <c r="C574" t="s">
        <v>45</v>
      </c>
    </row>
    <row r="575" spans="1:3" x14ac:dyDescent="0.3">
      <c r="A575">
        <v>562</v>
      </c>
      <c r="B575" t="s">
        <v>469</v>
      </c>
      <c r="C575" t="s">
        <v>10</v>
      </c>
    </row>
    <row r="576" spans="1:3" x14ac:dyDescent="0.3">
      <c r="A576">
        <v>563</v>
      </c>
      <c r="B576" t="s">
        <v>477</v>
      </c>
      <c r="C576" t="s">
        <v>45</v>
      </c>
    </row>
    <row r="577" spans="1:3" x14ac:dyDescent="0.3">
      <c r="A577">
        <v>564</v>
      </c>
      <c r="B577" t="s">
        <v>440</v>
      </c>
      <c r="C577" t="s">
        <v>45</v>
      </c>
    </row>
    <row r="578" spans="1:3" x14ac:dyDescent="0.3">
      <c r="A578">
        <v>565</v>
      </c>
      <c r="B578" t="s">
        <v>673</v>
      </c>
      <c r="C578" t="s">
        <v>50</v>
      </c>
    </row>
    <row r="579" spans="1:3" x14ac:dyDescent="0.3">
      <c r="A579">
        <v>566</v>
      </c>
      <c r="B579" t="s">
        <v>594</v>
      </c>
      <c r="C579" t="s">
        <v>45</v>
      </c>
    </row>
    <row r="580" spans="1:3" x14ac:dyDescent="0.3">
      <c r="A580">
        <v>567</v>
      </c>
      <c r="B580" t="s">
        <v>674</v>
      </c>
      <c r="C580" t="s">
        <v>50</v>
      </c>
    </row>
    <row r="581" spans="1:3" x14ac:dyDescent="0.3">
      <c r="A581">
        <v>568</v>
      </c>
      <c r="B581" t="s">
        <v>467</v>
      </c>
      <c r="C581" t="s">
        <v>45</v>
      </c>
    </row>
    <row r="582" spans="1:3" x14ac:dyDescent="0.3">
      <c r="A582">
        <v>569</v>
      </c>
      <c r="B582" t="s">
        <v>675</v>
      </c>
      <c r="C582" t="s">
        <v>245</v>
      </c>
    </row>
    <row r="583" spans="1:3" x14ac:dyDescent="0.3">
      <c r="A583">
        <v>570</v>
      </c>
      <c r="B583" t="s">
        <v>371</v>
      </c>
      <c r="C583" t="s">
        <v>10</v>
      </c>
    </row>
    <row r="584" spans="1:3" x14ac:dyDescent="0.3">
      <c r="A584">
        <v>571</v>
      </c>
      <c r="B584" t="s">
        <v>676</v>
      </c>
      <c r="C584" t="s">
        <v>10</v>
      </c>
    </row>
    <row r="585" spans="1:3" x14ac:dyDescent="0.3">
      <c r="A585">
        <v>572</v>
      </c>
      <c r="B585" t="s">
        <v>677</v>
      </c>
      <c r="C585" t="s">
        <v>45</v>
      </c>
    </row>
    <row r="586" spans="1:3" x14ac:dyDescent="0.3">
      <c r="A586">
        <v>573</v>
      </c>
      <c r="B586" t="s">
        <v>576</v>
      </c>
      <c r="C586" t="s">
        <v>5</v>
      </c>
    </row>
    <row r="587" spans="1:3" x14ac:dyDescent="0.3">
      <c r="A587">
        <v>574</v>
      </c>
      <c r="B587" t="s">
        <v>478</v>
      </c>
      <c r="C587" t="s">
        <v>152</v>
      </c>
    </row>
    <row r="588" spans="1:3" x14ac:dyDescent="0.3">
      <c r="A588">
        <v>575</v>
      </c>
      <c r="B588" t="s">
        <v>451</v>
      </c>
      <c r="C588" t="s">
        <v>264</v>
      </c>
    </row>
    <row r="589" spans="1:3" x14ac:dyDescent="0.3">
      <c r="A589">
        <v>576</v>
      </c>
      <c r="B589" t="s">
        <v>459</v>
      </c>
      <c r="C589" t="s">
        <v>50</v>
      </c>
    </row>
    <row r="590" spans="1:3" x14ac:dyDescent="0.3">
      <c r="A590">
        <v>577</v>
      </c>
      <c r="B590" t="s">
        <v>424</v>
      </c>
      <c r="C590" t="s">
        <v>152</v>
      </c>
    </row>
    <row r="591" spans="1:3" x14ac:dyDescent="0.3">
      <c r="A591">
        <v>578</v>
      </c>
      <c r="B591" t="s">
        <v>405</v>
      </c>
      <c r="C591" t="s">
        <v>10</v>
      </c>
    </row>
    <row r="592" spans="1:3" x14ac:dyDescent="0.3">
      <c r="A592">
        <v>579</v>
      </c>
      <c r="B592" t="s">
        <v>678</v>
      </c>
      <c r="C592" t="s">
        <v>50</v>
      </c>
    </row>
    <row r="593" spans="1:3" x14ac:dyDescent="0.3">
      <c r="A593">
        <v>580</v>
      </c>
      <c r="B593" t="s">
        <v>679</v>
      </c>
      <c r="C593" t="s">
        <v>245</v>
      </c>
    </row>
    <row r="594" spans="1:3" x14ac:dyDescent="0.3">
      <c r="A594">
        <v>581</v>
      </c>
      <c r="B594" t="s">
        <v>423</v>
      </c>
      <c r="C594" t="s">
        <v>5</v>
      </c>
    </row>
    <row r="595" spans="1:3" x14ac:dyDescent="0.3">
      <c r="A595">
        <v>582</v>
      </c>
      <c r="B595" t="s">
        <v>680</v>
      </c>
      <c r="C595" t="s">
        <v>50</v>
      </c>
    </row>
    <row r="596" spans="1:3" x14ac:dyDescent="0.3">
      <c r="A596">
        <v>583</v>
      </c>
      <c r="B596" t="s">
        <v>427</v>
      </c>
      <c r="C596" t="s">
        <v>10</v>
      </c>
    </row>
    <row r="597" spans="1:3" x14ac:dyDescent="0.3">
      <c r="A597">
        <v>584</v>
      </c>
      <c r="B597" t="s">
        <v>404</v>
      </c>
      <c r="C597" t="s">
        <v>10</v>
      </c>
    </row>
    <row r="598" spans="1:3" x14ac:dyDescent="0.3">
      <c r="A598">
        <v>585</v>
      </c>
      <c r="B598" t="s">
        <v>438</v>
      </c>
      <c r="C598" t="s">
        <v>10</v>
      </c>
    </row>
    <row r="599" spans="1:3" x14ac:dyDescent="0.3">
      <c r="A599">
        <v>586</v>
      </c>
      <c r="B599" t="s">
        <v>464</v>
      </c>
      <c r="C599" t="s">
        <v>152</v>
      </c>
    </row>
    <row r="600" spans="1:3" x14ac:dyDescent="0.3">
      <c r="A600">
        <v>587</v>
      </c>
      <c r="B600" t="s">
        <v>324</v>
      </c>
      <c r="C600" t="s">
        <v>45</v>
      </c>
    </row>
    <row r="601" spans="1:3" x14ac:dyDescent="0.3">
      <c r="A601">
        <v>588</v>
      </c>
      <c r="B601" t="s">
        <v>436</v>
      </c>
      <c r="C601" t="s">
        <v>10</v>
      </c>
    </row>
    <row r="602" spans="1:3" x14ac:dyDescent="0.3">
      <c r="A602">
        <v>589</v>
      </c>
      <c r="B602" t="s">
        <v>681</v>
      </c>
      <c r="C602" t="s">
        <v>152</v>
      </c>
    </row>
    <row r="603" spans="1:3" x14ac:dyDescent="0.3">
      <c r="A603">
        <v>590</v>
      </c>
      <c r="B603" t="s">
        <v>682</v>
      </c>
      <c r="C603" t="s">
        <v>245</v>
      </c>
    </row>
    <row r="604" spans="1:3" x14ac:dyDescent="0.3">
      <c r="A604">
        <v>591</v>
      </c>
      <c r="B604" t="s">
        <v>683</v>
      </c>
      <c r="C604" t="s">
        <v>50</v>
      </c>
    </row>
    <row r="605" spans="1:3" x14ac:dyDescent="0.3">
      <c r="A605">
        <v>592</v>
      </c>
      <c r="B605" t="s">
        <v>439</v>
      </c>
      <c r="C605" t="s">
        <v>152</v>
      </c>
    </row>
    <row r="606" spans="1:3" x14ac:dyDescent="0.3">
      <c r="A606">
        <v>593</v>
      </c>
      <c r="B606" t="s">
        <v>375</v>
      </c>
      <c r="C606" t="s">
        <v>10</v>
      </c>
    </row>
    <row r="607" spans="1:3" x14ac:dyDescent="0.3">
      <c r="A607">
        <v>594</v>
      </c>
      <c r="B607" t="s">
        <v>684</v>
      </c>
      <c r="C607" t="s">
        <v>45</v>
      </c>
    </row>
    <row r="608" spans="1:3" x14ac:dyDescent="0.3">
      <c r="A608">
        <v>595</v>
      </c>
      <c r="B608" t="s">
        <v>685</v>
      </c>
      <c r="C608" t="s">
        <v>152</v>
      </c>
    </row>
    <row r="609" spans="1:3" x14ac:dyDescent="0.3">
      <c r="A609">
        <v>596</v>
      </c>
      <c r="B609" t="s">
        <v>433</v>
      </c>
      <c r="C609" t="s">
        <v>152</v>
      </c>
    </row>
    <row r="610" spans="1:3" x14ac:dyDescent="0.3">
      <c r="A610">
        <v>597</v>
      </c>
      <c r="B610" t="s">
        <v>453</v>
      </c>
      <c r="C610" t="s">
        <v>152</v>
      </c>
    </row>
    <row r="611" spans="1:3" x14ac:dyDescent="0.3">
      <c r="A611">
        <v>598</v>
      </c>
      <c r="B611" t="s">
        <v>686</v>
      </c>
      <c r="C611" t="s">
        <v>10</v>
      </c>
    </row>
    <row r="612" spans="1:3" x14ac:dyDescent="0.3">
      <c r="A612">
        <v>599</v>
      </c>
      <c r="B612" t="s">
        <v>687</v>
      </c>
      <c r="C612" t="s">
        <v>245</v>
      </c>
    </row>
    <row r="613" spans="1:3" x14ac:dyDescent="0.3">
      <c r="A613">
        <v>600</v>
      </c>
      <c r="B613" t="s">
        <v>402</v>
      </c>
      <c r="C613" t="s">
        <v>10</v>
      </c>
    </row>
  </sheetData>
  <autoFilter ref="A13:C613" xr:uid="{629D928C-8D2A-4407-BB5E-A21456438A4C}"/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7998-B70C-4D98-98FB-4B033CD9D023}">
  <sheetPr filterMode="1"/>
  <dimension ref="A1:H318"/>
  <sheetViews>
    <sheetView topLeftCell="A17" workbookViewId="0">
      <selection activeCell="A141" sqref="A2:A141"/>
    </sheetView>
  </sheetViews>
  <sheetFormatPr defaultRowHeight="16.5" x14ac:dyDescent="0.3"/>
  <cols>
    <col min="1" max="1" width="13" bestFit="1" customWidth="1"/>
  </cols>
  <sheetData>
    <row r="1" spans="1:8" x14ac:dyDescent="0.3">
      <c r="A1" s="6" t="s">
        <v>2</v>
      </c>
      <c r="B1" s="6" t="s">
        <v>3</v>
      </c>
      <c r="C1" s="6" t="s">
        <v>1</v>
      </c>
      <c r="D1" s="6" t="s">
        <v>622</v>
      </c>
      <c r="F1" s="6" t="s">
        <v>3</v>
      </c>
      <c r="G1" s="6" t="s">
        <v>623</v>
      </c>
      <c r="H1" s="6" t="s">
        <v>624</v>
      </c>
    </row>
    <row r="2" spans="1:8" x14ac:dyDescent="0.3">
      <c r="A2" s="5" t="s">
        <v>9</v>
      </c>
      <c r="B2" s="5" t="s">
        <v>10</v>
      </c>
      <c r="C2" s="5">
        <v>6</v>
      </c>
      <c r="D2" s="5">
        <v>1</v>
      </c>
      <c r="F2" s="5" t="s">
        <v>10</v>
      </c>
      <c r="G2" s="5">
        <f>COUNTIF($B$2:$B$318,$F2)</f>
        <v>150</v>
      </c>
      <c r="H2" s="5">
        <f>COUNTIF($B$2:$B$141,$F2)</f>
        <v>79</v>
      </c>
    </row>
    <row r="3" spans="1:8" x14ac:dyDescent="0.3">
      <c r="A3" s="5" t="s">
        <v>607</v>
      </c>
      <c r="B3" s="5" t="s">
        <v>10</v>
      </c>
      <c r="C3" s="5">
        <v>10</v>
      </c>
      <c r="D3" s="5">
        <v>2</v>
      </c>
      <c r="F3" s="5" t="s">
        <v>50</v>
      </c>
      <c r="G3" s="5">
        <f>COUNTIF($B$2:$B$318,$F3)</f>
        <v>117</v>
      </c>
      <c r="H3" s="5">
        <f>COUNTIF($B$2:$B$141,$F3)</f>
        <v>54</v>
      </c>
    </row>
    <row r="4" spans="1:8" x14ac:dyDescent="0.3">
      <c r="A4" s="5" t="s">
        <v>598</v>
      </c>
      <c r="B4" s="5" t="s">
        <v>10</v>
      </c>
      <c r="C4" s="5">
        <v>12</v>
      </c>
      <c r="D4" s="5">
        <v>3</v>
      </c>
      <c r="F4" s="5" t="s">
        <v>152</v>
      </c>
      <c r="G4" s="5">
        <f>COUNTIF($B$2:$B$318,$F4)</f>
        <v>44</v>
      </c>
      <c r="H4" s="5">
        <f>COUNTIF($B$2:$B$141,$F4)</f>
        <v>7</v>
      </c>
    </row>
    <row r="5" spans="1:8" x14ac:dyDescent="0.3">
      <c r="A5" s="5" t="s">
        <v>14</v>
      </c>
      <c r="B5" s="5" t="s">
        <v>10</v>
      </c>
      <c r="C5" s="5">
        <v>14</v>
      </c>
      <c r="D5" s="5">
        <v>4</v>
      </c>
      <c r="E5" t="s">
        <v>700</v>
      </c>
    </row>
    <row r="6" spans="1:8" x14ac:dyDescent="0.3">
      <c r="A6" s="5" t="s">
        <v>21</v>
      </c>
      <c r="B6" s="5" t="s">
        <v>10</v>
      </c>
      <c r="C6" s="5">
        <v>19</v>
      </c>
      <c r="D6" s="5">
        <v>5</v>
      </c>
      <c r="E6" t="s">
        <v>700</v>
      </c>
    </row>
    <row r="7" spans="1:8" x14ac:dyDescent="0.3">
      <c r="A7" s="5" t="s">
        <v>610</v>
      </c>
      <c r="B7" s="5" t="s">
        <v>10</v>
      </c>
      <c r="C7" s="5">
        <v>20</v>
      </c>
      <c r="D7" s="5">
        <v>6</v>
      </c>
    </row>
    <row r="8" spans="1:8" hidden="1" x14ac:dyDescent="0.3">
      <c r="A8" s="5" t="s">
        <v>540</v>
      </c>
      <c r="B8" s="5" t="s">
        <v>50</v>
      </c>
      <c r="C8" s="5">
        <v>23</v>
      </c>
      <c r="D8" s="5">
        <v>7</v>
      </c>
    </row>
    <row r="9" spans="1:8" x14ac:dyDescent="0.3">
      <c r="A9" s="5" t="s">
        <v>26</v>
      </c>
      <c r="B9" s="5" t="s">
        <v>10</v>
      </c>
      <c r="C9" s="5">
        <v>36</v>
      </c>
      <c r="D9" s="5">
        <v>8</v>
      </c>
      <c r="E9" t="s">
        <v>700</v>
      </c>
    </row>
    <row r="10" spans="1:8" hidden="1" x14ac:dyDescent="0.3">
      <c r="A10" s="5" t="s">
        <v>98</v>
      </c>
      <c r="B10" s="5" t="s">
        <v>50</v>
      </c>
      <c r="C10" s="5">
        <v>38</v>
      </c>
      <c r="D10" s="5">
        <v>9</v>
      </c>
    </row>
    <row r="11" spans="1:8" hidden="1" x14ac:dyDescent="0.3">
      <c r="A11" s="5" t="s">
        <v>109</v>
      </c>
      <c r="B11" s="5" t="s">
        <v>50</v>
      </c>
      <c r="C11" s="5">
        <v>40</v>
      </c>
      <c r="D11" s="5">
        <v>10</v>
      </c>
    </row>
    <row r="12" spans="1:8" x14ac:dyDescent="0.3">
      <c r="A12" s="5" t="s">
        <v>38</v>
      </c>
      <c r="B12" s="5" t="s">
        <v>10</v>
      </c>
      <c r="C12" s="5">
        <v>45</v>
      </c>
      <c r="D12" s="5">
        <v>11</v>
      </c>
    </row>
    <row r="13" spans="1:8" x14ac:dyDescent="0.3">
      <c r="A13" s="5" t="s">
        <v>34</v>
      </c>
      <c r="B13" s="5" t="s">
        <v>10</v>
      </c>
      <c r="C13" s="5">
        <v>46</v>
      </c>
      <c r="D13" s="5">
        <v>12</v>
      </c>
    </row>
    <row r="14" spans="1:8" x14ac:dyDescent="0.3">
      <c r="A14" s="5" t="s">
        <v>40</v>
      </c>
      <c r="B14" s="5" t="s">
        <v>10</v>
      </c>
      <c r="C14" s="5">
        <v>53</v>
      </c>
      <c r="D14" s="5">
        <v>13</v>
      </c>
    </row>
    <row r="15" spans="1:8" x14ac:dyDescent="0.3">
      <c r="A15" s="5" t="s">
        <v>36</v>
      </c>
      <c r="B15" s="5" t="s">
        <v>10</v>
      </c>
      <c r="C15" s="5">
        <v>58</v>
      </c>
      <c r="D15" s="5">
        <v>14</v>
      </c>
    </row>
    <row r="16" spans="1:8" x14ac:dyDescent="0.3">
      <c r="A16" s="5" t="s">
        <v>748</v>
      </c>
      <c r="B16" s="5" t="s">
        <v>10</v>
      </c>
      <c r="C16" s="5">
        <v>63</v>
      </c>
      <c r="D16" s="5">
        <v>15</v>
      </c>
    </row>
    <row r="17" spans="1:4" x14ac:dyDescent="0.3">
      <c r="A17" s="5" t="s">
        <v>47</v>
      </c>
      <c r="B17" s="5" t="s">
        <v>10</v>
      </c>
      <c r="C17" s="5">
        <v>71</v>
      </c>
      <c r="D17" s="5">
        <v>16</v>
      </c>
    </row>
    <row r="18" spans="1:4" x14ac:dyDescent="0.3">
      <c r="A18" s="5" t="s">
        <v>41</v>
      </c>
      <c r="B18" s="5" t="s">
        <v>10</v>
      </c>
      <c r="C18" s="5">
        <v>73</v>
      </c>
      <c r="D18" s="5">
        <v>17</v>
      </c>
    </row>
    <row r="19" spans="1:4" x14ac:dyDescent="0.3">
      <c r="A19" s="5" t="s">
        <v>58</v>
      </c>
      <c r="B19" s="5" t="s">
        <v>10</v>
      </c>
      <c r="C19" s="5">
        <v>76</v>
      </c>
      <c r="D19" s="5">
        <v>18</v>
      </c>
    </row>
    <row r="20" spans="1:4" x14ac:dyDescent="0.3">
      <c r="A20" s="5" t="s">
        <v>599</v>
      </c>
      <c r="B20" s="5" t="s">
        <v>10</v>
      </c>
      <c r="C20" s="5">
        <v>77</v>
      </c>
      <c r="D20" s="5">
        <v>19</v>
      </c>
    </row>
    <row r="21" spans="1:4" hidden="1" x14ac:dyDescent="0.3">
      <c r="A21" s="5" t="s">
        <v>103</v>
      </c>
      <c r="B21" s="5" t="s">
        <v>50</v>
      </c>
      <c r="C21" s="5">
        <v>78</v>
      </c>
      <c r="D21" s="5">
        <v>20</v>
      </c>
    </row>
    <row r="22" spans="1:4" hidden="1" x14ac:dyDescent="0.3">
      <c r="A22" s="5" t="s">
        <v>77</v>
      </c>
      <c r="B22" s="5" t="s">
        <v>50</v>
      </c>
      <c r="C22" s="5">
        <v>79</v>
      </c>
      <c r="D22" s="5">
        <v>21</v>
      </c>
    </row>
    <row r="23" spans="1:4" hidden="1" x14ac:dyDescent="0.3">
      <c r="A23" s="5" t="s">
        <v>128</v>
      </c>
      <c r="B23" s="5" t="s">
        <v>50</v>
      </c>
      <c r="C23" s="5">
        <v>80</v>
      </c>
      <c r="D23" s="5">
        <v>22</v>
      </c>
    </row>
    <row r="24" spans="1:4" hidden="1" x14ac:dyDescent="0.3">
      <c r="A24" s="5" t="s">
        <v>568</v>
      </c>
      <c r="B24" s="5" t="s">
        <v>50</v>
      </c>
      <c r="C24" s="5">
        <v>82</v>
      </c>
      <c r="D24" s="5">
        <v>23</v>
      </c>
    </row>
    <row r="25" spans="1:4" x14ac:dyDescent="0.3">
      <c r="A25" s="5" t="s">
        <v>70</v>
      </c>
      <c r="B25" s="5" t="s">
        <v>10</v>
      </c>
      <c r="C25" s="5">
        <v>86</v>
      </c>
      <c r="D25" s="5">
        <v>24</v>
      </c>
    </row>
    <row r="26" spans="1:4" x14ac:dyDescent="0.3">
      <c r="A26" s="5" t="s">
        <v>88</v>
      </c>
      <c r="B26" s="5" t="s">
        <v>10</v>
      </c>
      <c r="C26" s="5">
        <v>88</v>
      </c>
      <c r="D26" s="5">
        <v>25</v>
      </c>
    </row>
    <row r="27" spans="1:4" hidden="1" x14ac:dyDescent="0.3">
      <c r="A27" s="5" t="s">
        <v>72</v>
      </c>
      <c r="B27" s="5" t="s">
        <v>50</v>
      </c>
      <c r="C27" s="5">
        <v>90</v>
      </c>
      <c r="D27" s="5">
        <v>26</v>
      </c>
    </row>
    <row r="28" spans="1:4" x14ac:dyDescent="0.3">
      <c r="A28" s="5" t="s">
        <v>66</v>
      </c>
      <c r="B28" s="5" t="s">
        <v>10</v>
      </c>
      <c r="C28" s="5">
        <v>91</v>
      </c>
      <c r="D28" s="5">
        <v>27</v>
      </c>
    </row>
    <row r="29" spans="1:4" hidden="1" x14ac:dyDescent="0.3">
      <c r="A29" s="5" t="s">
        <v>80</v>
      </c>
      <c r="B29" s="5" t="s">
        <v>50</v>
      </c>
      <c r="C29" s="5">
        <v>92</v>
      </c>
      <c r="D29" s="5">
        <v>28</v>
      </c>
    </row>
    <row r="30" spans="1:4" x14ac:dyDescent="0.3">
      <c r="A30" s="5" t="s">
        <v>48</v>
      </c>
      <c r="B30" s="5" t="s">
        <v>10</v>
      </c>
      <c r="C30" s="5">
        <v>99</v>
      </c>
      <c r="D30" s="5">
        <v>29</v>
      </c>
    </row>
    <row r="31" spans="1:4" x14ac:dyDescent="0.3">
      <c r="A31" s="5" t="s">
        <v>64</v>
      </c>
      <c r="B31" s="5" t="s">
        <v>10</v>
      </c>
      <c r="C31" s="5">
        <v>102</v>
      </c>
      <c r="D31" s="5">
        <v>30</v>
      </c>
    </row>
    <row r="32" spans="1:4" x14ac:dyDescent="0.3">
      <c r="A32" s="5" t="s">
        <v>61</v>
      </c>
      <c r="B32" s="5" t="s">
        <v>10</v>
      </c>
      <c r="C32" s="5">
        <v>109</v>
      </c>
      <c r="D32" s="5">
        <v>31</v>
      </c>
    </row>
    <row r="33" spans="1:4" hidden="1" x14ac:dyDescent="0.3">
      <c r="A33" s="5" t="s">
        <v>143</v>
      </c>
      <c r="B33" s="5" t="s">
        <v>50</v>
      </c>
      <c r="C33" s="5">
        <v>110</v>
      </c>
      <c r="D33" s="5">
        <v>32</v>
      </c>
    </row>
    <row r="34" spans="1:4" hidden="1" x14ac:dyDescent="0.3">
      <c r="A34" s="5" t="s">
        <v>200</v>
      </c>
      <c r="B34" s="5" t="s">
        <v>50</v>
      </c>
      <c r="C34" s="5">
        <v>115</v>
      </c>
      <c r="D34" s="5">
        <v>33</v>
      </c>
    </row>
    <row r="35" spans="1:4" hidden="1" x14ac:dyDescent="0.3">
      <c r="A35" s="5" t="s">
        <v>137</v>
      </c>
      <c r="B35" s="5" t="s">
        <v>50</v>
      </c>
      <c r="C35" s="5">
        <v>121</v>
      </c>
      <c r="D35" s="5">
        <v>34</v>
      </c>
    </row>
    <row r="36" spans="1:4" hidden="1" x14ac:dyDescent="0.3">
      <c r="A36" s="5" t="s">
        <v>633</v>
      </c>
      <c r="B36" s="5" t="s">
        <v>50</v>
      </c>
      <c r="C36" s="5">
        <v>123</v>
      </c>
      <c r="D36" s="5">
        <v>35</v>
      </c>
    </row>
    <row r="37" spans="1:4" hidden="1" x14ac:dyDescent="0.3">
      <c r="A37" s="5" t="s">
        <v>167</v>
      </c>
      <c r="B37" s="5" t="s">
        <v>50</v>
      </c>
      <c r="C37" s="5">
        <v>130</v>
      </c>
      <c r="D37" s="5">
        <v>36</v>
      </c>
    </row>
    <row r="38" spans="1:4" x14ac:dyDescent="0.3">
      <c r="A38" s="5" t="s">
        <v>95</v>
      </c>
      <c r="B38" s="5" t="s">
        <v>10</v>
      </c>
      <c r="C38" s="5">
        <v>132</v>
      </c>
      <c r="D38" s="5">
        <v>37</v>
      </c>
    </row>
    <row r="39" spans="1:4" x14ac:dyDescent="0.3">
      <c r="A39" s="5" t="s">
        <v>110</v>
      </c>
      <c r="B39" s="5" t="s">
        <v>10</v>
      </c>
      <c r="C39" s="5">
        <v>134</v>
      </c>
      <c r="D39" s="5">
        <v>38</v>
      </c>
    </row>
    <row r="40" spans="1:4" hidden="1" x14ac:dyDescent="0.3">
      <c r="A40" s="5" t="s">
        <v>543</v>
      </c>
      <c r="B40" s="5" t="s">
        <v>50</v>
      </c>
      <c r="C40" s="5">
        <v>136</v>
      </c>
      <c r="D40" s="5">
        <v>39</v>
      </c>
    </row>
    <row r="41" spans="1:4" hidden="1" x14ac:dyDescent="0.3">
      <c r="A41" s="5" t="s">
        <v>545</v>
      </c>
      <c r="B41" s="5" t="s">
        <v>50</v>
      </c>
      <c r="C41" s="5">
        <v>137</v>
      </c>
      <c r="D41" s="5">
        <v>40</v>
      </c>
    </row>
    <row r="42" spans="1:4" hidden="1" x14ac:dyDescent="0.3">
      <c r="A42" s="5" t="s">
        <v>175</v>
      </c>
      <c r="B42" s="5" t="s">
        <v>50</v>
      </c>
      <c r="C42" s="5">
        <v>138</v>
      </c>
      <c r="D42" s="5">
        <v>41</v>
      </c>
    </row>
    <row r="43" spans="1:4" hidden="1" x14ac:dyDescent="0.3">
      <c r="A43" s="5" t="s">
        <v>122</v>
      </c>
      <c r="B43" s="5" t="s">
        <v>50</v>
      </c>
      <c r="C43" s="5">
        <v>141</v>
      </c>
      <c r="D43" s="5">
        <v>42</v>
      </c>
    </row>
    <row r="44" spans="1:4" hidden="1" x14ac:dyDescent="0.3">
      <c r="A44" s="5" t="s">
        <v>151</v>
      </c>
      <c r="B44" s="5" t="s">
        <v>152</v>
      </c>
      <c r="C44" s="5">
        <v>142</v>
      </c>
      <c r="D44" s="5">
        <v>43</v>
      </c>
    </row>
    <row r="45" spans="1:4" x14ac:dyDescent="0.3">
      <c r="A45" s="5" t="s">
        <v>168</v>
      </c>
      <c r="B45" s="5" t="s">
        <v>10</v>
      </c>
      <c r="C45" s="5">
        <v>143</v>
      </c>
      <c r="D45" s="5">
        <v>44</v>
      </c>
    </row>
    <row r="46" spans="1:4" x14ac:dyDescent="0.3">
      <c r="A46" s="5" t="s">
        <v>116</v>
      </c>
      <c r="B46" s="5" t="s">
        <v>10</v>
      </c>
      <c r="C46" s="5">
        <v>145</v>
      </c>
      <c r="D46" s="5">
        <v>45</v>
      </c>
    </row>
    <row r="47" spans="1:4" x14ac:dyDescent="0.3">
      <c r="A47" s="5" t="s">
        <v>89</v>
      </c>
      <c r="B47" s="5" t="s">
        <v>10</v>
      </c>
      <c r="C47" s="5">
        <v>146</v>
      </c>
      <c r="D47" s="5">
        <v>46</v>
      </c>
    </row>
    <row r="48" spans="1:4" x14ac:dyDescent="0.3">
      <c r="A48" s="5" t="s">
        <v>100</v>
      </c>
      <c r="B48" s="5" t="s">
        <v>10</v>
      </c>
      <c r="C48" s="5">
        <v>147</v>
      </c>
      <c r="D48" s="5">
        <v>47</v>
      </c>
    </row>
    <row r="49" spans="1:4" x14ac:dyDescent="0.3">
      <c r="A49" s="5" t="s">
        <v>127</v>
      </c>
      <c r="B49" s="5" t="s">
        <v>10</v>
      </c>
      <c r="C49" s="5">
        <v>148</v>
      </c>
      <c r="D49" s="5">
        <v>48</v>
      </c>
    </row>
    <row r="50" spans="1:4" hidden="1" x14ac:dyDescent="0.3">
      <c r="A50" s="5" t="s">
        <v>544</v>
      </c>
      <c r="B50" s="5" t="s">
        <v>50</v>
      </c>
      <c r="C50" s="5">
        <v>149</v>
      </c>
      <c r="D50" s="5">
        <v>49</v>
      </c>
    </row>
    <row r="51" spans="1:4" hidden="1" x14ac:dyDescent="0.3">
      <c r="A51" s="5" t="s">
        <v>174</v>
      </c>
      <c r="B51" s="5" t="s">
        <v>50</v>
      </c>
      <c r="C51" s="5">
        <v>150</v>
      </c>
      <c r="D51" s="5">
        <v>50</v>
      </c>
    </row>
    <row r="52" spans="1:4" x14ac:dyDescent="0.3">
      <c r="A52" s="5" t="s">
        <v>768</v>
      </c>
      <c r="B52" s="5" t="s">
        <v>10</v>
      </c>
      <c r="C52" s="5">
        <v>151</v>
      </c>
      <c r="D52" s="5">
        <v>51</v>
      </c>
    </row>
    <row r="53" spans="1:4" hidden="1" x14ac:dyDescent="0.3">
      <c r="A53" s="5" t="s">
        <v>690</v>
      </c>
      <c r="B53" s="5" t="s">
        <v>50</v>
      </c>
      <c r="C53" s="5">
        <v>152</v>
      </c>
      <c r="D53" s="5">
        <v>52</v>
      </c>
    </row>
    <row r="54" spans="1:4" x14ac:dyDescent="0.3">
      <c r="A54" s="5" t="s">
        <v>762</v>
      </c>
      <c r="B54" s="5" t="s">
        <v>10</v>
      </c>
      <c r="C54" s="5">
        <v>153</v>
      </c>
      <c r="D54" s="5">
        <v>53</v>
      </c>
    </row>
    <row r="55" spans="1:4" x14ac:dyDescent="0.3">
      <c r="A55" s="5" t="s">
        <v>148</v>
      </c>
      <c r="B55" s="5" t="s">
        <v>10</v>
      </c>
      <c r="C55" s="5">
        <v>154</v>
      </c>
      <c r="D55" s="5">
        <v>54</v>
      </c>
    </row>
    <row r="56" spans="1:4" hidden="1" x14ac:dyDescent="0.3">
      <c r="A56" s="5" t="s">
        <v>146</v>
      </c>
      <c r="B56" s="5" t="s">
        <v>50</v>
      </c>
      <c r="C56" s="5">
        <v>156</v>
      </c>
      <c r="D56" s="5">
        <v>55</v>
      </c>
    </row>
    <row r="57" spans="1:4" hidden="1" x14ac:dyDescent="0.3">
      <c r="A57" s="5" t="s">
        <v>226</v>
      </c>
      <c r="B57" s="5" t="s">
        <v>50</v>
      </c>
      <c r="C57" s="5">
        <v>167</v>
      </c>
      <c r="D57" s="5">
        <v>56</v>
      </c>
    </row>
    <row r="58" spans="1:4" x14ac:dyDescent="0.3">
      <c r="A58" s="5" t="s">
        <v>112</v>
      </c>
      <c r="B58" s="5" t="s">
        <v>10</v>
      </c>
      <c r="C58" s="5">
        <v>169</v>
      </c>
      <c r="D58" s="5">
        <v>57</v>
      </c>
    </row>
    <row r="59" spans="1:4" hidden="1" x14ac:dyDescent="0.3">
      <c r="A59" s="5" t="s">
        <v>169</v>
      </c>
      <c r="B59" s="5" t="s">
        <v>50</v>
      </c>
      <c r="C59" s="5">
        <v>170</v>
      </c>
      <c r="D59" s="5">
        <v>58</v>
      </c>
    </row>
    <row r="60" spans="1:4" x14ac:dyDescent="0.3">
      <c r="A60" s="5" t="s">
        <v>158</v>
      </c>
      <c r="B60" s="5" t="s">
        <v>10</v>
      </c>
      <c r="C60" s="5">
        <v>171</v>
      </c>
      <c r="D60" s="5">
        <v>59</v>
      </c>
    </row>
    <row r="61" spans="1:4" x14ac:dyDescent="0.3">
      <c r="A61" s="5" t="s">
        <v>176</v>
      </c>
      <c r="B61" s="5" t="s">
        <v>10</v>
      </c>
      <c r="C61" s="5">
        <v>172</v>
      </c>
      <c r="D61" s="5">
        <v>60</v>
      </c>
    </row>
    <row r="62" spans="1:4" x14ac:dyDescent="0.3">
      <c r="A62" s="5" t="s">
        <v>104</v>
      </c>
      <c r="B62" s="5" t="s">
        <v>10</v>
      </c>
      <c r="C62" s="5">
        <v>173</v>
      </c>
      <c r="D62" s="5">
        <v>61</v>
      </c>
    </row>
    <row r="63" spans="1:4" x14ac:dyDescent="0.3">
      <c r="A63" s="5" t="s">
        <v>101</v>
      </c>
      <c r="B63" s="5" t="s">
        <v>10</v>
      </c>
      <c r="C63" s="5">
        <v>174</v>
      </c>
      <c r="D63" s="5">
        <v>62</v>
      </c>
    </row>
    <row r="64" spans="1:4" x14ac:dyDescent="0.3">
      <c r="A64" s="5" t="s">
        <v>121</v>
      </c>
      <c r="B64" s="5" t="s">
        <v>10</v>
      </c>
      <c r="C64" s="5">
        <v>175</v>
      </c>
      <c r="D64" s="5">
        <v>63</v>
      </c>
    </row>
    <row r="65" spans="1:5" x14ac:dyDescent="0.3">
      <c r="A65" s="5" t="s">
        <v>123</v>
      </c>
      <c r="B65" s="5" t="s">
        <v>10</v>
      </c>
      <c r="C65" s="5">
        <v>178</v>
      </c>
      <c r="D65" s="5">
        <v>64</v>
      </c>
    </row>
    <row r="66" spans="1:5" x14ac:dyDescent="0.3">
      <c r="A66" s="5" t="s">
        <v>134</v>
      </c>
      <c r="B66" s="5" t="s">
        <v>10</v>
      </c>
      <c r="C66" s="5">
        <v>179</v>
      </c>
      <c r="D66" s="5">
        <v>65</v>
      </c>
    </row>
    <row r="67" spans="1:5" hidden="1" x14ac:dyDescent="0.3">
      <c r="A67" s="5" t="s">
        <v>546</v>
      </c>
      <c r="B67" s="5" t="s">
        <v>50</v>
      </c>
      <c r="C67" s="5">
        <v>180</v>
      </c>
      <c r="D67" s="5">
        <v>66</v>
      </c>
    </row>
    <row r="68" spans="1:5" hidden="1" x14ac:dyDescent="0.3">
      <c r="A68" s="5" t="s">
        <v>161</v>
      </c>
      <c r="B68" s="5" t="s">
        <v>152</v>
      </c>
      <c r="C68" s="5">
        <v>183</v>
      </c>
      <c r="D68" s="5">
        <v>67</v>
      </c>
    </row>
    <row r="69" spans="1:5" x14ac:dyDescent="0.3">
      <c r="A69" s="5" t="s">
        <v>102</v>
      </c>
      <c r="B69" s="5" t="s">
        <v>10</v>
      </c>
      <c r="C69" s="5">
        <v>184</v>
      </c>
      <c r="D69" s="5">
        <v>68</v>
      </c>
      <c r="E69" t="s">
        <v>700</v>
      </c>
    </row>
    <row r="70" spans="1:5" x14ac:dyDescent="0.3">
      <c r="A70" s="5" t="s">
        <v>132</v>
      </c>
      <c r="B70" s="5" t="s">
        <v>10</v>
      </c>
      <c r="C70" s="5">
        <v>186</v>
      </c>
      <c r="D70" s="5">
        <v>69</v>
      </c>
    </row>
    <row r="71" spans="1:5" hidden="1" x14ac:dyDescent="0.3">
      <c r="A71" s="5" t="s">
        <v>177</v>
      </c>
      <c r="B71" s="5" t="s">
        <v>152</v>
      </c>
      <c r="C71" s="5">
        <v>187</v>
      </c>
      <c r="D71" s="5">
        <v>70</v>
      </c>
    </row>
    <row r="72" spans="1:5" x14ac:dyDescent="0.3">
      <c r="A72" s="5" t="s">
        <v>136</v>
      </c>
      <c r="B72" s="5" t="s">
        <v>10</v>
      </c>
      <c r="C72" s="5">
        <v>189</v>
      </c>
      <c r="D72" s="5">
        <v>71</v>
      </c>
    </row>
    <row r="73" spans="1:5" x14ac:dyDescent="0.3">
      <c r="A73" s="5" t="s">
        <v>126</v>
      </c>
      <c r="B73" s="5" t="s">
        <v>10</v>
      </c>
      <c r="C73" s="5">
        <v>191</v>
      </c>
      <c r="D73" s="5">
        <v>72</v>
      </c>
    </row>
    <row r="74" spans="1:5" x14ac:dyDescent="0.3">
      <c r="A74" s="5" t="s">
        <v>163</v>
      </c>
      <c r="B74" s="5" t="s">
        <v>10</v>
      </c>
      <c r="C74" s="5">
        <v>192</v>
      </c>
      <c r="D74" s="5">
        <v>73</v>
      </c>
    </row>
    <row r="75" spans="1:5" hidden="1" x14ac:dyDescent="0.3">
      <c r="A75" s="5" t="s">
        <v>135</v>
      </c>
      <c r="B75" s="5" t="s">
        <v>50</v>
      </c>
      <c r="C75" s="5">
        <v>193</v>
      </c>
      <c r="D75" s="5">
        <v>74</v>
      </c>
    </row>
    <row r="76" spans="1:5" x14ac:dyDescent="0.3">
      <c r="A76" s="5" t="s">
        <v>150</v>
      </c>
      <c r="B76" s="5" t="s">
        <v>10</v>
      </c>
      <c r="C76" s="5">
        <v>195</v>
      </c>
      <c r="D76" s="5">
        <v>75</v>
      </c>
    </row>
    <row r="77" spans="1:5" x14ac:dyDescent="0.3">
      <c r="A77" s="5" t="s">
        <v>142</v>
      </c>
      <c r="B77" s="5" t="s">
        <v>10</v>
      </c>
      <c r="C77" s="5">
        <v>196</v>
      </c>
      <c r="D77" s="5">
        <v>76</v>
      </c>
    </row>
    <row r="78" spans="1:5" hidden="1" x14ac:dyDescent="0.3">
      <c r="A78" s="5" t="s">
        <v>138</v>
      </c>
      <c r="B78" s="5" t="s">
        <v>50</v>
      </c>
      <c r="C78" s="5">
        <v>197</v>
      </c>
      <c r="D78" s="5">
        <v>77</v>
      </c>
    </row>
    <row r="79" spans="1:5" x14ac:dyDescent="0.3">
      <c r="A79" s="5" t="s">
        <v>131</v>
      </c>
      <c r="B79" s="5" t="s">
        <v>10</v>
      </c>
      <c r="C79" s="5">
        <v>198</v>
      </c>
      <c r="D79" s="5">
        <v>78</v>
      </c>
    </row>
    <row r="80" spans="1:5" x14ac:dyDescent="0.3">
      <c r="A80" s="5" t="s">
        <v>153</v>
      </c>
      <c r="B80" s="5" t="s">
        <v>10</v>
      </c>
      <c r="C80" s="5">
        <v>200</v>
      </c>
      <c r="D80" s="5">
        <v>79</v>
      </c>
    </row>
    <row r="81" spans="1:5" x14ac:dyDescent="0.3">
      <c r="A81" s="5" t="s">
        <v>114</v>
      </c>
      <c r="B81" s="5" t="s">
        <v>10</v>
      </c>
      <c r="C81" s="5">
        <v>204</v>
      </c>
      <c r="D81" s="5">
        <v>80</v>
      </c>
    </row>
    <row r="82" spans="1:5" hidden="1" x14ac:dyDescent="0.3">
      <c r="A82" s="5" t="s">
        <v>273</v>
      </c>
      <c r="B82" s="5" t="s">
        <v>50</v>
      </c>
      <c r="C82" s="5">
        <v>205</v>
      </c>
      <c r="D82" s="5">
        <v>81</v>
      </c>
    </row>
    <row r="83" spans="1:5" hidden="1" x14ac:dyDescent="0.3">
      <c r="A83" s="5" t="s">
        <v>547</v>
      </c>
      <c r="B83" s="5" t="s">
        <v>50</v>
      </c>
      <c r="C83" s="5">
        <v>206</v>
      </c>
      <c r="D83" s="5">
        <v>82</v>
      </c>
    </row>
    <row r="84" spans="1:5" hidden="1" x14ac:dyDescent="0.3">
      <c r="A84" s="5" t="s">
        <v>185</v>
      </c>
      <c r="B84" s="5" t="s">
        <v>50</v>
      </c>
      <c r="C84" s="5">
        <v>209</v>
      </c>
      <c r="D84" s="5">
        <v>83</v>
      </c>
    </row>
    <row r="85" spans="1:5" x14ac:dyDescent="0.3">
      <c r="A85" s="5" t="s">
        <v>119</v>
      </c>
      <c r="B85" s="5" t="s">
        <v>10</v>
      </c>
      <c r="C85" s="5">
        <v>210</v>
      </c>
      <c r="D85" s="5">
        <v>84</v>
      </c>
    </row>
    <row r="86" spans="1:5" x14ac:dyDescent="0.3">
      <c r="A86" s="5" t="s">
        <v>139</v>
      </c>
      <c r="B86" s="5" t="s">
        <v>10</v>
      </c>
      <c r="C86" s="5">
        <v>211</v>
      </c>
      <c r="D86" s="5">
        <v>85</v>
      </c>
    </row>
    <row r="87" spans="1:5" x14ac:dyDescent="0.3">
      <c r="A87" s="5" t="s">
        <v>144</v>
      </c>
      <c r="B87" s="5" t="s">
        <v>10</v>
      </c>
      <c r="C87" s="5">
        <v>212</v>
      </c>
      <c r="D87" s="5">
        <v>86</v>
      </c>
    </row>
    <row r="88" spans="1:5" x14ac:dyDescent="0.3">
      <c r="A88" s="5" t="s">
        <v>164</v>
      </c>
      <c r="B88" s="5" t="s">
        <v>10</v>
      </c>
      <c r="C88" s="5">
        <v>215</v>
      </c>
      <c r="D88" s="5">
        <v>87</v>
      </c>
    </row>
    <row r="89" spans="1:5" x14ac:dyDescent="0.3">
      <c r="A89" s="5" t="s">
        <v>195</v>
      </c>
      <c r="B89" s="5" t="s">
        <v>10</v>
      </c>
      <c r="C89" s="5">
        <v>216</v>
      </c>
      <c r="D89" s="5">
        <v>88</v>
      </c>
    </row>
    <row r="90" spans="1:5" x14ac:dyDescent="0.3">
      <c r="A90" s="5" t="s">
        <v>115</v>
      </c>
      <c r="B90" s="5" t="s">
        <v>10</v>
      </c>
      <c r="C90" s="5">
        <v>217</v>
      </c>
      <c r="D90" s="5">
        <v>89</v>
      </c>
    </row>
    <row r="91" spans="1:5" hidden="1" x14ac:dyDescent="0.3">
      <c r="A91" s="5" t="s">
        <v>125</v>
      </c>
      <c r="B91" s="5" t="s">
        <v>50</v>
      </c>
      <c r="C91" s="5">
        <v>219</v>
      </c>
      <c r="D91" s="5">
        <v>90</v>
      </c>
    </row>
    <row r="92" spans="1:5" x14ac:dyDescent="0.3">
      <c r="A92" s="5" t="s">
        <v>179</v>
      </c>
      <c r="B92" s="5" t="s">
        <v>10</v>
      </c>
      <c r="C92" s="5">
        <v>221</v>
      </c>
      <c r="D92" s="5">
        <v>91</v>
      </c>
    </row>
    <row r="93" spans="1:5" hidden="1" x14ac:dyDescent="0.3">
      <c r="A93" s="5" t="s">
        <v>141</v>
      </c>
      <c r="B93" s="5" t="s">
        <v>50</v>
      </c>
      <c r="C93" s="5">
        <v>222</v>
      </c>
      <c r="D93" s="5">
        <v>92</v>
      </c>
    </row>
    <row r="94" spans="1:5" x14ac:dyDescent="0.3">
      <c r="A94" s="5" t="s">
        <v>196</v>
      </c>
      <c r="B94" s="5" t="s">
        <v>10</v>
      </c>
      <c r="C94" s="5">
        <v>223</v>
      </c>
      <c r="D94" s="5">
        <v>93</v>
      </c>
    </row>
    <row r="95" spans="1:5" x14ac:dyDescent="0.3">
      <c r="A95" s="5" t="s">
        <v>171</v>
      </c>
      <c r="B95" s="5" t="s">
        <v>10</v>
      </c>
      <c r="C95" s="5">
        <v>224</v>
      </c>
      <c r="D95" s="5">
        <v>94</v>
      </c>
      <c r="E95" t="s">
        <v>700</v>
      </c>
    </row>
    <row r="96" spans="1:5" x14ac:dyDescent="0.3">
      <c r="A96" s="5" t="s">
        <v>155</v>
      </c>
      <c r="B96" s="5" t="s">
        <v>10</v>
      </c>
      <c r="C96" s="5">
        <v>225</v>
      </c>
      <c r="D96" s="5">
        <v>95</v>
      </c>
    </row>
    <row r="97" spans="1:5" hidden="1" x14ac:dyDescent="0.3">
      <c r="A97" s="5" t="s">
        <v>199</v>
      </c>
      <c r="B97" s="5" t="s">
        <v>152</v>
      </c>
      <c r="C97" s="5">
        <v>226</v>
      </c>
      <c r="D97" s="5">
        <v>96</v>
      </c>
    </row>
    <row r="98" spans="1:5" x14ac:dyDescent="0.3">
      <c r="A98" s="5" t="s">
        <v>124</v>
      </c>
      <c r="B98" s="5" t="s">
        <v>10</v>
      </c>
      <c r="C98" s="5">
        <v>233</v>
      </c>
      <c r="D98" s="5">
        <v>97</v>
      </c>
    </row>
    <row r="99" spans="1:5" x14ac:dyDescent="0.3">
      <c r="A99" s="5" t="s">
        <v>170</v>
      </c>
      <c r="B99" s="5" t="s">
        <v>10</v>
      </c>
      <c r="C99" s="5">
        <v>234</v>
      </c>
      <c r="D99" s="5">
        <v>98</v>
      </c>
    </row>
    <row r="100" spans="1:5" hidden="1" x14ac:dyDescent="0.3">
      <c r="A100" s="5" t="s">
        <v>256</v>
      </c>
      <c r="B100" s="5" t="s">
        <v>50</v>
      </c>
      <c r="C100" s="5">
        <v>235</v>
      </c>
      <c r="D100" s="5">
        <v>99</v>
      </c>
    </row>
    <row r="101" spans="1:5" hidden="1" x14ac:dyDescent="0.3">
      <c r="A101" s="5" t="s">
        <v>569</v>
      </c>
      <c r="B101" s="5" t="s">
        <v>50</v>
      </c>
      <c r="C101" s="5">
        <v>236</v>
      </c>
      <c r="D101" s="5">
        <v>100</v>
      </c>
    </row>
    <row r="102" spans="1:5" hidden="1" x14ac:dyDescent="0.3">
      <c r="A102" s="5" t="s">
        <v>637</v>
      </c>
      <c r="B102" s="5" t="s">
        <v>50</v>
      </c>
      <c r="C102" s="5">
        <v>238</v>
      </c>
      <c r="D102" s="5">
        <v>101</v>
      </c>
    </row>
    <row r="103" spans="1:5" hidden="1" x14ac:dyDescent="0.3">
      <c r="A103" s="5" t="s">
        <v>549</v>
      </c>
      <c r="B103" s="5" t="s">
        <v>50</v>
      </c>
      <c r="C103" s="5">
        <v>239</v>
      </c>
      <c r="D103" s="5">
        <v>102</v>
      </c>
    </row>
    <row r="104" spans="1:5" hidden="1" x14ac:dyDescent="0.3">
      <c r="A104" s="5" t="s">
        <v>551</v>
      </c>
      <c r="B104" s="5" t="s">
        <v>50</v>
      </c>
      <c r="C104" s="5">
        <v>242</v>
      </c>
      <c r="D104" s="5">
        <v>103</v>
      </c>
    </row>
    <row r="105" spans="1:5" hidden="1" x14ac:dyDescent="0.3">
      <c r="A105" s="5" t="s">
        <v>548</v>
      </c>
      <c r="B105" s="5" t="s">
        <v>50</v>
      </c>
      <c r="C105" s="5">
        <v>243</v>
      </c>
      <c r="D105" s="5">
        <v>104</v>
      </c>
    </row>
    <row r="106" spans="1:5" hidden="1" x14ac:dyDescent="0.3">
      <c r="A106" s="5" t="s">
        <v>305</v>
      </c>
      <c r="B106" s="5" t="s">
        <v>50</v>
      </c>
      <c r="C106" s="5">
        <v>245</v>
      </c>
      <c r="D106" s="5">
        <v>105</v>
      </c>
    </row>
    <row r="107" spans="1:5" hidden="1" x14ac:dyDescent="0.3">
      <c r="A107" s="5" t="s">
        <v>275</v>
      </c>
      <c r="B107" s="5" t="s">
        <v>50</v>
      </c>
      <c r="C107" s="5">
        <v>247</v>
      </c>
      <c r="D107" s="5">
        <v>106</v>
      </c>
    </row>
    <row r="108" spans="1:5" x14ac:dyDescent="0.3">
      <c r="A108" s="5" t="s">
        <v>160</v>
      </c>
      <c r="B108" s="5" t="s">
        <v>10</v>
      </c>
      <c r="C108" s="5">
        <v>248</v>
      </c>
      <c r="D108" s="5">
        <v>107</v>
      </c>
    </row>
    <row r="109" spans="1:5" hidden="1" x14ac:dyDescent="0.3">
      <c r="A109" s="5" t="s">
        <v>302</v>
      </c>
      <c r="B109" s="5" t="s">
        <v>50</v>
      </c>
      <c r="C109" s="5">
        <v>251</v>
      </c>
      <c r="D109" s="5">
        <v>108</v>
      </c>
    </row>
    <row r="110" spans="1:5" x14ac:dyDescent="0.3">
      <c r="A110" s="5" t="s">
        <v>189</v>
      </c>
      <c r="B110" s="5" t="s">
        <v>10</v>
      </c>
      <c r="C110" s="5">
        <v>252</v>
      </c>
      <c r="D110" s="5">
        <v>109</v>
      </c>
    </row>
    <row r="111" spans="1:5" x14ac:dyDescent="0.3">
      <c r="A111" s="5" t="s">
        <v>178</v>
      </c>
      <c r="B111" s="5" t="s">
        <v>10</v>
      </c>
      <c r="C111" s="5">
        <v>254</v>
      </c>
      <c r="D111" s="5">
        <v>110</v>
      </c>
    </row>
    <row r="112" spans="1:5" x14ac:dyDescent="0.3">
      <c r="A112" s="5" t="s">
        <v>212</v>
      </c>
      <c r="B112" s="5" t="s">
        <v>10</v>
      </c>
      <c r="C112" s="5">
        <v>255</v>
      </c>
      <c r="D112" s="5">
        <v>111</v>
      </c>
      <c r="E112" t="s">
        <v>700</v>
      </c>
    </row>
    <row r="113" spans="1:5" hidden="1" x14ac:dyDescent="0.3">
      <c r="A113" s="5" t="s">
        <v>216</v>
      </c>
      <c r="B113" s="5" t="s">
        <v>50</v>
      </c>
      <c r="C113" s="5">
        <v>257</v>
      </c>
      <c r="D113" s="5">
        <v>112</v>
      </c>
    </row>
    <row r="114" spans="1:5" x14ac:dyDescent="0.3">
      <c r="A114" s="5" t="s">
        <v>208</v>
      </c>
      <c r="B114" s="5" t="s">
        <v>10</v>
      </c>
      <c r="C114" s="5">
        <v>259</v>
      </c>
      <c r="D114" s="5">
        <v>113</v>
      </c>
    </row>
    <row r="115" spans="1:5" hidden="1" x14ac:dyDescent="0.3">
      <c r="A115" s="5" t="s">
        <v>284</v>
      </c>
      <c r="B115" s="5" t="s">
        <v>152</v>
      </c>
      <c r="C115" s="5">
        <v>261</v>
      </c>
      <c r="D115" s="5">
        <v>114</v>
      </c>
    </row>
    <row r="116" spans="1:5" x14ac:dyDescent="0.3">
      <c r="A116" s="5" t="s">
        <v>221</v>
      </c>
      <c r="B116" s="5" t="s">
        <v>10</v>
      </c>
      <c r="C116" s="5">
        <v>262</v>
      </c>
      <c r="D116" s="5">
        <v>115</v>
      </c>
    </row>
    <row r="117" spans="1:5" hidden="1" x14ac:dyDescent="0.3">
      <c r="A117" s="5" t="s">
        <v>250</v>
      </c>
      <c r="B117" s="5" t="s">
        <v>50</v>
      </c>
      <c r="C117" s="5">
        <v>264</v>
      </c>
      <c r="D117" s="5">
        <v>116</v>
      </c>
    </row>
    <row r="118" spans="1:5" x14ac:dyDescent="0.3">
      <c r="A118" s="5" t="s">
        <v>229</v>
      </c>
      <c r="B118" s="5" t="s">
        <v>10</v>
      </c>
      <c r="C118" s="5">
        <v>266</v>
      </c>
      <c r="D118" s="5">
        <v>117</v>
      </c>
    </row>
    <row r="119" spans="1:5" hidden="1" x14ac:dyDescent="0.3">
      <c r="A119" s="10" t="s">
        <v>639</v>
      </c>
      <c r="B119" s="5" t="s">
        <v>50</v>
      </c>
      <c r="C119" s="5">
        <v>268</v>
      </c>
      <c r="D119" s="5">
        <v>118</v>
      </c>
    </row>
    <row r="120" spans="1:5" hidden="1" x14ac:dyDescent="0.3">
      <c r="A120" s="5" t="s">
        <v>235</v>
      </c>
      <c r="B120" s="5" t="s">
        <v>50</v>
      </c>
      <c r="C120" s="5">
        <v>270</v>
      </c>
      <c r="D120" s="5">
        <v>119</v>
      </c>
    </row>
    <row r="121" spans="1:5" x14ac:dyDescent="0.3">
      <c r="A121" s="5" t="s">
        <v>193</v>
      </c>
      <c r="B121" s="5" t="s">
        <v>10</v>
      </c>
      <c r="C121" s="5">
        <v>272</v>
      </c>
      <c r="D121" s="5">
        <v>120</v>
      </c>
    </row>
    <row r="122" spans="1:5" x14ac:dyDescent="0.3">
      <c r="A122" s="5" t="s">
        <v>197</v>
      </c>
      <c r="B122" s="5" t="s">
        <v>10</v>
      </c>
      <c r="C122" s="5">
        <v>275</v>
      </c>
      <c r="D122" s="5">
        <v>121</v>
      </c>
      <c r="E122" t="s">
        <v>700</v>
      </c>
    </row>
    <row r="123" spans="1:5" hidden="1" x14ac:dyDescent="0.3">
      <c r="A123" s="5" t="s">
        <v>222</v>
      </c>
      <c r="B123" s="5" t="s">
        <v>50</v>
      </c>
      <c r="C123" s="5">
        <v>277</v>
      </c>
      <c r="D123" s="5">
        <v>122</v>
      </c>
    </row>
    <row r="124" spans="1:5" x14ac:dyDescent="0.3">
      <c r="A124" s="5" t="s">
        <v>203</v>
      </c>
      <c r="B124" s="5" t="s">
        <v>10</v>
      </c>
      <c r="C124" s="5">
        <v>278</v>
      </c>
      <c r="D124" s="5">
        <v>123</v>
      </c>
    </row>
    <row r="125" spans="1:5" x14ac:dyDescent="0.3">
      <c r="A125" s="5" t="s">
        <v>184</v>
      </c>
      <c r="B125" s="5" t="s">
        <v>10</v>
      </c>
      <c r="C125" s="5">
        <v>280</v>
      </c>
      <c r="D125" s="5">
        <v>124</v>
      </c>
    </row>
    <row r="126" spans="1:5" hidden="1" x14ac:dyDescent="0.3">
      <c r="A126" s="5" t="s">
        <v>237</v>
      </c>
      <c r="B126" s="5" t="s">
        <v>152</v>
      </c>
      <c r="C126" s="5">
        <v>282</v>
      </c>
      <c r="D126" s="5">
        <v>125</v>
      </c>
    </row>
    <row r="127" spans="1:5" hidden="1" x14ac:dyDescent="0.3">
      <c r="A127" s="5" t="s">
        <v>261</v>
      </c>
      <c r="B127" s="5" t="s">
        <v>50</v>
      </c>
      <c r="C127" s="5">
        <v>283</v>
      </c>
      <c r="D127" s="5">
        <v>126</v>
      </c>
    </row>
    <row r="128" spans="1:5" hidden="1" x14ac:dyDescent="0.3">
      <c r="A128" s="5" t="s">
        <v>555</v>
      </c>
      <c r="B128" s="5" t="s">
        <v>50</v>
      </c>
      <c r="C128" s="5">
        <v>284</v>
      </c>
      <c r="D128" s="5">
        <v>127</v>
      </c>
    </row>
    <row r="129" spans="1:4" x14ac:dyDescent="0.3">
      <c r="A129" s="5" t="s">
        <v>246</v>
      </c>
      <c r="B129" s="5" t="s">
        <v>10</v>
      </c>
      <c r="C129" s="5">
        <v>285</v>
      </c>
      <c r="D129" s="5">
        <v>128</v>
      </c>
    </row>
    <row r="130" spans="1:4" hidden="1" x14ac:dyDescent="0.3">
      <c r="A130" s="5" t="s">
        <v>267</v>
      </c>
      <c r="B130" s="5" t="s">
        <v>50</v>
      </c>
      <c r="C130" s="5">
        <v>287</v>
      </c>
      <c r="D130" s="5">
        <v>129</v>
      </c>
    </row>
    <row r="131" spans="1:4" x14ac:dyDescent="0.3">
      <c r="A131" s="5" t="s">
        <v>232</v>
      </c>
      <c r="B131" s="5" t="s">
        <v>10</v>
      </c>
      <c r="C131" s="5">
        <v>291</v>
      </c>
      <c r="D131" s="5">
        <v>130</v>
      </c>
    </row>
    <row r="132" spans="1:4" x14ac:dyDescent="0.3">
      <c r="A132" s="5" t="s">
        <v>214</v>
      </c>
      <c r="B132" s="5" t="s">
        <v>10</v>
      </c>
      <c r="C132" s="5">
        <v>293</v>
      </c>
      <c r="D132" s="5">
        <v>131</v>
      </c>
    </row>
    <row r="133" spans="1:4" hidden="1" x14ac:dyDescent="0.3">
      <c r="A133" s="5" t="s">
        <v>187</v>
      </c>
      <c r="B133" s="5" t="s">
        <v>50</v>
      </c>
      <c r="C133" s="5">
        <v>294</v>
      </c>
      <c r="D133" s="5">
        <v>132</v>
      </c>
    </row>
    <row r="134" spans="1:4" hidden="1" x14ac:dyDescent="0.3">
      <c r="A134" s="5" t="s">
        <v>640</v>
      </c>
      <c r="B134" s="5" t="s">
        <v>50</v>
      </c>
      <c r="C134" s="5">
        <v>296</v>
      </c>
      <c r="D134" s="5">
        <v>133</v>
      </c>
    </row>
    <row r="135" spans="1:4" hidden="1" x14ac:dyDescent="0.3">
      <c r="A135" s="5" t="s">
        <v>230</v>
      </c>
      <c r="B135" s="5" t="s">
        <v>152</v>
      </c>
      <c r="C135" s="5">
        <v>297</v>
      </c>
      <c r="D135" s="5">
        <v>134</v>
      </c>
    </row>
    <row r="136" spans="1:4" x14ac:dyDescent="0.3">
      <c r="A136" s="5" t="s">
        <v>260</v>
      </c>
      <c r="B136" s="5" t="s">
        <v>10</v>
      </c>
      <c r="C136" s="5">
        <v>300</v>
      </c>
      <c r="D136" s="5">
        <v>135</v>
      </c>
    </row>
    <row r="137" spans="1:4" x14ac:dyDescent="0.3">
      <c r="A137" s="5" t="s">
        <v>219</v>
      </c>
      <c r="B137" s="5" t="s">
        <v>10</v>
      </c>
      <c r="C137" s="5">
        <v>301</v>
      </c>
      <c r="D137" s="5">
        <v>136</v>
      </c>
    </row>
    <row r="138" spans="1:4" hidden="1" x14ac:dyDescent="0.3">
      <c r="A138" s="5" t="s">
        <v>552</v>
      </c>
      <c r="B138" s="5" t="s">
        <v>50</v>
      </c>
      <c r="C138" s="5">
        <v>303</v>
      </c>
      <c r="D138" s="5">
        <v>137</v>
      </c>
    </row>
    <row r="139" spans="1:4" hidden="1" x14ac:dyDescent="0.3">
      <c r="A139" s="5" t="s">
        <v>223</v>
      </c>
      <c r="B139" s="5" t="s">
        <v>50</v>
      </c>
      <c r="C139" s="5">
        <v>305</v>
      </c>
      <c r="D139" s="5">
        <v>138</v>
      </c>
    </row>
    <row r="140" spans="1:4" hidden="1" x14ac:dyDescent="0.3">
      <c r="A140" s="5" t="s">
        <v>253</v>
      </c>
      <c r="B140" s="5" t="s">
        <v>50</v>
      </c>
      <c r="C140" s="5">
        <v>308</v>
      </c>
      <c r="D140" s="5">
        <v>139</v>
      </c>
    </row>
    <row r="141" spans="1:4" x14ac:dyDescent="0.3">
      <c r="A141" s="5" t="s">
        <v>218</v>
      </c>
      <c r="B141" s="5" t="s">
        <v>10</v>
      </c>
      <c r="C141" s="5">
        <v>309</v>
      </c>
      <c r="D141" s="5">
        <v>140</v>
      </c>
    </row>
    <row r="142" spans="1:4" x14ac:dyDescent="0.3">
      <c r="A142" s="5" t="s">
        <v>207</v>
      </c>
      <c r="B142" s="5" t="s">
        <v>10</v>
      </c>
      <c r="C142" s="5">
        <v>310</v>
      </c>
      <c r="D142" s="5">
        <v>141</v>
      </c>
    </row>
    <row r="143" spans="1:4" x14ac:dyDescent="0.3">
      <c r="A143" s="5" t="s">
        <v>162</v>
      </c>
      <c r="B143" s="5" t="s">
        <v>10</v>
      </c>
      <c r="C143" s="5">
        <v>311</v>
      </c>
      <c r="D143" s="5">
        <v>142</v>
      </c>
    </row>
    <row r="144" spans="1:4" hidden="1" x14ac:dyDescent="0.3">
      <c r="A144" s="5" t="s">
        <v>553</v>
      </c>
      <c r="B144" s="5" t="s">
        <v>50</v>
      </c>
      <c r="C144" s="5">
        <v>312</v>
      </c>
      <c r="D144" s="5">
        <v>143</v>
      </c>
    </row>
    <row r="145" spans="1:5" hidden="1" x14ac:dyDescent="0.3">
      <c r="A145" s="5" t="s">
        <v>312</v>
      </c>
      <c r="B145" s="5" t="s">
        <v>50</v>
      </c>
      <c r="C145" s="5">
        <v>314</v>
      </c>
      <c r="D145" s="5">
        <v>144</v>
      </c>
    </row>
    <row r="146" spans="1:5" hidden="1" x14ac:dyDescent="0.3">
      <c r="A146" s="5" t="s">
        <v>271</v>
      </c>
      <c r="B146" s="5" t="s">
        <v>50</v>
      </c>
      <c r="C146" s="5">
        <v>315</v>
      </c>
      <c r="D146" s="5">
        <v>145</v>
      </c>
    </row>
    <row r="147" spans="1:5" hidden="1" x14ac:dyDescent="0.3">
      <c r="A147" s="5" t="s">
        <v>314</v>
      </c>
      <c r="B147" s="5" t="s">
        <v>50</v>
      </c>
      <c r="C147" s="5">
        <v>316</v>
      </c>
      <c r="D147" s="5">
        <v>146</v>
      </c>
    </row>
    <row r="148" spans="1:5" x14ac:dyDescent="0.3">
      <c r="A148" s="5" t="s">
        <v>231</v>
      </c>
      <c r="B148" s="5" t="s">
        <v>10</v>
      </c>
      <c r="C148" s="5">
        <v>317</v>
      </c>
      <c r="D148" s="5">
        <v>147</v>
      </c>
    </row>
    <row r="149" spans="1:5" x14ac:dyDescent="0.3">
      <c r="A149" s="5" t="s">
        <v>295</v>
      </c>
      <c r="B149" s="5" t="s">
        <v>10</v>
      </c>
      <c r="C149" s="5">
        <v>318</v>
      </c>
      <c r="D149" s="5">
        <v>148</v>
      </c>
    </row>
    <row r="150" spans="1:5" x14ac:dyDescent="0.3">
      <c r="A150" s="5" t="s">
        <v>252</v>
      </c>
      <c r="B150" s="5" t="s">
        <v>10</v>
      </c>
      <c r="C150" s="5">
        <v>319</v>
      </c>
      <c r="D150" s="5">
        <v>149</v>
      </c>
    </row>
    <row r="151" spans="1:5" x14ac:dyDescent="0.3">
      <c r="A151" s="5" t="s">
        <v>311</v>
      </c>
      <c r="B151" s="5" t="s">
        <v>10</v>
      </c>
      <c r="C151" s="5">
        <v>320</v>
      </c>
      <c r="D151" s="5">
        <v>150</v>
      </c>
    </row>
    <row r="152" spans="1:5" x14ac:dyDescent="0.3">
      <c r="A152" s="5" t="s">
        <v>248</v>
      </c>
      <c r="B152" s="5" t="s">
        <v>10</v>
      </c>
      <c r="C152" s="5">
        <v>321</v>
      </c>
      <c r="D152" s="5">
        <v>151</v>
      </c>
    </row>
    <row r="153" spans="1:5" x14ac:dyDescent="0.3">
      <c r="A153" s="5" t="s">
        <v>211</v>
      </c>
      <c r="B153" s="5" t="s">
        <v>10</v>
      </c>
      <c r="C153" s="5">
        <v>322</v>
      </c>
      <c r="D153" s="5">
        <v>152</v>
      </c>
    </row>
    <row r="154" spans="1:5" hidden="1" x14ac:dyDescent="0.3">
      <c r="A154" s="5" t="s">
        <v>325</v>
      </c>
      <c r="B154" s="5" t="s">
        <v>50</v>
      </c>
      <c r="C154" s="5">
        <v>324</v>
      </c>
      <c r="D154" s="5">
        <v>153</v>
      </c>
    </row>
    <row r="155" spans="1:5" x14ac:dyDescent="0.3">
      <c r="A155" s="5" t="s">
        <v>277</v>
      </c>
      <c r="B155" s="5" t="s">
        <v>10</v>
      </c>
      <c r="C155" s="5">
        <v>325</v>
      </c>
      <c r="D155" s="5">
        <v>154</v>
      </c>
      <c r="E155" t="s">
        <v>700</v>
      </c>
    </row>
    <row r="156" spans="1:5" hidden="1" x14ac:dyDescent="0.3">
      <c r="A156" s="5" t="s">
        <v>550</v>
      </c>
      <c r="B156" s="5" t="s">
        <v>50</v>
      </c>
      <c r="C156" s="5">
        <v>328</v>
      </c>
      <c r="D156" s="5">
        <v>155</v>
      </c>
    </row>
    <row r="157" spans="1:5" hidden="1" x14ac:dyDescent="0.3">
      <c r="A157" s="5" t="s">
        <v>643</v>
      </c>
      <c r="B157" s="5" t="s">
        <v>50</v>
      </c>
      <c r="C157" s="5">
        <v>329</v>
      </c>
      <c r="D157" s="5">
        <v>156</v>
      </c>
    </row>
    <row r="158" spans="1:5" x14ac:dyDescent="0.3">
      <c r="A158" s="5" t="s">
        <v>183</v>
      </c>
      <c r="B158" s="5" t="s">
        <v>10</v>
      </c>
      <c r="C158" s="5">
        <v>330</v>
      </c>
      <c r="D158" s="5">
        <v>157</v>
      </c>
    </row>
    <row r="159" spans="1:5" hidden="1" x14ac:dyDescent="0.3">
      <c r="A159" s="5" t="s">
        <v>249</v>
      </c>
      <c r="B159" s="5" t="s">
        <v>152</v>
      </c>
      <c r="C159" s="5">
        <v>331</v>
      </c>
      <c r="D159" s="5">
        <v>158</v>
      </c>
    </row>
    <row r="160" spans="1:5" x14ac:dyDescent="0.3">
      <c r="A160" s="5" t="s">
        <v>204</v>
      </c>
      <c r="B160" s="5" t="s">
        <v>10</v>
      </c>
      <c r="C160" s="5">
        <v>332</v>
      </c>
      <c r="D160" s="5">
        <v>159</v>
      </c>
    </row>
    <row r="161" spans="1:4" hidden="1" x14ac:dyDescent="0.3">
      <c r="A161" s="5" t="s">
        <v>303</v>
      </c>
      <c r="B161" s="5" t="s">
        <v>50</v>
      </c>
      <c r="C161" s="5">
        <v>333</v>
      </c>
      <c r="D161" s="5">
        <v>160</v>
      </c>
    </row>
    <row r="162" spans="1:4" hidden="1" x14ac:dyDescent="0.3">
      <c r="A162" s="5" t="s">
        <v>571</v>
      </c>
      <c r="B162" s="5" t="s">
        <v>50</v>
      </c>
      <c r="C162" s="5">
        <v>334</v>
      </c>
      <c r="D162" s="5">
        <v>161</v>
      </c>
    </row>
    <row r="163" spans="1:4" x14ac:dyDescent="0.3">
      <c r="A163" s="5" t="s">
        <v>242</v>
      </c>
      <c r="B163" s="5" t="s">
        <v>10</v>
      </c>
      <c r="C163" s="5">
        <v>335</v>
      </c>
      <c r="D163" s="5">
        <v>162</v>
      </c>
    </row>
    <row r="164" spans="1:4" x14ac:dyDescent="0.3">
      <c r="A164" s="5" t="s">
        <v>600</v>
      </c>
      <c r="B164" s="5" t="s">
        <v>10</v>
      </c>
      <c r="C164" s="5">
        <v>336</v>
      </c>
      <c r="D164" s="5">
        <v>163</v>
      </c>
    </row>
    <row r="165" spans="1:4" x14ac:dyDescent="0.3">
      <c r="A165" s="5" t="s">
        <v>233</v>
      </c>
      <c r="B165" s="5" t="s">
        <v>10</v>
      </c>
      <c r="C165" s="5">
        <v>337</v>
      </c>
      <c r="D165" s="5">
        <v>164</v>
      </c>
    </row>
    <row r="166" spans="1:4" hidden="1" x14ac:dyDescent="0.3">
      <c r="A166" s="5" t="s">
        <v>310</v>
      </c>
      <c r="B166" s="5" t="s">
        <v>50</v>
      </c>
      <c r="C166" s="5">
        <v>338</v>
      </c>
      <c r="D166" s="5">
        <v>165</v>
      </c>
    </row>
    <row r="167" spans="1:4" x14ac:dyDescent="0.3">
      <c r="A167" s="5" t="s">
        <v>269</v>
      </c>
      <c r="B167" s="5" t="s">
        <v>10</v>
      </c>
      <c r="C167" s="5">
        <v>340</v>
      </c>
      <c r="D167" s="5">
        <v>166</v>
      </c>
    </row>
    <row r="168" spans="1:4" x14ac:dyDescent="0.3">
      <c r="A168" s="5" t="s">
        <v>285</v>
      </c>
      <c r="B168" s="5" t="s">
        <v>10</v>
      </c>
      <c r="C168" s="5">
        <v>342</v>
      </c>
      <c r="D168" s="5">
        <v>167</v>
      </c>
    </row>
    <row r="169" spans="1:4" x14ac:dyDescent="0.3">
      <c r="A169" s="5" t="s">
        <v>293</v>
      </c>
      <c r="B169" s="5" t="s">
        <v>10</v>
      </c>
      <c r="C169" s="5">
        <v>346</v>
      </c>
      <c r="D169" s="5">
        <v>168</v>
      </c>
    </row>
    <row r="170" spans="1:4" x14ac:dyDescent="0.3">
      <c r="A170" s="5" t="s">
        <v>286</v>
      </c>
      <c r="B170" s="5" t="s">
        <v>10</v>
      </c>
      <c r="C170" s="5">
        <v>347</v>
      </c>
      <c r="D170" s="5">
        <v>169</v>
      </c>
    </row>
    <row r="171" spans="1:4" hidden="1" x14ac:dyDescent="0.3">
      <c r="A171" s="5" t="s">
        <v>270</v>
      </c>
      <c r="B171" s="5" t="s">
        <v>152</v>
      </c>
      <c r="C171" s="5">
        <v>348</v>
      </c>
      <c r="D171" s="5">
        <v>170</v>
      </c>
    </row>
    <row r="172" spans="1:4" x14ac:dyDescent="0.3">
      <c r="A172" s="5" t="s">
        <v>228</v>
      </c>
      <c r="B172" s="5" t="s">
        <v>10</v>
      </c>
      <c r="C172" s="5">
        <v>350</v>
      </c>
      <c r="D172" s="5">
        <v>171</v>
      </c>
    </row>
    <row r="173" spans="1:4" hidden="1" x14ac:dyDescent="0.3">
      <c r="A173" s="5" t="s">
        <v>330</v>
      </c>
      <c r="B173" s="5" t="s">
        <v>50</v>
      </c>
      <c r="C173" s="5">
        <v>361</v>
      </c>
      <c r="D173" s="5">
        <v>172</v>
      </c>
    </row>
    <row r="174" spans="1:4" hidden="1" x14ac:dyDescent="0.3">
      <c r="A174" s="5" t="s">
        <v>288</v>
      </c>
      <c r="B174" s="5" t="s">
        <v>152</v>
      </c>
      <c r="C174" s="5">
        <v>363</v>
      </c>
      <c r="D174" s="5">
        <v>173</v>
      </c>
    </row>
    <row r="175" spans="1:4" hidden="1" x14ac:dyDescent="0.3">
      <c r="A175" s="5" t="s">
        <v>263</v>
      </c>
      <c r="B175" s="5" t="s">
        <v>264</v>
      </c>
      <c r="C175" s="5">
        <v>364</v>
      </c>
      <c r="D175" s="5">
        <v>174</v>
      </c>
    </row>
    <row r="176" spans="1:4" x14ac:dyDescent="0.3">
      <c r="A176" s="5" t="s">
        <v>601</v>
      </c>
      <c r="B176" s="5" t="s">
        <v>10</v>
      </c>
      <c r="C176" s="5">
        <v>365</v>
      </c>
      <c r="D176" s="5">
        <v>175</v>
      </c>
    </row>
    <row r="177" spans="1:4" hidden="1" x14ac:dyDescent="0.3">
      <c r="A177" s="10" t="s">
        <v>644</v>
      </c>
      <c r="B177" s="5" t="s">
        <v>50</v>
      </c>
      <c r="C177" s="5">
        <v>366</v>
      </c>
      <c r="D177" s="5">
        <v>176</v>
      </c>
    </row>
    <row r="178" spans="1:4" x14ac:dyDescent="0.3">
      <c r="A178" s="5" t="s">
        <v>274</v>
      </c>
      <c r="B178" s="5" t="s">
        <v>10</v>
      </c>
      <c r="C178" s="5">
        <v>367</v>
      </c>
      <c r="D178" s="5">
        <v>177</v>
      </c>
    </row>
    <row r="179" spans="1:4" hidden="1" x14ac:dyDescent="0.3">
      <c r="A179" s="5" t="s">
        <v>564</v>
      </c>
      <c r="B179" s="5" t="s">
        <v>50</v>
      </c>
      <c r="C179" s="5">
        <v>368</v>
      </c>
      <c r="D179" s="5">
        <v>178</v>
      </c>
    </row>
    <row r="180" spans="1:4" hidden="1" x14ac:dyDescent="0.3">
      <c r="A180" s="5" t="s">
        <v>289</v>
      </c>
      <c r="B180" s="5" t="s">
        <v>50</v>
      </c>
      <c r="C180" s="5">
        <v>372</v>
      </c>
      <c r="D180" s="5">
        <v>179</v>
      </c>
    </row>
    <row r="181" spans="1:4" hidden="1" x14ac:dyDescent="0.3">
      <c r="A181" s="5" t="s">
        <v>572</v>
      </c>
      <c r="B181" s="5" t="s">
        <v>50</v>
      </c>
      <c r="C181" s="5">
        <v>373</v>
      </c>
      <c r="D181" s="5">
        <v>180</v>
      </c>
    </row>
    <row r="182" spans="1:4" x14ac:dyDescent="0.3">
      <c r="A182" s="5" t="s">
        <v>283</v>
      </c>
      <c r="B182" s="5" t="s">
        <v>10</v>
      </c>
      <c r="C182" s="5">
        <v>374</v>
      </c>
      <c r="D182" s="5">
        <v>181</v>
      </c>
    </row>
    <row r="183" spans="1:4" x14ac:dyDescent="0.3">
      <c r="A183" s="5" t="s">
        <v>296</v>
      </c>
      <c r="B183" s="5" t="s">
        <v>10</v>
      </c>
      <c r="C183" s="5">
        <v>375</v>
      </c>
      <c r="D183" s="5">
        <v>182</v>
      </c>
    </row>
    <row r="184" spans="1:4" hidden="1" x14ac:dyDescent="0.3">
      <c r="A184" s="5" t="s">
        <v>570</v>
      </c>
      <c r="B184" s="5" t="s">
        <v>50</v>
      </c>
      <c r="C184" s="5">
        <v>376</v>
      </c>
      <c r="D184" s="5">
        <v>183</v>
      </c>
    </row>
    <row r="185" spans="1:4" x14ac:dyDescent="0.3">
      <c r="A185" s="5" t="s">
        <v>823</v>
      </c>
      <c r="B185" s="5" t="s">
        <v>10</v>
      </c>
      <c r="C185" s="5">
        <v>381</v>
      </c>
      <c r="D185" s="5">
        <v>184</v>
      </c>
    </row>
    <row r="186" spans="1:4" x14ac:dyDescent="0.3">
      <c r="A186" s="5" t="s">
        <v>300</v>
      </c>
      <c r="B186" s="5" t="s">
        <v>10</v>
      </c>
      <c r="C186" s="5">
        <v>382</v>
      </c>
      <c r="D186" s="5">
        <v>185</v>
      </c>
    </row>
    <row r="187" spans="1:4" hidden="1" x14ac:dyDescent="0.3">
      <c r="A187" s="10" t="s">
        <v>646</v>
      </c>
      <c r="B187" s="5" t="s">
        <v>50</v>
      </c>
      <c r="C187" s="5">
        <v>383</v>
      </c>
      <c r="D187" s="5">
        <v>186</v>
      </c>
    </row>
    <row r="188" spans="1:4" hidden="1" x14ac:dyDescent="0.3">
      <c r="A188" s="5" t="s">
        <v>262</v>
      </c>
      <c r="B188" s="5" t="s">
        <v>152</v>
      </c>
      <c r="C188" s="5">
        <v>385</v>
      </c>
      <c r="D188" s="5">
        <v>187</v>
      </c>
    </row>
    <row r="189" spans="1:4" hidden="1" x14ac:dyDescent="0.3">
      <c r="A189" s="5" t="s">
        <v>294</v>
      </c>
      <c r="B189" s="5" t="s">
        <v>152</v>
      </c>
      <c r="C189" s="5">
        <v>388</v>
      </c>
      <c r="D189" s="5">
        <v>188</v>
      </c>
    </row>
    <row r="190" spans="1:4" x14ac:dyDescent="0.3">
      <c r="A190" s="5" t="s">
        <v>338</v>
      </c>
      <c r="B190" s="5" t="s">
        <v>10</v>
      </c>
      <c r="C190" s="5">
        <v>391</v>
      </c>
      <c r="D190" s="5">
        <v>189</v>
      </c>
    </row>
    <row r="191" spans="1:4" x14ac:dyDescent="0.3">
      <c r="A191" s="5" t="s">
        <v>307</v>
      </c>
      <c r="B191" s="5" t="s">
        <v>10</v>
      </c>
      <c r="C191" s="5">
        <v>394</v>
      </c>
      <c r="D191" s="5">
        <v>190</v>
      </c>
    </row>
    <row r="192" spans="1:4" hidden="1" x14ac:dyDescent="0.3">
      <c r="A192" s="5" t="s">
        <v>336</v>
      </c>
      <c r="B192" s="5" t="s">
        <v>50</v>
      </c>
      <c r="C192" s="5">
        <v>395</v>
      </c>
      <c r="D192" s="5">
        <v>191</v>
      </c>
    </row>
    <row r="193" spans="1:5" x14ac:dyDescent="0.3">
      <c r="A193" s="5" t="s">
        <v>301</v>
      </c>
      <c r="B193" s="5" t="s">
        <v>10</v>
      </c>
      <c r="C193" s="5">
        <v>397</v>
      </c>
      <c r="D193" s="5">
        <v>192</v>
      </c>
      <c r="E193" t="s">
        <v>700</v>
      </c>
    </row>
    <row r="194" spans="1:5" hidden="1" x14ac:dyDescent="0.3">
      <c r="A194" s="5" t="s">
        <v>318</v>
      </c>
      <c r="B194" s="5" t="s">
        <v>152</v>
      </c>
      <c r="C194" s="5">
        <v>399</v>
      </c>
      <c r="D194" s="5">
        <v>193</v>
      </c>
    </row>
    <row r="195" spans="1:5" hidden="1" x14ac:dyDescent="0.3">
      <c r="A195" s="5" t="s">
        <v>313</v>
      </c>
      <c r="B195" s="5" t="s">
        <v>50</v>
      </c>
      <c r="C195" s="5">
        <v>400</v>
      </c>
      <c r="D195" s="5">
        <v>194</v>
      </c>
    </row>
    <row r="196" spans="1:5" hidden="1" x14ac:dyDescent="0.3">
      <c r="A196" s="5" t="s">
        <v>369</v>
      </c>
      <c r="B196" s="5" t="s">
        <v>50</v>
      </c>
      <c r="C196" s="5">
        <v>403</v>
      </c>
      <c r="D196" s="5">
        <v>195</v>
      </c>
    </row>
    <row r="197" spans="1:5" hidden="1" x14ac:dyDescent="0.3">
      <c r="A197" s="5" t="s">
        <v>554</v>
      </c>
      <c r="B197" s="5" t="s">
        <v>50</v>
      </c>
      <c r="C197" s="5">
        <v>405</v>
      </c>
      <c r="D197" s="5">
        <v>196</v>
      </c>
    </row>
    <row r="198" spans="1:5" x14ac:dyDescent="0.3">
      <c r="A198" s="5" t="s">
        <v>299</v>
      </c>
      <c r="B198" s="5" t="s">
        <v>10</v>
      </c>
      <c r="C198" s="5">
        <v>406</v>
      </c>
      <c r="D198" s="5">
        <v>197</v>
      </c>
    </row>
    <row r="199" spans="1:5" hidden="1" x14ac:dyDescent="0.3">
      <c r="A199" s="5" t="s">
        <v>308</v>
      </c>
      <c r="B199" s="5" t="s">
        <v>152</v>
      </c>
      <c r="C199" s="5">
        <v>407</v>
      </c>
      <c r="D199" s="5">
        <v>198</v>
      </c>
    </row>
    <row r="200" spans="1:5" x14ac:dyDescent="0.3">
      <c r="A200" s="5" t="s">
        <v>334</v>
      </c>
      <c r="B200" s="5" t="s">
        <v>10</v>
      </c>
      <c r="C200" s="5">
        <v>408</v>
      </c>
      <c r="D200" s="5">
        <v>199</v>
      </c>
    </row>
    <row r="201" spans="1:5" hidden="1" x14ac:dyDescent="0.3">
      <c r="A201" s="5" t="s">
        <v>345</v>
      </c>
      <c r="B201" s="5" t="s">
        <v>152</v>
      </c>
      <c r="C201" s="5">
        <v>409</v>
      </c>
      <c r="D201" s="5">
        <v>200</v>
      </c>
    </row>
    <row r="202" spans="1:5" x14ac:dyDescent="0.3">
      <c r="A202" s="5" t="s">
        <v>317</v>
      </c>
      <c r="B202" s="5" t="s">
        <v>10</v>
      </c>
      <c r="C202" s="5">
        <v>410</v>
      </c>
      <c r="D202" s="5">
        <v>201</v>
      </c>
    </row>
    <row r="203" spans="1:5" hidden="1" x14ac:dyDescent="0.3">
      <c r="A203" s="5" t="s">
        <v>349</v>
      </c>
      <c r="B203" s="5" t="s">
        <v>50</v>
      </c>
      <c r="C203" s="5">
        <v>411</v>
      </c>
      <c r="D203" s="5">
        <v>202</v>
      </c>
    </row>
    <row r="204" spans="1:5" hidden="1" x14ac:dyDescent="0.3">
      <c r="A204" s="5" t="s">
        <v>563</v>
      </c>
      <c r="B204" s="5" t="s">
        <v>50</v>
      </c>
      <c r="C204" s="5">
        <v>416</v>
      </c>
      <c r="D204" s="5">
        <v>203</v>
      </c>
    </row>
    <row r="205" spans="1:5" x14ac:dyDescent="0.3">
      <c r="A205" s="5" t="s">
        <v>602</v>
      </c>
      <c r="B205" s="5" t="s">
        <v>10</v>
      </c>
      <c r="C205" s="5">
        <v>417</v>
      </c>
      <c r="D205" s="5">
        <v>204</v>
      </c>
    </row>
    <row r="206" spans="1:5" x14ac:dyDescent="0.3">
      <c r="A206" s="5" t="s">
        <v>320</v>
      </c>
      <c r="B206" s="5" t="s">
        <v>10</v>
      </c>
      <c r="C206" s="5">
        <v>418</v>
      </c>
      <c r="D206" s="5">
        <v>205</v>
      </c>
    </row>
    <row r="207" spans="1:5" hidden="1" x14ac:dyDescent="0.3">
      <c r="A207" s="5" t="s">
        <v>556</v>
      </c>
      <c r="B207" s="5" t="s">
        <v>50</v>
      </c>
      <c r="C207" s="5">
        <v>422</v>
      </c>
      <c r="D207" s="5">
        <v>206</v>
      </c>
    </row>
    <row r="208" spans="1:5" hidden="1" x14ac:dyDescent="0.3">
      <c r="A208" s="5" t="s">
        <v>327</v>
      </c>
      <c r="B208" s="5" t="s">
        <v>152</v>
      </c>
      <c r="C208" s="5">
        <v>424</v>
      </c>
      <c r="D208" s="5">
        <v>207</v>
      </c>
    </row>
    <row r="209" spans="1:4" hidden="1" x14ac:dyDescent="0.3">
      <c r="A209" s="5" t="s">
        <v>560</v>
      </c>
      <c r="B209" s="5" t="s">
        <v>50</v>
      </c>
      <c r="C209" s="5">
        <v>425</v>
      </c>
      <c r="D209" s="5">
        <v>208</v>
      </c>
    </row>
    <row r="210" spans="1:4" hidden="1" x14ac:dyDescent="0.3">
      <c r="A210" s="5" t="s">
        <v>329</v>
      </c>
      <c r="B210" s="5" t="s">
        <v>50</v>
      </c>
      <c r="C210" s="5">
        <v>426</v>
      </c>
      <c r="D210" s="5">
        <v>209</v>
      </c>
    </row>
    <row r="211" spans="1:4" x14ac:dyDescent="0.3">
      <c r="A211" s="5" t="s">
        <v>339</v>
      </c>
      <c r="B211" s="5" t="s">
        <v>10</v>
      </c>
      <c r="C211" s="5">
        <v>430</v>
      </c>
      <c r="D211" s="5">
        <v>210</v>
      </c>
    </row>
    <row r="212" spans="1:4" hidden="1" x14ac:dyDescent="0.3">
      <c r="A212" s="5" t="s">
        <v>566</v>
      </c>
      <c r="B212" s="5" t="s">
        <v>50</v>
      </c>
      <c r="C212" s="5">
        <v>431</v>
      </c>
      <c r="D212" s="5">
        <v>211</v>
      </c>
    </row>
    <row r="213" spans="1:4" hidden="1" x14ac:dyDescent="0.3">
      <c r="A213" s="5" t="s">
        <v>557</v>
      </c>
      <c r="B213" s="5" t="s">
        <v>50</v>
      </c>
      <c r="C213" s="5">
        <v>432</v>
      </c>
      <c r="D213" s="5">
        <v>212</v>
      </c>
    </row>
    <row r="214" spans="1:4" x14ac:dyDescent="0.3">
      <c r="A214" s="5" t="s">
        <v>215</v>
      </c>
      <c r="B214" s="5" t="s">
        <v>10</v>
      </c>
      <c r="C214" s="5">
        <v>434</v>
      </c>
      <c r="D214" s="5">
        <v>213</v>
      </c>
    </row>
    <row r="215" spans="1:4" hidden="1" x14ac:dyDescent="0.3">
      <c r="A215" s="5" t="s">
        <v>331</v>
      </c>
      <c r="B215" s="5" t="s">
        <v>152</v>
      </c>
      <c r="C215" s="5">
        <v>435</v>
      </c>
      <c r="D215" s="5">
        <v>214</v>
      </c>
    </row>
    <row r="216" spans="1:4" x14ac:dyDescent="0.3">
      <c r="A216" s="5" t="s">
        <v>373</v>
      </c>
      <c r="B216" s="5" t="s">
        <v>10</v>
      </c>
      <c r="C216" s="5">
        <v>437</v>
      </c>
      <c r="D216" s="5">
        <v>215</v>
      </c>
    </row>
    <row r="217" spans="1:4" hidden="1" x14ac:dyDescent="0.3">
      <c r="A217" s="5" t="s">
        <v>346</v>
      </c>
      <c r="B217" s="5" t="s">
        <v>152</v>
      </c>
      <c r="C217" s="5">
        <v>438</v>
      </c>
      <c r="D217" s="5">
        <v>216</v>
      </c>
    </row>
    <row r="218" spans="1:4" hidden="1" x14ac:dyDescent="0.3">
      <c r="A218" s="5" t="s">
        <v>363</v>
      </c>
      <c r="B218" s="5" t="s">
        <v>50</v>
      </c>
      <c r="C218" s="5">
        <v>439</v>
      </c>
      <c r="D218" s="5">
        <v>217</v>
      </c>
    </row>
    <row r="219" spans="1:4" x14ac:dyDescent="0.3">
      <c r="A219" s="5" t="s">
        <v>832</v>
      </c>
      <c r="B219" s="5" t="s">
        <v>10</v>
      </c>
      <c r="C219" s="5">
        <v>441</v>
      </c>
      <c r="D219" s="5">
        <v>218</v>
      </c>
    </row>
    <row r="220" spans="1:4" hidden="1" x14ac:dyDescent="0.3">
      <c r="A220" s="5" t="s">
        <v>257</v>
      </c>
      <c r="B220" s="5" t="s">
        <v>152</v>
      </c>
      <c r="C220" s="5">
        <v>442</v>
      </c>
      <c r="D220" s="5">
        <v>219</v>
      </c>
    </row>
    <row r="221" spans="1:4" x14ac:dyDescent="0.3">
      <c r="A221" s="5" t="s">
        <v>603</v>
      </c>
      <c r="B221" s="5" t="s">
        <v>10</v>
      </c>
      <c r="C221" s="5">
        <v>446</v>
      </c>
      <c r="D221" s="5">
        <v>220</v>
      </c>
    </row>
    <row r="222" spans="1:4" hidden="1" x14ac:dyDescent="0.3">
      <c r="A222" s="5" t="s">
        <v>649</v>
      </c>
      <c r="B222" s="5" t="s">
        <v>50</v>
      </c>
      <c r="C222" s="5">
        <v>447</v>
      </c>
      <c r="D222" s="5">
        <v>221</v>
      </c>
    </row>
    <row r="223" spans="1:4" x14ac:dyDescent="0.3">
      <c r="A223" s="5" t="s">
        <v>280</v>
      </c>
      <c r="B223" s="5" t="s">
        <v>10</v>
      </c>
      <c r="C223" s="5">
        <v>448</v>
      </c>
      <c r="D223" s="5">
        <v>222</v>
      </c>
    </row>
    <row r="224" spans="1:4" hidden="1" x14ac:dyDescent="0.3">
      <c r="A224" s="5" t="s">
        <v>432</v>
      </c>
      <c r="B224" s="5" t="s">
        <v>152</v>
      </c>
      <c r="C224" s="5">
        <v>449</v>
      </c>
      <c r="D224" s="5">
        <v>223</v>
      </c>
    </row>
    <row r="225" spans="1:4" x14ac:dyDescent="0.3">
      <c r="A225" s="5" t="s">
        <v>372</v>
      </c>
      <c r="B225" s="5" t="s">
        <v>10</v>
      </c>
      <c r="C225" s="5">
        <v>450</v>
      </c>
      <c r="D225" s="5">
        <v>224</v>
      </c>
    </row>
    <row r="226" spans="1:4" hidden="1" x14ac:dyDescent="0.3">
      <c r="A226" s="5" t="s">
        <v>360</v>
      </c>
      <c r="B226" s="5" t="s">
        <v>152</v>
      </c>
      <c r="C226" s="5">
        <v>451</v>
      </c>
      <c r="D226" s="5">
        <v>225</v>
      </c>
    </row>
    <row r="227" spans="1:4" x14ac:dyDescent="0.3">
      <c r="A227" s="5" t="s">
        <v>315</v>
      </c>
      <c r="B227" s="5" t="s">
        <v>10</v>
      </c>
      <c r="C227" s="5">
        <v>454</v>
      </c>
      <c r="D227" s="5">
        <v>226</v>
      </c>
    </row>
    <row r="228" spans="1:4" hidden="1" x14ac:dyDescent="0.3">
      <c r="A228" s="5" t="s">
        <v>452</v>
      </c>
      <c r="B228" s="5" t="s">
        <v>50</v>
      </c>
      <c r="C228" s="5">
        <v>455</v>
      </c>
      <c r="D228" s="5">
        <v>227</v>
      </c>
    </row>
    <row r="229" spans="1:4" hidden="1" x14ac:dyDescent="0.3">
      <c r="A229" s="5" t="s">
        <v>650</v>
      </c>
      <c r="B229" s="5" t="s">
        <v>50</v>
      </c>
      <c r="C229" s="5">
        <v>456</v>
      </c>
      <c r="D229" s="5">
        <v>228</v>
      </c>
    </row>
    <row r="230" spans="1:4" hidden="1" x14ac:dyDescent="0.3">
      <c r="A230" s="5" t="s">
        <v>395</v>
      </c>
      <c r="B230" s="5" t="s">
        <v>50</v>
      </c>
      <c r="C230" s="5">
        <v>459</v>
      </c>
      <c r="D230" s="5">
        <v>229</v>
      </c>
    </row>
    <row r="231" spans="1:4" x14ac:dyDescent="0.3">
      <c r="A231" s="5" t="s">
        <v>350</v>
      </c>
      <c r="B231" s="5" t="s">
        <v>10</v>
      </c>
      <c r="C231" s="5">
        <v>460</v>
      </c>
      <c r="D231" s="5">
        <v>230</v>
      </c>
    </row>
    <row r="232" spans="1:4" hidden="1" x14ac:dyDescent="0.3">
      <c r="A232" s="5" t="s">
        <v>558</v>
      </c>
      <c r="B232" s="5" t="s">
        <v>50</v>
      </c>
      <c r="C232" s="5">
        <v>462</v>
      </c>
      <c r="D232" s="5">
        <v>231</v>
      </c>
    </row>
    <row r="233" spans="1:4" x14ac:dyDescent="0.3">
      <c r="A233" s="5" t="s">
        <v>362</v>
      </c>
      <c r="B233" s="5" t="s">
        <v>10</v>
      </c>
      <c r="C233" s="5">
        <v>463</v>
      </c>
      <c r="D233" s="5">
        <v>232</v>
      </c>
    </row>
    <row r="234" spans="1:4" x14ac:dyDescent="0.3">
      <c r="A234" s="5" t="s">
        <v>379</v>
      </c>
      <c r="B234" s="5" t="s">
        <v>10</v>
      </c>
      <c r="C234" s="5">
        <v>464</v>
      </c>
      <c r="D234" s="5">
        <v>233</v>
      </c>
    </row>
    <row r="235" spans="1:4" hidden="1" x14ac:dyDescent="0.3">
      <c r="A235" s="5" t="s">
        <v>559</v>
      </c>
      <c r="B235" s="5" t="s">
        <v>50</v>
      </c>
      <c r="C235" s="5">
        <v>465</v>
      </c>
      <c r="D235" s="5">
        <v>234</v>
      </c>
    </row>
    <row r="236" spans="1:4" hidden="1" x14ac:dyDescent="0.3">
      <c r="A236" s="5" t="s">
        <v>443</v>
      </c>
      <c r="B236" s="5" t="s">
        <v>152</v>
      </c>
      <c r="C236" s="5">
        <v>466</v>
      </c>
      <c r="D236" s="5">
        <v>235</v>
      </c>
    </row>
    <row r="237" spans="1:4" hidden="1" x14ac:dyDescent="0.3">
      <c r="A237" s="5" t="s">
        <v>393</v>
      </c>
      <c r="B237" s="5" t="s">
        <v>50</v>
      </c>
      <c r="C237" s="5">
        <v>469</v>
      </c>
      <c r="D237" s="5">
        <v>236</v>
      </c>
    </row>
    <row r="238" spans="1:4" hidden="1" x14ac:dyDescent="0.3">
      <c r="A238" s="5" t="s">
        <v>562</v>
      </c>
      <c r="B238" s="5" t="s">
        <v>50</v>
      </c>
      <c r="C238" s="5">
        <v>470</v>
      </c>
      <c r="D238" s="5">
        <v>237</v>
      </c>
    </row>
    <row r="239" spans="1:4" x14ac:dyDescent="0.3">
      <c r="A239" s="5" t="s">
        <v>417</v>
      </c>
      <c r="B239" s="5" t="s">
        <v>10</v>
      </c>
      <c r="C239" s="5">
        <v>471</v>
      </c>
      <c r="D239" s="5">
        <v>238</v>
      </c>
    </row>
    <row r="240" spans="1:4" hidden="1" x14ac:dyDescent="0.3">
      <c r="A240" s="5" t="s">
        <v>426</v>
      </c>
      <c r="B240" s="5" t="s">
        <v>50</v>
      </c>
      <c r="C240" s="5">
        <v>472</v>
      </c>
      <c r="D240" s="5">
        <v>239</v>
      </c>
    </row>
    <row r="241" spans="1:4" hidden="1" x14ac:dyDescent="0.3">
      <c r="A241" s="5" t="s">
        <v>390</v>
      </c>
      <c r="B241" s="5" t="s">
        <v>152</v>
      </c>
      <c r="C241" s="5">
        <v>474</v>
      </c>
      <c r="D241" s="5">
        <v>240</v>
      </c>
    </row>
    <row r="242" spans="1:4" hidden="1" x14ac:dyDescent="0.3">
      <c r="A242" s="5" t="s">
        <v>561</v>
      </c>
      <c r="B242" s="5" t="s">
        <v>50</v>
      </c>
      <c r="C242" s="5">
        <v>475</v>
      </c>
      <c r="D242" s="5">
        <v>241</v>
      </c>
    </row>
    <row r="243" spans="1:4" hidden="1" x14ac:dyDescent="0.3">
      <c r="A243" s="5" t="s">
        <v>370</v>
      </c>
      <c r="B243" s="5" t="s">
        <v>152</v>
      </c>
      <c r="C243" s="5">
        <v>477</v>
      </c>
      <c r="D243" s="5">
        <v>242</v>
      </c>
    </row>
    <row r="244" spans="1:4" x14ac:dyDescent="0.3">
      <c r="A244" s="5" t="s">
        <v>399</v>
      </c>
      <c r="B244" s="5" t="s">
        <v>10</v>
      </c>
      <c r="C244" s="5">
        <v>479</v>
      </c>
      <c r="D244" s="5">
        <v>243</v>
      </c>
    </row>
    <row r="245" spans="1:4" hidden="1" x14ac:dyDescent="0.3">
      <c r="A245" s="5" t="s">
        <v>416</v>
      </c>
      <c r="B245" s="5" t="s">
        <v>50</v>
      </c>
      <c r="C245" s="5">
        <v>480</v>
      </c>
      <c r="D245" s="5">
        <v>244</v>
      </c>
    </row>
    <row r="246" spans="1:4" hidden="1" x14ac:dyDescent="0.3">
      <c r="A246" s="5" t="s">
        <v>425</v>
      </c>
      <c r="B246" s="5" t="s">
        <v>50</v>
      </c>
      <c r="C246" s="5">
        <v>482</v>
      </c>
      <c r="D246" s="5">
        <v>245</v>
      </c>
    </row>
    <row r="247" spans="1:4" hidden="1" x14ac:dyDescent="0.3">
      <c r="A247" s="5" t="s">
        <v>412</v>
      </c>
      <c r="B247" s="5" t="s">
        <v>50</v>
      </c>
      <c r="C247" s="5">
        <v>484</v>
      </c>
      <c r="D247" s="5">
        <v>246</v>
      </c>
    </row>
    <row r="248" spans="1:4" hidden="1" x14ac:dyDescent="0.3">
      <c r="A248" s="5" t="s">
        <v>441</v>
      </c>
      <c r="B248" s="5" t="s">
        <v>152</v>
      </c>
      <c r="C248" s="5">
        <v>488</v>
      </c>
      <c r="D248" s="5">
        <v>247</v>
      </c>
    </row>
    <row r="249" spans="1:4" x14ac:dyDescent="0.3">
      <c r="A249" s="5" t="s">
        <v>431</v>
      </c>
      <c r="B249" s="5" t="s">
        <v>10</v>
      </c>
      <c r="C249" s="5">
        <v>490</v>
      </c>
      <c r="D249" s="5">
        <v>248</v>
      </c>
    </row>
    <row r="250" spans="1:4" x14ac:dyDescent="0.3">
      <c r="A250" s="5" t="s">
        <v>332</v>
      </c>
      <c r="B250" s="5" t="s">
        <v>10</v>
      </c>
      <c r="C250" s="5">
        <v>491</v>
      </c>
      <c r="D250" s="5">
        <v>249</v>
      </c>
    </row>
    <row r="251" spans="1:4" hidden="1" x14ac:dyDescent="0.3">
      <c r="A251" s="5" t="s">
        <v>381</v>
      </c>
      <c r="B251" s="5" t="s">
        <v>152</v>
      </c>
      <c r="C251" s="5">
        <v>492</v>
      </c>
      <c r="D251" s="5">
        <v>250</v>
      </c>
    </row>
    <row r="252" spans="1:4" hidden="1" x14ac:dyDescent="0.3">
      <c r="A252" s="5" t="s">
        <v>652</v>
      </c>
      <c r="B252" s="5" t="s">
        <v>264</v>
      </c>
      <c r="C252" s="5">
        <v>495</v>
      </c>
      <c r="D252" s="5">
        <v>251</v>
      </c>
    </row>
    <row r="253" spans="1:4" hidden="1" x14ac:dyDescent="0.3">
      <c r="A253" s="5" t="s">
        <v>380</v>
      </c>
      <c r="B253" s="5" t="s">
        <v>152</v>
      </c>
      <c r="C253" s="5">
        <v>497</v>
      </c>
      <c r="D253" s="5">
        <v>252</v>
      </c>
    </row>
    <row r="254" spans="1:4" hidden="1" x14ac:dyDescent="0.3">
      <c r="A254" s="5" t="s">
        <v>397</v>
      </c>
      <c r="B254" s="5" t="s">
        <v>152</v>
      </c>
      <c r="C254" s="5">
        <v>499</v>
      </c>
      <c r="D254" s="5">
        <v>253</v>
      </c>
    </row>
    <row r="255" spans="1:4" hidden="1" x14ac:dyDescent="0.3">
      <c r="A255" s="5" t="s">
        <v>654</v>
      </c>
      <c r="B255" s="5" t="s">
        <v>152</v>
      </c>
      <c r="C255" s="5">
        <v>502</v>
      </c>
      <c r="D255" s="5">
        <v>254</v>
      </c>
    </row>
    <row r="256" spans="1:4" hidden="1" x14ac:dyDescent="0.3">
      <c r="A256" s="5" t="s">
        <v>688</v>
      </c>
      <c r="B256" s="5" t="s">
        <v>264</v>
      </c>
      <c r="C256" s="5">
        <v>503</v>
      </c>
      <c r="D256" s="5">
        <v>255</v>
      </c>
    </row>
    <row r="257" spans="1:5" hidden="1" x14ac:dyDescent="0.3">
      <c r="A257" s="5" t="s">
        <v>384</v>
      </c>
      <c r="B257" s="5" t="s">
        <v>152</v>
      </c>
      <c r="C257" s="5">
        <v>504</v>
      </c>
      <c r="D257" s="5">
        <v>256</v>
      </c>
    </row>
    <row r="258" spans="1:5" hidden="1" x14ac:dyDescent="0.3">
      <c r="A258" s="5" t="s">
        <v>659</v>
      </c>
      <c r="B258" s="5" t="s">
        <v>152</v>
      </c>
      <c r="C258" s="5">
        <v>506</v>
      </c>
      <c r="D258" s="5">
        <v>257</v>
      </c>
    </row>
    <row r="259" spans="1:5" hidden="1" x14ac:dyDescent="0.3">
      <c r="A259" s="5" t="s">
        <v>449</v>
      </c>
      <c r="B259" s="5" t="s">
        <v>50</v>
      </c>
      <c r="C259" s="5">
        <v>507</v>
      </c>
      <c r="D259" s="5">
        <v>258</v>
      </c>
    </row>
    <row r="260" spans="1:5" hidden="1" x14ac:dyDescent="0.3">
      <c r="A260" s="5" t="s">
        <v>418</v>
      </c>
      <c r="B260" s="5" t="s">
        <v>50</v>
      </c>
      <c r="C260" s="5">
        <v>508</v>
      </c>
      <c r="D260" s="5">
        <v>259</v>
      </c>
    </row>
    <row r="261" spans="1:5" x14ac:dyDescent="0.3">
      <c r="A261" s="5" t="s">
        <v>481</v>
      </c>
      <c r="B261" s="5" t="s">
        <v>10</v>
      </c>
      <c r="C261" s="5">
        <v>509</v>
      </c>
      <c r="D261" s="5">
        <v>260</v>
      </c>
    </row>
    <row r="262" spans="1:5" hidden="1" x14ac:dyDescent="0.3">
      <c r="A262" s="5" t="s">
        <v>401</v>
      </c>
      <c r="B262" s="5" t="s">
        <v>50</v>
      </c>
      <c r="C262" s="5">
        <v>511</v>
      </c>
      <c r="D262" s="5">
        <v>261</v>
      </c>
    </row>
    <row r="263" spans="1:5" x14ac:dyDescent="0.3">
      <c r="A263" s="5" t="s">
        <v>604</v>
      </c>
      <c r="B263" s="5" t="s">
        <v>10</v>
      </c>
      <c r="C263" s="5">
        <v>512</v>
      </c>
      <c r="D263" s="5">
        <v>262</v>
      </c>
    </row>
    <row r="264" spans="1:5" hidden="1" x14ac:dyDescent="0.3">
      <c r="A264" s="5" t="s">
        <v>660</v>
      </c>
      <c r="B264" s="5" t="s">
        <v>50</v>
      </c>
      <c r="C264" s="5">
        <v>516</v>
      </c>
      <c r="D264" s="5">
        <v>263</v>
      </c>
    </row>
    <row r="265" spans="1:5" hidden="1" x14ac:dyDescent="0.3">
      <c r="A265" s="5" t="s">
        <v>486</v>
      </c>
      <c r="B265" s="5" t="s">
        <v>50</v>
      </c>
      <c r="C265" s="5">
        <v>517</v>
      </c>
      <c r="D265" s="5">
        <v>264</v>
      </c>
    </row>
    <row r="266" spans="1:5" hidden="1" x14ac:dyDescent="0.3">
      <c r="A266" s="5" t="s">
        <v>392</v>
      </c>
      <c r="B266" s="5" t="s">
        <v>50</v>
      </c>
      <c r="C266" s="5">
        <v>519</v>
      </c>
      <c r="D266" s="5">
        <v>265</v>
      </c>
    </row>
    <row r="267" spans="1:5" x14ac:dyDescent="0.3">
      <c r="A267" s="5" t="s">
        <v>429</v>
      </c>
      <c r="B267" s="5" t="s">
        <v>10</v>
      </c>
      <c r="C267" s="5">
        <v>520</v>
      </c>
      <c r="D267" s="5">
        <v>266</v>
      </c>
    </row>
    <row r="268" spans="1:5" x14ac:dyDescent="0.3">
      <c r="A268" s="5" t="s">
        <v>348</v>
      </c>
      <c r="B268" s="5" t="s">
        <v>10</v>
      </c>
      <c r="C268" s="5">
        <v>521</v>
      </c>
      <c r="D268" s="5">
        <v>267</v>
      </c>
      <c r="E268" t="s">
        <v>700</v>
      </c>
    </row>
    <row r="269" spans="1:5" hidden="1" x14ac:dyDescent="0.3">
      <c r="A269" s="5" t="s">
        <v>472</v>
      </c>
      <c r="B269" s="5" t="s">
        <v>50</v>
      </c>
      <c r="C269" s="5">
        <v>522</v>
      </c>
      <c r="D269" s="5">
        <v>268</v>
      </c>
    </row>
    <row r="270" spans="1:5" x14ac:dyDescent="0.3">
      <c r="A270" s="5" t="s">
        <v>398</v>
      </c>
      <c r="B270" s="5" t="s">
        <v>10</v>
      </c>
      <c r="C270" s="5">
        <v>524</v>
      </c>
      <c r="D270" s="5">
        <v>269</v>
      </c>
    </row>
    <row r="271" spans="1:5" hidden="1" x14ac:dyDescent="0.3">
      <c r="A271" s="5" t="s">
        <v>663</v>
      </c>
      <c r="B271" s="5" t="s">
        <v>264</v>
      </c>
      <c r="C271" s="5">
        <v>525</v>
      </c>
      <c r="D271" s="5">
        <v>270</v>
      </c>
    </row>
    <row r="272" spans="1:5" x14ac:dyDescent="0.3">
      <c r="A272" s="5" t="s">
        <v>364</v>
      </c>
      <c r="B272" s="5" t="s">
        <v>10</v>
      </c>
      <c r="C272" s="5">
        <v>526</v>
      </c>
      <c r="D272" s="5">
        <v>271</v>
      </c>
    </row>
    <row r="273" spans="1:5" x14ac:dyDescent="0.3">
      <c r="A273" s="5" t="s">
        <v>461</v>
      </c>
      <c r="B273" s="5" t="s">
        <v>10</v>
      </c>
      <c r="C273" s="5">
        <v>527</v>
      </c>
      <c r="D273" s="5">
        <v>272</v>
      </c>
    </row>
    <row r="274" spans="1:5" x14ac:dyDescent="0.3">
      <c r="A274" s="5" t="s">
        <v>664</v>
      </c>
      <c r="B274" s="5" t="s">
        <v>10</v>
      </c>
      <c r="C274" s="5">
        <v>529</v>
      </c>
      <c r="D274" s="5">
        <v>273</v>
      </c>
    </row>
    <row r="275" spans="1:5" hidden="1" x14ac:dyDescent="0.3">
      <c r="A275" s="5" t="s">
        <v>470</v>
      </c>
      <c r="B275" s="5" t="s">
        <v>50</v>
      </c>
      <c r="C275" s="5">
        <v>530</v>
      </c>
      <c r="D275" s="5">
        <v>274</v>
      </c>
    </row>
    <row r="276" spans="1:5" hidden="1" x14ac:dyDescent="0.3">
      <c r="A276" s="5" t="s">
        <v>574</v>
      </c>
      <c r="B276" s="5" t="s">
        <v>50</v>
      </c>
      <c r="C276" s="5">
        <v>531</v>
      </c>
      <c r="D276" s="5">
        <v>275</v>
      </c>
    </row>
    <row r="277" spans="1:5" x14ac:dyDescent="0.3">
      <c r="A277" s="5" t="s">
        <v>324</v>
      </c>
      <c r="B277" s="5" t="s">
        <v>10</v>
      </c>
      <c r="C277" s="5">
        <v>533</v>
      </c>
      <c r="D277" s="5">
        <v>276</v>
      </c>
    </row>
    <row r="278" spans="1:5" hidden="1" x14ac:dyDescent="0.3">
      <c r="A278" s="5" t="s">
        <v>391</v>
      </c>
      <c r="B278" s="5" t="s">
        <v>50</v>
      </c>
      <c r="C278" s="5">
        <v>535</v>
      </c>
      <c r="D278" s="5">
        <v>277</v>
      </c>
    </row>
    <row r="279" spans="1:5" hidden="1" x14ac:dyDescent="0.3">
      <c r="A279" s="5" t="s">
        <v>460</v>
      </c>
      <c r="B279" s="5" t="s">
        <v>152</v>
      </c>
      <c r="C279" s="5">
        <v>538</v>
      </c>
      <c r="D279" s="5">
        <v>278</v>
      </c>
    </row>
    <row r="280" spans="1:5" hidden="1" x14ac:dyDescent="0.3">
      <c r="A280" s="5" t="s">
        <v>567</v>
      </c>
      <c r="B280" s="5" t="s">
        <v>50</v>
      </c>
      <c r="C280" s="5">
        <v>540</v>
      </c>
      <c r="D280" s="5">
        <v>279</v>
      </c>
    </row>
    <row r="281" spans="1:5" hidden="1" x14ac:dyDescent="0.3">
      <c r="A281" s="5" t="s">
        <v>446</v>
      </c>
      <c r="B281" s="5" t="s">
        <v>50</v>
      </c>
      <c r="C281" s="5">
        <v>541</v>
      </c>
      <c r="D281" s="5">
        <v>280</v>
      </c>
    </row>
    <row r="282" spans="1:5" x14ac:dyDescent="0.3">
      <c r="A282" s="5" t="s">
        <v>407</v>
      </c>
      <c r="B282" s="5" t="s">
        <v>10</v>
      </c>
      <c r="C282" s="5">
        <v>544</v>
      </c>
      <c r="D282" s="5">
        <v>281</v>
      </c>
      <c r="E282" t="s">
        <v>700</v>
      </c>
    </row>
    <row r="283" spans="1:5" hidden="1" x14ac:dyDescent="0.3">
      <c r="A283" s="5" t="s">
        <v>689</v>
      </c>
      <c r="B283" s="5" t="s">
        <v>264</v>
      </c>
      <c r="C283" s="5">
        <v>545</v>
      </c>
      <c r="D283" s="5">
        <v>282</v>
      </c>
    </row>
    <row r="284" spans="1:5" hidden="1" x14ac:dyDescent="0.3">
      <c r="A284" s="5" t="s">
        <v>667</v>
      </c>
      <c r="B284" s="5" t="s">
        <v>152</v>
      </c>
      <c r="C284" s="5">
        <v>547</v>
      </c>
      <c r="D284" s="5">
        <v>283</v>
      </c>
    </row>
    <row r="285" spans="1:5" x14ac:dyDescent="0.3">
      <c r="A285" s="5" t="s">
        <v>403</v>
      </c>
      <c r="B285" s="5" t="s">
        <v>10</v>
      </c>
      <c r="C285" s="5">
        <v>549</v>
      </c>
      <c r="D285" s="5">
        <v>284</v>
      </c>
    </row>
    <row r="286" spans="1:5" hidden="1" x14ac:dyDescent="0.3">
      <c r="A286" s="5" t="s">
        <v>479</v>
      </c>
      <c r="B286" s="5" t="s">
        <v>152</v>
      </c>
      <c r="C286" s="5">
        <v>550</v>
      </c>
      <c r="D286" s="5">
        <v>285</v>
      </c>
    </row>
    <row r="287" spans="1:5" hidden="1" x14ac:dyDescent="0.3">
      <c r="A287" s="5" t="s">
        <v>457</v>
      </c>
      <c r="B287" s="5" t="s">
        <v>50</v>
      </c>
      <c r="C287" s="5">
        <v>551</v>
      </c>
      <c r="D287" s="5">
        <v>286</v>
      </c>
    </row>
    <row r="288" spans="1:5" hidden="1" x14ac:dyDescent="0.3">
      <c r="A288" s="5" t="s">
        <v>668</v>
      </c>
      <c r="B288" s="5" t="s">
        <v>152</v>
      </c>
      <c r="C288" s="5">
        <v>552</v>
      </c>
      <c r="D288" s="5">
        <v>287</v>
      </c>
    </row>
    <row r="289" spans="1:4" hidden="1" x14ac:dyDescent="0.3">
      <c r="A289" s="5" t="s">
        <v>414</v>
      </c>
      <c r="B289" s="5" t="s">
        <v>50</v>
      </c>
      <c r="C289" s="5">
        <v>553</v>
      </c>
      <c r="D289" s="5">
        <v>288</v>
      </c>
    </row>
    <row r="290" spans="1:4" hidden="1" x14ac:dyDescent="0.3">
      <c r="A290" s="5" t="s">
        <v>489</v>
      </c>
      <c r="B290" s="5" t="s">
        <v>152</v>
      </c>
      <c r="C290" s="5">
        <v>554</v>
      </c>
      <c r="D290" s="5">
        <v>289</v>
      </c>
    </row>
    <row r="291" spans="1:4" hidden="1" x14ac:dyDescent="0.3">
      <c r="A291" s="10" t="s">
        <v>670</v>
      </c>
      <c r="B291" s="5" t="s">
        <v>50</v>
      </c>
      <c r="C291" s="5">
        <v>558</v>
      </c>
      <c r="D291" s="5">
        <v>290</v>
      </c>
    </row>
    <row r="292" spans="1:4" x14ac:dyDescent="0.3">
      <c r="A292" s="5" t="s">
        <v>406</v>
      </c>
      <c r="B292" s="5" t="s">
        <v>10</v>
      </c>
      <c r="C292" s="5">
        <v>560</v>
      </c>
      <c r="D292" s="5">
        <v>291</v>
      </c>
    </row>
    <row r="293" spans="1:4" x14ac:dyDescent="0.3">
      <c r="A293" s="5" t="s">
        <v>469</v>
      </c>
      <c r="B293" s="5" t="s">
        <v>10</v>
      </c>
      <c r="C293" s="5">
        <v>562</v>
      </c>
      <c r="D293" s="5">
        <v>292</v>
      </c>
    </row>
    <row r="294" spans="1:4" hidden="1" x14ac:dyDescent="0.3">
      <c r="A294" s="5" t="s">
        <v>673</v>
      </c>
      <c r="B294" s="5" t="s">
        <v>50</v>
      </c>
      <c r="C294" s="5">
        <v>565</v>
      </c>
      <c r="D294" s="5">
        <v>293</v>
      </c>
    </row>
    <row r="295" spans="1:4" hidden="1" x14ac:dyDescent="0.3">
      <c r="A295" s="5" t="s">
        <v>674</v>
      </c>
      <c r="B295" s="5" t="s">
        <v>50</v>
      </c>
      <c r="C295" s="5">
        <v>567</v>
      </c>
      <c r="D295" s="5">
        <v>294</v>
      </c>
    </row>
    <row r="296" spans="1:4" x14ac:dyDescent="0.3">
      <c r="A296" s="5" t="s">
        <v>371</v>
      </c>
      <c r="B296" s="5" t="s">
        <v>10</v>
      </c>
      <c r="C296" s="5">
        <v>570</v>
      </c>
      <c r="D296" s="5">
        <v>295</v>
      </c>
    </row>
    <row r="297" spans="1:4" x14ac:dyDescent="0.3">
      <c r="A297" s="5" t="s">
        <v>676</v>
      </c>
      <c r="B297" s="5" t="s">
        <v>10</v>
      </c>
      <c r="C297" s="5">
        <v>571</v>
      </c>
      <c r="D297" s="5">
        <v>296</v>
      </c>
    </row>
    <row r="298" spans="1:4" hidden="1" x14ac:dyDescent="0.3">
      <c r="A298" s="5" t="s">
        <v>478</v>
      </c>
      <c r="B298" s="5" t="s">
        <v>152</v>
      </c>
      <c r="C298" s="5">
        <v>574</v>
      </c>
      <c r="D298" s="5">
        <v>297</v>
      </c>
    </row>
    <row r="299" spans="1:4" hidden="1" x14ac:dyDescent="0.3">
      <c r="A299" s="5" t="s">
        <v>451</v>
      </c>
      <c r="B299" s="5" t="s">
        <v>264</v>
      </c>
      <c r="C299" s="5">
        <v>575</v>
      </c>
      <c r="D299" s="5">
        <v>298</v>
      </c>
    </row>
    <row r="300" spans="1:4" hidden="1" x14ac:dyDescent="0.3">
      <c r="A300" s="5" t="s">
        <v>459</v>
      </c>
      <c r="B300" s="5" t="s">
        <v>50</v>
      </c>
      <c r="C300" s="5">
        <v>576</v>
      </c>
      <c r="D300" s="5">
        <v>299</v>
      </c>
    </row>
    <row r="301" spans="1:4" hidden="1" x14ac:dyDescent="0.3">
      <c r="A301" s="5" t="s">
        <v>424</v>
      </c>
      <c r="B301" s="5" t="s">
        <v>152</v>
      </c>
      <c r="C301" s="5">
        <v>577</v>
      </c>
      <c r="D301" s="5">
        <v>300</v>
      </c>
    </row>
    <row r="302" spans="1:4" x14ac:dyDescent="0.3">
      <c r="A302" s="5" t="s">
        <v>405</v>
      </c>
      <c r="B302" s="5" t="s">
        <v>10</v>
      </c>
      <c r="C302" s="5">
        <v>578</v>
      </c>
      <c r="D302" s="5">
        <v>301</v>
      </c>
    </row>
    <row r="303" spans="1:4" hidden="1" x14ac:dyDescent="0.3">
      <c r="A303" s="5" t="s">
        <v>678</v>
      </c>
      <c r="B303" s="5" t="s">
        <v>50</v>
      </c>
      <c r="C303" s="5">
        <v>579</v>
      </c>
      <c r="D303" s="5">
        <v>302</v>
      </c>
    </row>
    <row r="304" spans="1:4" hidden="1" x14ac:dyDescent="0.3">
      <c r="A304" s="5" t="s">
        <v>680</v>
      </c>
      <c r="B304" s="5" t="s">
        <v>50</v>
      </c>
      <c r="C304" s="5">
        <v>582</v>
      </c>
      <c r="D304" s="5">
        <v>303</v>
      </c>
    </row>
    <row r="305" spans="1:4" x14ac:dyDescent="0.3">
      <c r="A305" s="5" t="s">
        <v>427</v>
      </c>
      <c r="B305" s="5" t="s">
        <v>10</v>
      </c>
      <c r="C305" s="5">
        <v>583</v>
      </c>
      <c r="D305" s="5">
        <v>304</v>
      </c>
    </row>
    <row r="306" spans="1:4" x14ac:dyDescent="0.3">
      <c r="A306" s="5" t="s">
        <v>404</v>
      </c>
      <c r="B306" s="5" t="s">
        <v>10</v>
      </c>
      <c r="C306" s="5">
        <v>584</v>
      </c>
      <c r="D306" s="5">
        <v>305</v>
      </c>
    </row>
    <row r="307" spans="1:4" x14ac:dyDescent="0.3">
      <c r="A307" s="5" t="s">
        <v>438</v>
      </c>
      <c r="B307" s="5" t="s">
        <v>10</v>
      </c>
      <c r="C307" s="5">
        <v>585</v>
      </c>
      <c r="D307" s="5">
        <v>306</v>
      </c>
    </row>
    <row r="308" spans="1:4" hidden="1" x14ac:dyDescent="0.3">
      <c r="A308" s="5" t="s">
        <v>464</v>
      </c>
      <c r="B308" s="5" t="s">
        <v>152</v>
      </c>
      <c r="C308" s="5">
        <v>586</v>
      </c>
      <c r="D308" s="5">
        <v>307</v>
      </c>
    </row>
    <row r="309" spans="1:4" x14ac:dyDescent="0.3">
      <c r="A309" s="5" t="s">
        <v>436</v>
      </c>
      <c r="B309" s="5" t="s">
        <v>10</v>
      </c>
      <c r="C309" s="5">
        <v>588</v>
      </c>
      <c r="D309" s="5">
        <v>308</v>
      </c>
    </row>
    <row r="310" spans="1:4" hidden="1" x14ac:dyDescent="0.3">
      <c r="A310" s="5" t="s">
        <v>681</v>
      </c>
      <c r="B310" s="5" t="s">
        <v>152</v>
      </c>
      <c r="C310" s="5">
        <v>589</v>
      </c>
      <c r="D310" s="5">
        <v>309</v>
      </c>
    </row>
    <row r="311" spans="1:4" hidden="1" x14ac:dyDescent="0.3">
      <c r="A311" s="5" t="s">
        <v>683</v>
      </c>
      <c r="B311" s="5" t="s">
        <v>50</v>
      </c>
      <c r="C311" s="5">
        <v>591</v>
      </c>
      <c r="D311" s="5">
        <v>310</v>
      </c>
    </row>
    <row r="312" spans="1:4" hidden="1" x14ac:dyDescent="0.3">
      <c r="A312" s="5" t="s">
        <v>439</v>
      </c>
      <c r="B312" s="5" t="s">
        <v>152</v>
      </c>
      <c r="C312" s="5">
        <v>592</v>
      </c>
      <c r="D312" s="5">
        <v>311</v>
      </c>
    </row>
    <row r="313" spans="1:4" x14ac:dyDescent="0.3">
      <c r="A313" s="5" t="s">
        <v>375</v>
      </c>
      <c r="B313" s="5" t="s">
        <v>10</v>
      </c>
      <c r="C313" s="5">
        <v>593</v>
      </c>
      <c r="D313" s="5">
        <v>312</v>
      </c>
    </row>
    <row r="314" spans="1:4" hidden="1" x14ac:dyDescent="0.3">
      <c r="A314" s="5" t="s">
        <v>685</v>
      </c>
      <c r="B314" s="5" t="s">
        <v>152</v>
      </c>
      <c r="C314" s="5">
        <v>595</v>
      </c>
      <c r="D314" s="5">
        <v>313</v>
      </c>
    </row>
    <row r="315" spans="1:4" hidden="1" x14ac:dyDescent="0.3">
      <c r="A315" s="5" t="s">
        <v>433</v>
      </c>
      <c r="B315" s="5" t="s">
        <v>152</v>
      </c>
      <c r="C315" s="5">
        <v>596</v>
      </c>
      <c r="D315" s="5">
        <v>314</v>
      </c>
    </row>
    <row r="316" spans="1:4" hidden="1" x14ac:dyDescent="0.3">
      <c r="A316" s="5" t="s">
        <v>453</v>
      </c>
      <c r="B316" s="5" t="s">
        <v>152</v>
      </c>
      <c r="C316" s="5">
        <v>597</v>
      </c>
      <c r="D316" s="5"/>
    </row>
    <row r="317" spans="1:4" x14ac:dyDescent="0.3">
      <c r="A317" s="5" t="s">
        <v>686</v>
      </c>
      <c r="B317" s="5" t="s">
        <v>10</v>
      </c>
      <c r="C317" s="5">
        <v>598</v>
      </c>
      <c r="D317" s="5"/>
    </row>
    <row r="318" spans="1:4" x14ac:dyDescent="0.3">
      <c r="A318" s="5" t="s">
        <v>402</v>
      </c>
      <c r="B318" s="5" t="s">
        <v>10</v>
      </c>
      <c r="C318" s="5">
        <v>600</v>
      </c>
      <c r="D318" s="5"/>
    </row>
  </sheetData>
  <autoFilter ref="A1:H318" xr:uid="{20E37998-B70C-4D98-98FB-4B033CD9D023}">
    <filterColumn colId="1">
      <filters>
        <filter val="무명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5BB1F-7E85-4A44-AE24-1BC6A5E8D440}">
  <dimension ref="A1:Q613"/>
  <sheetViews>
    <sheetView tabSelected="1" workbookViewId="0">
      <pane ySplit="13" topLeftCell="A14" activePane="bottomLeft" state="frozen"/>
      <selection pane="bottomLeft" activeCell="B42" sqref="B42"/>
    </sheetView>
  </sheetViews>
  <sheetFormatPr defaultRowHeight="16.5" x14ac:dyDescent="0.3"/>
  <cols>
    <col min="2" max="2" width="13" bestFit="1" customWidth="1"/>
  </cols>
  <sheetData>
    <row r="1" spans="1:17" x14ac:dyDescent="0.3">
      <c r="D1" s="6" t="s">
        <v>692</v>
      </c>
      <c r="E1" s="8" t="s">
        <v>695</v>
      </c>
      <c r="F1" s="8" t="s">
        <v>696</v>
      </c>
      <c r="G1" s="8" t="s">
        <v>697</v>
      </c>
      <c r="H1" s="8" t="s">
        <v>698</v>
      </c>
      <c r="I1" s="8" t="s">
        <v>699</v>
      </c>
    </row>
    <row r="2" spans="1:17" x14ac:dyDescent="0.3">
      <c r="D2" s="5" t="s">
        <v>5</v>
      </c>
      <c r="E2" s="5">
        <f>COUNTIF($C$14:$C$613,$D2)</f>
        <v>188</v>
      </c>
      <c r="F2" s="5">
        <f>COUNTIF($C$14:$C$413,$D2)</f>
        <v>162</v>
      </c>
      <c r="G2" s="5">
        <f>COUNTIF($C$14:$C$213,$D2)</f>
        <v>116</v>
      </c>
      <c r="H2" s="5">
        <f>COUNTIF($C$14:$C$113,$D2)</f>
        <v>68</v>
      </c>
      <c r="I2" s="5">
        <f>COUNTIF($C$14:$C$63,$D2)</f>
        <v>35</v>
      </c>
      <c r="O2" t="s">
        <v>656</v>
      </c>
      <c r="P2" t="s">
        <v>655</v>
      </c>
      <c r="Q2" t="s">
        <v>657</v>
      </c>
    </row>
    <row r="3" spans="1:17" x14ac:dyDescent="0.3">
      <c r="D3" s="5" t="s">
        <v>45</v>
      </c>
      <c r="E3" s="5">
        <f t="shared" ref="E3:E11" si="0">COUNTIF($C$14:$C$613,$D3)</f>
        <v>80</v>
      </c>
      <c r="F3" s="5">
        <f t="shared" ref="F3:F11" si="1">COUNTIF($C$14:$C$413,$D3)</f>
        <v>43</v>
      </c>
      <c r="G3" s="5">
        <f t="shared" ref="G3:G11" si="2">COUNTIF($C$14:$C$213,$D3)</f>
        <v>9</v>
      </c>
      <c r="H3" s="5">
        <f t="shared" ref="H3:H11" si="3">COUNTIF($C$14:$C$113,$D3)</f>
        <v>3</v>
      </c>
      <c r="I3" s="5">
        <f t="shared" ref="I3:I11" si="4">COUNTIF($C$14:$C$63,$D3)</f>
        <v>1</v>
      </c>
      <c r="O3" t="s">
        <v>496</v>
      </c>
      <c r="P3" t="s">
        <v>495</v>
      </c>
      <c r="Q3" t="s">
        <v>496</v>
      </c>
    </row>
    <row r="4" spans="1:17" x14ac:dyDescent="0.3">
      <c r="D4" s="5" t="s">
        <v>245</v>
      </c>
      <c r="E4" s="5">
        <f t="shared" si="0"/>
        <v>19</v>
      </c>
      <c r="F4" s="5">
        <f t="shared" si="1"/>
        <v>4</v>
      </c>
      <c r="G4" s="5">
        <f t="shared" si="2"/>
        <v>0</v>
      </c>
      <c r="H4" s="5">
        <f t="shared" si="3"/>
        <v>0</v>
      </c>
      <c r="I4" s="5">
        <f t="shared" si="4"/>
        <v>0</v>
      </c>
      <c r="O4" t="s">
        <v>493</v>
      </c>
      <c r="P4" t="s">
        <v>625</v>
      </c>
      <c r="Q4" s="2" t="s">
        <v>494</v>
      </c>
    </row>
    <row r="5" spans="1:17" x14ac:dyDescent="0.3">
      <c r="D5" s="5" t="s">
        <v>662</v>
      </c>
      <c r="E5" s="5">
        <f t="shared" si="0"/>
        <v>1</v>
      </c>
      <c r="F5" s="5">
        <f t="shared" si="1"/>
        <v>0</v>
      </c>
      <c r="G5" s="5">
        <f t="shared" si="2"/>
        <v>0</v>
      </c>
      <c r="H5" s="5">
        <f t="shared" si="3"/>
        <v>0</v>
      </c>
      <c r="I5" s="5">
        <f t="shared" si="4"/>
        <v>0</v>
      </c>
      <c r="O5" s="7" t="s">
        <v>497</v>
      </c>
      <c r="P5" s="7" t="s">
        <v>626</v>
      </c>
      <c r="Q5" s="4" t="s">
        <v>539</v>
      </c>
    </row>
    <row r="6" spans="1:17" x14ac:dyDescent="0.3">
      <c r="B6" s="4" t="s">
        <v>720</v>
      </c>
      <c r="D6" s="9" t="s">
        <v>694</v>
      </c>
      <c r="E6" s="9">
        <f>SUM(E2:E5)</f>
        <v>288</v>
      </c>
      <c r="F6" s="9">
        <f t="shared" ref="F6:I6" si="5">SUM(F2:F5)</f>
        <v>209</v>
      </c>
      <c r="G6" s="9">
        <f t="shared" si="5"/>
        <v>125</v>
      </c>
      <c r="H6" s="9">
        <f t="shared" si="5"/>
        <v>71</v>
      </c>
      <c r="I6" s="9">
        <f t="shared" si="5"/>
        <v>36</v>
      </c>
      <c r="O6" t="s">
        <v>498</v>
      </c>
      <c r="P6" t="s">
        <v>498</v>
      </c>
      <c r="Q6" s="3" t="s">
        <v>499</v>
      </c>
    </row>
    <row r="7" spans="1:17" x14ac:dyDescent="0.3">
      <c r="D7" s="6" t="s">
        <v>693</v>
      </c>
      <c r="E7" s="8" t="s">
        <v>695</v>
      </c>
      <c r="F7" s="8" t="s">
        <v>696</v>
      </c>
      <c r="G7" s="8" t="s">
        <v>697</v>
      </c>
      <c r="H7" s="8" t="s">
        <v>698</v>
      </c>
      <c r="I7" s="8" t="s">
        <v>699</v>
      </c>
      <c r="O7" t="s">
        <v>500</v>
      </c>
      <c r="P7" t="s">
        <v>500</v>
      </c>
      <c r="Q7" s="3" t="s">
        <v>501</v>
      </c>
    </row>
    <row r="8" spans="1:17" x14ac:dyDescent="0.3">
      <c r="D8" s="5" t="s">
        <v>10</v>
      </c>
      <c r="E8" s="5">
        <f t="shared" si="0"/>
        <v>146</v>
      </c>
      <c r="F8" s="5">
        <f t="shared" si="1"/>
        <v>106</v>
      </c>
      <c r="G8" s="5">
        <f t="shared" si="2"/>
        <v>48</v>
      </c>
      <c r="H8" s="5">
        <f t="shared" si="3"/>
        <v>18</v>
      </c>
      <c r="I8" s="5">
        <f t="shared" si="4"/>
        <v>11</v>
      </c>
      <c r="O8" s="4" t="s">
        <v>490</v>
      </c>
      <c r="P8" s="7" t="s">
        <v>627</v>
      </c>
      <c r="Q8" s="4" t="s">
        <v>491</v>
      </c>
    </row>
    <row r="9" spans="1:17" x14ac:dyDescent="0.3">
      <c r="D9" s="5" t="s">
        <v>50</v>
      </c>
      <c r="E9" s="5">
        <f t="shared" si="0"/>
        <v>120</v>
      </c>
      <c r="F9" s="5">
        <f t="shared" si="1"/>
        <v>72</v>
      </c>
      <c r="G9" s="5">
        <f t="shared" si="2"/>
        <v>25</v>
      </c>
      <c r="H9" s="5">
        <f t="shared" si="3"/>
        <v>11</v>
      </c>
      <c r="I9" s="5">
        <f t="shared" si="4"/>
        <v>3</v>
      </c>
      <c r="O9" s="7" t="s">
        <v>492</v>
      </c>
      <c r="P9" s="7" t="s">
        <v>628</v>
      </c>
      <c r="Q9" s="4" t="s">
        <v>597</v>
      </c>
    </row>
    <row r="10" spans="1:17" x14ac:dyDescent="0.3">
      <c r="D10" s="5" t="s">
        <v>152</v>
      </c>
      <c r="E10" s="5">
        <f t="shared" si="0"/>
        <v>41</v>
      </c>
      <c r="F10" s="5">
        <f t="shared" si="1"/>
        <v>12</v>
      </c>
      <c r="G10" s="5">
        <f t="shared" si="2"/>
        <v>2</v>
      </c>
      <c r="H10" s="5">
        <f t="shared" si="3"/>
        <v>0</v>
      </c>
      <c r="I10" s="5">
        <f t="shared" si="4"/>
        <v>0</v>
      </c>
    </row>
    <row r="11" spans="1:17" x14ac:dyDescent="0.3">
      <c r="D11" s="5" t="s">
        <v>264</v>
      </c>
      <c r="E11" s="5">
        <f t="shared" si="0"/>
        <v>5</v>
      </c>
      <c r="F11" s="5">
        <f t="shared" si="1"/>
        <v>1</v>
      </c>
      <c r="G11" s="5">
        <f t="shared" si="2"/>
        <v>0</v>
      </c>
      <c r="H11" s="5">
        <f t="shared" si="3"/>
        <v>0</v>
      </c>
      <c r="I11" s="5">
        <f t="shared" si="4"/>
        <v>0</v>
      </c>
    </row>
    <row r="12" spans="1:17" x14ac:dyDescent="0.3">
      <c r="D12" s="9" t="s">
        <v>694</v>
      </c>
      <c r="E12" s="9">
        <f>SUM(E8:E11)</f>
        <v>312</v>
      </c>
      <c r="F12" s="9">
        <f t="shared" ref="F12:I12" si="6">SUM(F8:F11)</f>
        <v>191</v>
      </c>
      <c r="G12" s="9">
        <f t="shared" si="6"/>
        <v>75</v>
      </c>
      <c r="H12" s="9">
        <f t="shared" si="6"/>
        <v>29</v>
      </c>
      <c r="I12" s="9">
        <f t="shared" si="6"/>
        <v>14</v>
      </c>
    </row>
    <row r="13" spans="1:17" x14ac:dyDescent="0.3">
      <c r="A13" t="s">
        <v>1</v>
      </c>
      <c r="B13" t="s">
        <v>2</v>
      </c>
      <c r="C13" t="s">
        <v>3</v>
      </c>
    </row>
    <row r="14" spans="1:17" x14ac:dyDescent="0.3">
      <c r="A14">
        <v>1</v>
      </c>
      <c r="B14" t="s">
        <v>0</v>
      </c>
      <c r="C14" s="1" t="s">
        <v>5</v>
      </c>
    </row>
    <row r="15" spans="1:17" x14ac:dyDescent="0.3">
      <c r="A15">
        <v>2</v>
      </c>
      <c r="B15" t="s">
        <v>606</v>
      </c>
      <c r="C15" t="s">
        <v>5</v>
      </c>
    </row>
    <row r="16" spans="1:17" x14ac:dyDescent="0.3">
      <c r="A16">
        <v>3</v>
      </c>
      <c r="B16" t="s">
        <v>6</v>
      </c>
      <c r="C16" t="s">
        <v>5</v>
      </c>
    </row>
    <row r="17" spans="1:3" x14ac:dyDescent="0.3">
      <c r="A17">
        <v>4</v>
      </c>
      <c r="B17" t="s">
        <v>4</v>
      </c>
      <c r="C17" t="s">
        <v>5</v>
      </c>
    </row>
    <row r="18" spans="1:3" x14ac:dyDescent="0.3">
      <c r="A18">
        <v>5</v>
      </c>
      <c r="B18" t="s">
        <v>9</v>
      </c>
      <c r="C18" t="s">
        <v>10</v>
      </c>
    </row>
    <row r="19" spans="1:3" x14ac:dyDescent="0.3">
      <c r="A19">
        <v>6</v>
      </c>
      <c r="B19" t="s">
        <v>7</v>
      </c>
      <c r="C19" t="s">
        <v>5</v>
      </c>
    </row>
    <row r="20" spans="1:3" x14ac:dyDescent="0.3">
      <c r="A20">
        <v>7</v>
      </c>
      <c r="B20" t="s">
        <v>8</v>
      </c>
      <c r="C20" t="s">
        <v>5</v>
      </c>
    </row>
    <row r="21" spans="1:3" x14ac:dyDescent="0.3">
      <c r="A21">
        <v>8</v>
      </c>
      <c r="B21" t="s">
        <v>13</v>
      </c>
      <c r="C21" t="s">
        <v>5</v>
      </c>
    </row>
    <row r="22" spans="1:3" x14ac:dyDescent="0.3">
      <c r="A22">
        <v>9</v>
      </c>
      <c r="B22" t="s">
        <v>11</v>
      </c>
      <c r="C22" t="s">
        <v>5</v>
      </c>
    </row>
    <row r="23" spans="1:3" x14ac:dyDescent="0.3">
      <c r="A23">
        <v>10</v>
      </c>
      <c r="B23" t="s">
        <v>51</v>
      </c>
      <c r="C23" t="s">
        <v>5</v>
      </c>
    </row>
    <row r="24" spans="1:3" x14ac:dyDescent="0.3">
      <c r="A24">
        <v>11</v>
      </c>
      <c r="B24" t="s">
        <v>598</v>
      </c>
      <c r="C24" t="s">
        <v>10</v>
      </c>
    </row>
    <row r="25" spans="1:3" x14ac:dyDescent="0.3">
      <c r="A25">
        <v>12</v>
      </c>
      <c r="B25" t="s">
        <v>608</v>
      </c>
      <c r="C25" t="s">
        <v>5</v>
      </c>
    </row>
    <row r="26" spans="1:3" x14ac:dyDescent="0.3">
      <c r="A26">
        <v>13</v>
      </c>
      <c r="B26" t="s">
        <v>607</v>
      </c>
      <c r="C26" t="s">
        <v>10</v>
      </c>
    </row>
    <row r="27" spans="1:3" x14ac:dyDescent="0.3">
      <c r="A27">
        <v>14</v>
      </c>
      <c r="B27" t="s">
        <v>21</v>
      </c>
      <c r="C27" t="s">
        <v>10</v>
      </c>
    </row>
    <row r="28" spans="1:3" x14ac:dyDescent="0.3">
      <c r="A28">
        <v>15</v>
      </c>
      <c r="B28" t="s">
        <v>14</v>
      </c>
      <c r="C28" t="s">
        <v>10</v>
      </c>
    </row>
    <row r="29" spans="1:3" x14ac:dyDescent="0.3">
      <c r="A29">
        <v>16</v>
      </c>
      <c r="B29" t="s">
        <v>18</v>
      </c>
      <c r="C29" t="s">
        <v>5</v>
      </c>
    </row>
    <row r="30" spans="1:3" x14ac:dyDescent="0.3">
      <c r="A30">
        <v>17</v>
      </c>
      <c r="B30" t="s">
        <v>17</v>
      </c>
      <c r="C30" t="s">
        <v>5</v>
      </c>
    </row>
    <row r="31" spans="1:3" x14ac:dyDescent="0.3">
      <c r="A31">
        <v>18</v>
      </c>
      <c r="B31" t="s">
        <v>610</v>
      </c>
      <c r="C31" t="s">
        <v>10</v>
      </c>
    </row>
    <row r="32" spans="1:3" x14ac:dyDescent="0.3">
      <c r="A32">
        <v>19</v>
      </c>
      <c r="B32" t="s">
        <v>22</v>
      </c>
      <c r="C32" t="s">
        <v>5</v>
      </c>
    </row>
    <row r="33" spans="1:3" x14ac:dyDescent="0.3">
      <c r="A33">
        <v>20</v>
      </c>
      <c r="B33" t="s">
        <v>540</v>
      </c>
      <c r="C33" t="s">
        <v>50</v>
      </c>
    </row>
    <row r="34" spans="1:3" x14ac:dyDescent="0.3">
      <c r="A34">
        <v>21</v>
      </c>
      <c r="B34" t="s">
        <v>23</v>
      </c>
      <c r="C34" t="s">
        <v>5</v>
      </c>
    </row>
    <row r="35" spans="1:3" x14ac:dyDescent="0.3">
      <c r="A35">
        <v>22</v>
      </c>
      <c r="B35" t="s">
        <v>25</v>
      </c>
      <c r="C35" t="s">
        <v>5</v>
      </c>
    </row>
    <row r="36" spans="1:3" x14ac:dyDescent="0.3">
      <c r="A36">
        <v>23</v>
      </c>
      <c r="B36" t="s">
        <v>19</v>
      </c>
      <c r="C36" t="s">
        <v>5</v>
      </c>
    </row>
    <row r="37" spans="1:3" x14ac:dyDescent="0.3">
      <c r="A37">
        <v>24</v>
      </c>
      <c r="B37" t="s">
        <v>29</v>
      </c>
      <c r="C37" t="s">
        <v>5</v>
      </c>
    </row>
    <row r="38" spans="1:3" x14ac:dyDescent="0.3">
      <c r="A38">
        <v>25</v>
      </c>
      <c r="B38" t="s">
        <v>16</v>
      </c>
      <c r="C38" t="s">
        <v>5</v>
      </c>
    </row>
    <row r="39" spans="1:3" x14ac:dyDescent="0.3">
      <c r="A39">
        <v>26</v>
      </c>
      <c r="B39" t="s">
        <v>12</v>
      </c>
      <c r="C39" t="s">
        <v>5</v>
      </c>
    </row>
    <row r="40" spans="1:3" x14ac:dyDescent="0.3">
      <c r="A40">
        <v>27</v>
      </c>
      <c r="B40" t="s">
        <v>503</v>
      </c>
      <c r="C40" t="s">
        <v>5</v>
      </c>
    </row>
    <row r="41" spans="1:3" x14ac:dyDescent="0.3">
      <c r="A41">
        <v>28</v>
      </c>
      <c r="B41" t="s">
        <v>32</v>
      </c>
      <c r="C41" t="s">
        <v>5</v>
      </c>
    </row>
    <row r="42" spans="1:3" x14ac:dyDescent="0.3">
      <c r="A42">
        <v>29</v>
      </c>
      <c r="B42" t="s">
        <v>504</v>
      </c>
      <c r="C42" t="s">
        <v>5</v>
      </c>
    </row>
    <row r="43" spans="1:3" x14ac:dyDescent="0.3">
      <c r="A43">
        <v>30</v>
      </c>
      <c r="B43" t="s">
        <v>20</v>
      </c>
      <c r="C43" t="s">
        <v>5</v>
      </c>
    </row>
    <row r="44" spans="1:3" x14ac:dyDescent="0.3">
      <c r="A44">
        <v>31</v>
      </c>
      <c r="B44" t="s">
        <v>98</v>
      </c>
      <c r="C44" t="s">
        <v>50</v>
      </c>
    </row>
    <row r="45" spans="1:3" x14ac:dyDescent="0.3">
      <c r="A45">
        <v>32</v>
      </c>
      <c r="B45" t="s">
        <v>26</v>
      </c>
      <c r="C45" t="s">
        <v>10</v>
      </c>
    </row>
    <row r="46" spans="1:3" x14ac:dyDescent="0.3">
      <c r="A46">
        <v>33</v>
      </c>
      <c r="B46" t="s">
        <v>28</v>
      </c>
      <c r="C46" t="s">
        <v>5</v>
      </c>
    </row>
    <row r="47" spans="1:3" x14ac:dyDescent="0.3">
      <c r="A47">
        <v>34</v>
      </c>
      <c r="B47" t="s">
        <v>27</v>
      </c>
      <c r="C47" t="s">
        <v>5</v>
      </c>
    </row>
    <row r="48" spans="1:3" x14ac:dyDescent="0.3">
      <c r="A48">
        <v>35</v>
      </c>
      <c r="B48" t="s">
        <v>30</v>
      </c>
      <c r="C48" t="s">
        <v>5</v>
      </c>
    </row>
    <row r="49" spans="1:3" x14ac:dyDescent="0.3">
      <c r="A49">
        <v>36</v>
      </c>
      <c r="B49" t="s">
        <v>502</v>
      </c>
      <c r="C49" t="s">
        <v>5</v>
      </c>
    </row>
    <row r="50" spans="1:3" x14ac:dyDescent="0.3">
      <c r="A50">
        <v>37</v>
      </c>
      <c r="B50" t="s">
        <v>109</v>
      </c>
      <c r="C50" t="s">
        <v>50</v>
      </c>
    </row>
    <row r="51" spans="1:3" x14ac:dyDescent="0.3">
      <c r="A51">
        <v>38</v>
      </c>
      <c r="B51" t="s">
        <v>34</v>
      </c>
      <c r="C51" t="s">
        <v>10</v>
      </c>
    </row>
    <row r="52" spans="1:3" x14ac:dyDescent="0.3">
      <c r="A52">
        <v>39</v>
      </c>
      <c r="B52" t="s">
        <v>609</v>
      </c>
      <c r="C52" t="s">
        <v>5</v>
      </c>
    </row>
    <row r="53" spans="1:3" x14ac:dyDescent="0.3">
      <c r="A53">
        <v>40</v>
      </c>
      <c r="B53" t="s">
        <v>24</v>
      </c>
      <c r="C53" t="s">
        <v>5</v>
      </c>
    </row>
    <row r="54" spans="1:3" x14ac:dyDescent="0.3">
      <c r="A54">
        <v>41</v>
      </c>
      <c r="B54" t="s">
        <v>524</v>
      </c>
      <c r="C54" t="s">
        <v>5</v>
      </c>
    </row>
    <row r="55" spans="1:3" x14ac:dyDescent="0.3">
      <c r="A55">
        <v>42</v>
      </c>
      <c r="B55" t="s">
        <v>526</v>
      </c>
      <c r="C55" t="s">
        <v>5</v>
      </c>
    </row>
    <row r="56" spans="1:3" x14ac:dyDescent="0.3">
      <c r="A56">
        <v>43</v>
      </c>
      <c r="B56" t="s">
        <v>38</v>
      </c>
      <c r="C56" t="s">
        <v>10</v>
      </c>
    </row>
    <row r="57" spans="1:3" x14ac:dyDescent="0.3">
      <c r="A57">
        <v>44</v>
      </c>
      <c r="B57" t="s">
        <v>525</v>
      </c>
      <c r="C57" t="s">
        <v>5</v>
      </c>
    </row>
    <row r="58" spans="1:3" x14ac:dyDescent="0.3">
      <c r="A58">
        <v>45</v>
      </c>
      <c r="B58" t="s">
        <v>31</v>
      </c>
      <c r="C58" t="s">
        <v>5</v>
      </c>
    </row>
    <row r="59" spans="1:3" x14ac:dyDescent="0.3">
      <c r="A59">
        <v>46</v>
      </c>
      <c r="B59" t="s">
        <v>611</v>
      </c>
      <c r="C59" t="s">
        <v>5</v>
      </c>
    </row>
    <row r="60" spans="1:3" x14ac:dyDescent="0.3">
      <c r="A60">
        <v>47</v>
      </c>
      <c r="B60" t="s">
        <v>52</v>
      </c>
      <c r="C60" t="s">
        <v>5</v>
      </c>
    </row>
    <row r="61" spans="1:3" x14ac:dyDescent="0.3">
      <c r="A61">
        <v>48</v>
      </c>
      <c r="B61" t="s">
        <v>36</v>
      </c>
      <c r="C61" t="s">
        <v>10</v>
      </c>
    </row>
    <row r="62" spans="1:3" x14ac:dyDescent="0.3">
      <c r="A62">
        <v>49</v>
      </c>
      <c r="B62" t="s">
        <v>44</v>
      </c>
      <c r="C62" t="s">
        <v>45</v>
      </c>
    </row>
    <row r="63" spans="1:3" x14ac:dyDescent="0.3">
      <c r="A63">
        <v>50</v>
      </c>
      <c r="B63" t="s">
        <v>40</v>
      </c>
      <c r="C63" t="s">
        <v>10</v>
      </c>
    </row>
    <row r="64" spans="1:3" x14ac:dyDescent="0.3">
      <c r="A64">
        <v>51</v>
      </c>
      <c r="B64" t="s">
        <v>53</v>
      </c>
      <c r="C64" t="s">
        <v>5</v>
      </c>
    </row>
    <row r="65" spans="1:3" x14ac:dyDescent="0.3">
      <c r="A65">
        <v>52</v>
      </c>
      <c r="B65" t="s">
        <v>83</v>
      </c>
      <c r="C65" t="s">
        <v>5</v>
      </c>
    </row>
    <row r="66" spans="1:3" x14ac:dyDescent="0.3">
      <c r="A66">
        <v>53</v>
      </c>
      <c r="B66" t="s">
        <v>46</v>
      </c>
      <c r="C66" t="s">
        <v>5</v>
      </c>
    </row>
    <row r="67" spans="1:3" x14ac:dyDescent="0.3">
      <c r="A67">
        <v>54</v>
      </c>
      <c r="B67" t="s">
        <v>15</v>
      </c>
      <c r="C67" t="s">
        <v>5</v>
      </c>
    </row>
    <row r="68" spans="1:3" x14ac:dyDescent="0.3">
      <c r="A68">
        <v>55</v>
      </c>
      <c r="B68" t="s">
        <v>527</v>
      </c>
      <c r="C68" t="s">
        <v>5</v>
      </c>
    </row>
    <row r="69" spans="1:3" x14ac:dyDescent="0.3">
      <c r="A69">
        <v>56</v>
      </c>
      <c r="B69" t="s">
        <v>33</v>
      </c>
      <c r="C69" t="s">
        <v>5</v>
      </c>
    </row>
    <row r="70" spans="1:3" x14ac:dyDescent="0.3">
      <c r="A70">
        <v>57</v>
      </c>
      <c r="B70" t="s">
        <v>510</v>
      </c>
      <c r="C70" t="s">
        <v>5</v>
      </c>
    </row>
    <row r="71" spans="1:3" x14ac:dyDescent="0.3">
      <c r="A71">
        <v>58</v>
      </c>
      <c r="B71" t="s">
        <v>505</v>
      </c>
      <c r="C71" t="s">
        <v>5</v>
      </c>
    </row>
    <row r="72" spans="1:3" x14ac:dyDescent="0.3">
      <c r="A72">
        <v>59</v>
      </c>
      <c r="B72" t="s">
        <v>43</v>
      </c>
      <c r="C72" t="s">
        <v>5</v>
      </c>
    </row>
    <row r="73" spans="1:3" x14ac:dyDescent="0.3">
      <c r="A73">
        <v>60</v>
      </c>
      <c r="B73" t="s">
        <v>42</v>
      </c>
      <c r="C73" t="s">
        <v>5</v>
      </c>
    </row>
    <row r="74" spans="1:3" x14ac:dyDescent="0.3">
      <c r="A74">
        <v>61</v>
      </c>
      <c r="B74" t="s">
        <v>508</v>
      </c>
      <c r="C74" t="s">
        <v>5</v>
      </c>
    </row>
    <row r="75" spans="1:3" x14ac:dyDescent="0.3">
      <c r="A75">
        <v>62</v>
      </c>
      <c r="B75" t="s">
        <v>612</v>
      </c>
      <c r="C75" t="s">
        <v>5</v>
      </c>
    </row>
    <row r="76" spans="1:3" x14ac:dyDescent="0.3">
      <c r="A76">
        <v>63</v>
      </c>
      <c r="B76" t="s">
        <v>39</v>
      </c>
      <c r="C76" t="s">
        <v>5</v>
      </c>
    </row>
    <row r="77" spans="1:3" x14ac:dyDescent="0.3">
      <c r="A77">
        <v>64</v>
      </c>
      <c r="B77" t="s">
        <v>49</v>
      </c>
      <c r="C77" t="s">
        <v>5</v>
      </c>
    </row>
    <row r="78" spans="1:3" x14ac:dyDescent="0.3">
      <c r="A78">
        <v>65</v>
      </c>
      <c r="B78" t="s">
        <v>632</v>
      </c>
      <c r="C78" t="s">
        <v>10</v>
      </c>
    </row>
    <row r="79" spans="1:3" x14ac:dyDescent="0.3">
      <c r="A79">
        <v>66</v>
      </c>
      <c r="B79" t="s">
        <v>507</v>
      </c>
      <c r="C79" t="s">
        <v>5</v>
      </c>
    </row>
    <row r="80" spans="1:3" x14ac:dyDescent="0.3">
      <c r="A80">
        <v>67</v>
      </c>
      <c r="B80" t="s">
        <v>60</v>
      </c>
      <c r="C80" t="s">
        <v>5</v>
      </c>
    </row>
    <row r="81" spans="1:3" x14ac:dyDescent="0.3">
      <c r="A81">
        <v>68</v>
      </c>
      <c r="B81" t="s">
        <v>128</v>
      </c>
      <c r="C81" t="s">
        <v>50</v>
      </c>
    </row>
    <row r="82" spans="1:3" x14ac:dyDescent="0.3">
      <c r="A82">
        <v>69</v>
      </c>
      <c r="B82" t="s">
        <v>35</v>
      </c>
      <c r="C82" t="s">
        <v>5</v>
      </c>
    </row>
    <row r="83" spans="1:3" x14ac:dyDescent="0.3">
      <c r="A83">
        <v>70</v>
      </c>
      <c r="B83" t="s">
        <v>509</v>
      </c>
      <c r="C83" t="s">
        <v>5</v>
      </c>
    </row>
    <row r="84" spans="1:3" x14ac:dyDescent="0.3">
      <c r="A84">
        <v>71</v>
      </c>
      <c r="B84" t="s">
        <v>47</v>
      </c>
      <c r="C84" t="s">
        <v>10</v>
      </c>
    </row>
    <row r="85" spans="1:3" x14ac:dyDescent="0.3">
      <c r="A85">
        <v>72</v>
      </c>
      <c r="B85" t="s">
        <v>37</v>
      </c>
      <c r="C85" t="s">
        <v>5</v>
      </c>
    </row>
    <row r="86" spans="1:3" x14ac:dyDescent="0.3">
      <c r="A86">
        <v>73</v>
      </c>
      <c r="B86" t="s">
        <v>70</v>
      </c>
      <c r="C86" t="s">
        <v>10</v>
      </c>
    </row>
    <row r="87" spans="1:3" x14ac:dyDescent="0.3">
      <c r="A87">
        <v>74</v>
      </c>
      <c r="B87" t="s">
        <v>41</v>
      </c>
      <c r="C87" t="s">
        <v>10</v>
      </c>
    </row>
    <row r="88" spans="1:3" x14ac:dyDescent="0.3">
      <c r="A88">
        <v>75</v>
      </c>
      <c r="B88" t="s">
        <v>599</v>
      </c>
      <c r="C88" t="s">
        <v>10</v>
      </c>
    </row>
    <row r="89" spans="1:3" x14ac:dyDescent="0.3">
      <c r="A89">
        <v>76</v>
      </c>
      <c r="B89" t="s">
        <v>88</v>
      </c>
      <c r="C89" t="s">
        <v>10</v>
      </c>
    </row>
    <row r="90" spans="1:3" x14ac:dyDescent="0.3">
      <c r="A90">
        <v>77</v>
      </c>
      <c r="B90" t="s">
        <v>103</v>
      </c>
      <c r="C90" t="s">
        <v>50</v>
      </c>
    </row>
    <row r="91" spans="1:3" x14ac:dyDescent="0.3">
      <c r="A91">
        <v>78</v>
      </c>
      <c r="B91" t="s">
        <v>58</v>
      </c>
      <c r="C91" t="s">
        <v>10</v>
      </c>
    </row>
    <row r="92" spans="1:3" x14ac:dyDescent="0.3">
      <c r="A92">
        <v>79</v>
      </c>
      <c r="B92" t="s">
        <v>528</v>
      </c>
      <c r="C92" t="s">
        <v>5</v>
      </c>
    </row>
    <row r="93" spans="1:3" x14ac:dyDescent="0.3">
      <c r="A93">
        <v>80</v>
      </c>
      <c r="B93" t="s">
        <v>71</v>
      </c>
      <c r="C93" t="s">
        <v>5</v>
      </c>
    </row>
    <row r="94" spans="1:3" x14ac:dyDescent="0.3">
      <c r="A94">
        <v>81</v>
      </c>
      <c r="B94" t="s">
        <v>620</v>
      </c>
      <c r="C94" t="s">
        <v>5</v>
      </c>
    </row>
    <row r="95" spans="1:3" x14ac:dyDescent="0.3">
      <c r="A95">
        <v>82</v>
      </c>
      <c r="B95" t="s">
        <v>56</v>
      </c>
      <c r="C95" t="s">
        <v>5</v>
      </c>
    </row>
    <row r="96" spans="1:3" x14ac:dyDescent="0.3">
      <c r="A96">
        <v>83</v>
      </c>
      <c r="B96" t="s">
        <v>91</v>
      </c>
      <c r="C96" t="s">
        <v>45</v>
      </c>
    </row>
    <row r="97" spans="1:3" x14ac:dyDescent="0.3">
      <c r="A97">
        <v>84</v>
      </c>
      <c r="B97" t="s">
        <v>200</v>
      </c>
      <c r="C97" t="s">
        <v>50</v>
      </c>
    </row>
    <row r="98" spans="1:3" x14ac:dyDescent="0.3">
      <c r="A98">
        <v>85</v>
      </c>
      <c r="B98" t="s">
        <v>72</v>
      </c>
      <c r="C98" t="s">
        <v>50</v>
      </c>
    </row>
    <row r="99" spans="1:3" x14ac:dyDescent="0.3">
      <c r="A99">
        <v>86</v>
      </c>
      <c r="B99" t="s">
        <v>69</v>
      </c>
      <c r="C99" t="s">
        <v>5</v>
      </c>
    </row>
    <row r="100" spans="1:3" x14ac:dyDescent="0.3">
      <c r="A100">
        <v>87</v>
      </c>
      <c r="B100" t="s">
        <v>512</v>
      </c>
      <c r="C100" t="s">
        <v>5</v>
      </c>
    </row>
    <row r="101" spans="1:3" x14ac:dyDescent="0.3">
      <c r="A101">
        <v>88</v>
      </c>
      <c r="B101" t="s">
        <v>579</v>
      </c>
      <c r="C101" t="s">
        <v>45</v>
      </c>
    </row>
    <row r="102" spans="1:3" x14ac:dyDescent="0.3">
      <c r="A102">
        <v>89</v>
      </c>
      <c r="B102" t="s">
        <v>99</v>
      </c>
      <c r="C102" t="s">
        <v>5</v>
      </c>
    </row>
    <row r="103" spans="1:3" x14ac:dyDescent="0.3">
      <c r="A103">
        <v>90</v>
      </c>
      <c r="B103" t="s">
        <v>568</v>
      </c>
      <c r="C103" t="s">
        <v>50</v>
      </c>
    </row>
    <row r="104" spans="1:3" x14ac:dyDescent="0.3">
      <c r="A104">
        <v>91</v>
      </c>
      <c r="B104" t="s">
        <v>80</v>
      </c>
      <c r="C104" t="s">
        <v>50</v>
      </c>
    </row>
    <row r="105" spans="1:3" x14ac:dyDescent="0.3">
      <c r="A105">
        <v>92</v>
      </c>
      <c r="B105" t="s">
        <v>90</v>
      </c>
      <c r="C105" t="s">
        <v>5</v>
      </c>
    </row>
    <row r="106" spans="1:3" x14ac:dyDescent="0.3">
      <c r="A106">
        <v>93</v>
      </c>
      <c r="B106" t="s">
        <v>506</v>
      </c>
      <c r="C106" t="s">
        <v>5</v>
      </c>
    </row>
    <row r="107" spans="1:3" x14ac:dyDescent="0.3">
      <c r="A107">
        <v>94</v>
      </c>
      <c r="B107" t="s">
        <v>621</v>
      </c>
      <c r="C107" t="s">
        <v>5</v>
      </c>
    </row>
    <row r="108" spans="1:3" x14ac:dyDescent="0.3">
      <c r="A108">
        <v>95</v>
      </c>
      <c r="B108" t="s">
        <v>77</v>
      </c>
      <c r="C108" t="s">
        <v>50</v>
      </c>
    </row>
    <row r="109" spans="1:3" x14ac:dyDescent="0.3">
      <c r="A109">
        <v>96</v>
      </c>
      <c r="B109" t="s">
        <v>513</v>
      </c>
      <c r="C109" t="s">
        <v>5</v>
      </c>
    </row>
    <row r="110" spans="1:3" x14ac:dyDescent="0.3">
      <c r="A110">
        <v>97</v>
      </c>
      <c r="B110" t="s">
        <v>63</v>
      </c>
      <c r="C110" t="s">
        <v>5</v>
      </c>
    </row>
    <row r="111" spans="1:3" x14ac:dyDescent="0.3">
      <c r="A111">
        <v>98</v>
      </c>
      <c r="B111" t="s">
        <v>54</v>
      </c>
      <c r="C111" t="s">
        <v>5</v>
      </c>
    </row>
    <row r="112" spans="1:3" x14ac:dyDescent="0.3">
      <c r="A112">
        <v>99</v>
      </c>
      <c r="B112" t="s">
        <v>59</v>
      </c>
      <c r="C112" t="s">
        <v>5</v>
      </c>
    </row>
    <row r="113" spans="1:3" x14ac:dyDescent="0.3">
      <c r="A113">
        <v>100</v>
      </c>
      <c r="B113" t="s">
        <v>143</v>
      </c>
      <c r="C113" t="s">
        <v>50</v>
      </c>
    </row>
    <row r="114" spans="1:3" x14ac:dyDescent="0.3">
      <c r="A114">
        <v>101</v>
      </c>
      <c r="B114" t="s">
        <v>48</v>
      </c>
      <c r="C114" t="s">
        <v>10</v>
      </c>
    </row>
    <row r="115" spans="1:3" x14ac:dyDescent="0.3">
      <c r="A115">
        <v>102</v>
      </c>
      <c r="B115" t="s">
        <v>87</v>
      </c>
      <c r="C115" t="s">
        <v>5</v>
      </c>
    </row>
    <row r="116" spans="1:3" x14ac:dyDescent="0.3">
      <c r="A116">
        <v>103</v>
      </c>
      <c r="B116" t="s">
        <v>93</v>
      </c>
      <c r="C116" t="s">
        <v>5</v>
      </c>
    </row>
    <row r="117" spans="1:3" x14ac:dyDescent="0.3">
      <c r="A117">
        <v>104</v>
      </c>
      <c r="B117" t="s">
        <v>78</v>
      </c>
      <c r="C117" t="s">
        <v>5</v>
      </c>
    </row>
    <row r="118" spans="1:3" x14ac:dyDescent="0.3">
      <c r="A118">
        <v>105</v>
      </c>
      <c r="B118" t="s">
        <v>110</v>
      </c>
      <c r="C118" t="s">
        <v>10</v>
      </c>
    </row>
    <row r="119" spans="1:3" x14ac:dyDescent="0.3">
      <c r="A119">
        <v>106</v>
      </c>
      <c r="B119" t="s">
        <v>62</v>
      </c>
      <c r="C119" t="s">
        <v>5</v>
      </c>
    </row>
    <row r="120" spans="1:3" x14ac:dyDescent="0.3">
      <c r="A120">
        <v>107</v>
      </c>
      <c r="B120" t="s">
        <v>68</v>
      </c>
      <c r="C120" t="s">
        <v>5</v>
      </c>
    </row>
    <row r="121" spans="1:3" x14ac:dyDescent="0.3">
      <c r="A121">
        <v>108</v>
      </c>
      <c r="B121" t="s">
        <v>57</v>
      </c>
      <c r="C121" t="s">
        <v>5</v>
      </c>
    </row>
    <row r="122" spans="1:3" x14ac:dyDescent="0.3">
      <c r="A122">
        <v>109</v>
      </c>
      <c r="B122" t="s">
        <v>530</v>
      </c>
      <c r="C122" t="s">
        <v>5</v>
      </c>
    </row>
    <row r="123" spans="1:3" x14ac:dyDescent="0.3">
      <c r="A123">
        <v>110</v>
      </c>
      <c r="B123" t="s">
        <v>531</v>
      </c>
      <c r="C123" t="s">
        <v>5</v>
      </c>
    </row>
    <row r="124" spans="1:3" x14ac:dyDescent="0.3">
      <c r="A124">
        <v>111</v>
      </c>
      <c r="B124" t="s">
        <v>64</v>
      </c>
      <c r="C124" t="s">
        <v>10</v>
      </c>
    </row>
    <row r="125" spans="1:3" x14ac:dyDescent="0.3">
      <c r="A125">
        <v>112</v>
      </c>
      <c r="B125" t="s">
        <v>82</v>
      </c>
      <c r="C125" t="s">
        <v>5</v>
      </c>
    </row>
    <row r="126" spans="1:3" x14ac:dyDescent="0.3">
      <c r="A126">
        <v>113</v>
      </c>
      <c r="B126" t="s">
        <v>73</v>
      </c>
      <c r="C126" t="s">
        <v>5</v>
      </c>
    </row>
    <row r="127" spans="1:3" x14ac:dyDescent="0.3">
      <c r="A127">
        <v>114</v>
      </c>
      <c r="B127" t="s">
        <v>81</v>
      </c>
      <c r="C127" t="s">
        <v>5</v>
      </c>
    </row>
    <row r="128" spans="1:3" x14ac:dyDescent="0.3">
      <c r="A128">
        <v>115</v>
      </c>
      <c r="B128" t="s">
        <v>67</v>
      </c>
      <c r="C128" t="s">
        <v>5</v>
      </c>
    </row>
    <row r="129" spans="1:3" x14ac:dyDescent="0.3">
      <c r="A129">
        <v>116</v>
      </c>
      <c r="B129" t="s">
        <v>580</v>
      </c>
      <c r="C129" t="s">
        <v>45</v>
      </c>
    </row>
    <row r="130" spans="1:3" x14ac:dyDescent="0.3">
      <c r="A130">
        <v>117</v>
      </c>
      <c r="B130" t="s">
        <v>55</v>
      </c>
      <c r="C130" t="s">
        <v>5</v>
      </c>
    </row>
    <row r="131" spans="1:3" x14ac:dyDescent="0.3">
      <c r="A131">
        <v>118</v>
      </c>
      <c r="B131" t="s">
        <v>74</v>
      </c>
      <c r="C131" t="s">
        <v>5</v>
      </c>
    </row>
    <row r="132" spans="1:3" x14ac:dyDescent="0.3">
      <c r="A132">
        <v>119</v>
      </c>
      <c r="B132" t="s">
        <v>94</v>
      </c>
      <c r="C132" t="s">
        <v>5</v>
      </c>
    </row>
    <row r="133" spans="1:3" x14ac:dyDescent="0.3">
      <c r="A133">
        <v>120</v>
      </c>
      <c r="B133" t="s">
        <v>541</v>
      </c>
      <c r="C133" t="s">
        <v>50</v>
      </c>
    </row>
    <row r="134" spans="1:3" x14ac:dyDescent="0.3">
      <c r="A134">
        <v>121</v>
      </c>
      <c r="B134" t="s">
        <v>61</v>
      </c>
      <c r="C134" t="s">
        <v>10</v>
      </c>
    </row>
    <row r="135" spans="1:3" x14ac:dyDescent="0.3">
      <c r="A135">
        <v>122</v>
      </c>
      <c r="B135" t="s">
        <v>76</v>
      </c>
      <c r="C135" t="s">
        <v>5</v>
      </c>
    </row>
    <row r="136" spans="1:3" x14ac:dyDescent="0.3">
      <c r="A136">
        <v>123</v>
      </c>
      <c r="B136" t="s">
        <v>167</v>
      </c>
      <c r="C136" t="s">
        <v>50</v>
      </c>
    </row>
    <row r="137" spans="1:3" x14ac:dyDescent="0.3">
      <c r="A137">
        <v>124</v>
      </c>
      <c r="B137" t="s">
        <v>116</v>
      </c>
      <c r="C137" t="s">
        <v>10</v>
      </c>
    </row>
    <row r="138" spans="1:3" x14ac:dyDescent="0.3">
      <c r="A138">
        <v>125</v>
      </c>
      <c r="B138" t="s">
        <v>174</v>
      </c>
      <c r="C138" t="s">
        <v>50</v>
      </c>
    </row>
    <row r="139" spans="1:3" x14ac:dyDescent="0.3">
      <c r="A139">
        <v>126</v>
      </c>
      <c r="B139" t="s">
        <v>96</v>
      </c>
      <c r="C139" t="s">
        <v>5</v>
      </c>
    </row>
    <row r="140" spans="1:3" x14ac:dyDescent="0.3">
      <c r="A140">
        <v>127</v>
      </c>
      <c r="B140" t="s">
        <v>137</v>
      </c>
      <c r="C140" t="s">
        <v>50</v>
      </c>
    </row>
    <row r="141" spans="1:3" x14ac:dyDescent="0.3">
      <c r="A141">
        <v>128</v>
      </c>
      <c r="B141" t="s">
        <v>168</v>
      </c>
      <c r="C141" t="s">
        <v>10</v>
      </c>
    </row>
    <row r="142" spans="1:3" x14ac:dyDescent="0.3">
      <c r="A142">
        <v>129</v>
      </c>
      <c r="B142" t="s">
        <v>175</v>
      </c>
      <c r="C142" t="s">
        <v>50</v>
      </c>
    </row>
    <row r="143" spans="1:3" x14ac:dyDescent="0.3">
      <c r="A143">
        <v>130</v>
      </c>
      <c r="B143" t="s">
        <v>515</v>
      </c>
      <c r="C143" t="s">
        <v>5</v>
      </c>
    </row>
    <row r="144" spans="1:3" x14ac:dyDescent="0.3">
      <c r="A144">
        <v>131</v>
      </c>
      <c r="B144" t="s">
        <v>79</v>
      </c>
      <c r="C144" t="s">
        <v>5</v>
      </c>
    </row>
    <row r="145" spans="1:3" x14ac:dyDescent="0.3">
      <c r="A145">
        <v>132</v>
      </c>
      <c r="B145" t="s">
        <v>95</v>
      </c>
      <c r="C145" t="s">
        <v>10</v>
      </c>
    </row>
    <row r="146" spans="1:3" x14ac:dyDescent="0.3">
      <c r="A146">
        <v>133</v>
      </c>
      <c r="B146" t="s">
        <v>514</v>
      </c>
      <c r="C146" t="s">
        <v>5</v>
      </c>
    </row>
    <row r="147" spans="1:3" x14ac:dyDescent="0.3">
      <c r="A147">
        <v>134</v>
      </c>
      <c r="B147" t="s">
        <v>85</v>
      </c>
      <c r="C147" t="s">
        <v>5</v>
      </c>
    </row>
    <row r="148" spans="1:3" x14ac:dyDescent="0.3">
      <c r="A148">
        <v>135</v>
      </c>
      <c r="B148" t="s">
        <v>511</v>
      </c>
      <c r="C148" t="s">
        <v>5</v>
      </c>
    </row>
    <row r="149" spans="1:3" x14ac:dyDescent="0.3">
      <c r="A149">
        <v>136</v>
      </c>
      <c r="B149" t="s">
        <v>84</v>
      </c>
      <c r="C149" t="s">
        <v>5</v>
      </c>
    </row>
    <row r="150" spans="1:3" x14ac:dyDescent="0.3">
      <c r="A150">
        <v>137</v>
      </c>
      <c r="B150" t="s">
        <v>89</v>
      </c>
      <c r="C150" t="s">
        <v>10</v>
      </c>
    </row>
    <row r="151" spans="1:3" x14ac:dyDescent="0.3">
      <c r="A151">
        <v>138</v>
      </c>
      <c r="B151" t="s">
        <v>92</v>
      </c>
      <c r="C151" t="s">
        <v>5</v>
      </c>
    </row>
    <row r="152" spans="1:3" x14ac:dyDescent="0.3">
      <c r="A152">
        <v>139</v>
      </c>
      <c r="B152" t="s">
        <v>86</v>
      </c>
      <c r="C152" t="s">
        <v>5</v>
      </c>
    </row>
    <row r="153" spans="1:3" x14ac:dyDescent="0.3">
      <c r="A153">
        <v>140</v>
      </c>
      <c r="B153" t="s">
        <v>151</v>
      </c>
      <c r="C153" t="s">
        <v>152</v>
      </c>
    </row>
    <row r="154" spans="1:3" x14ac:dyDescent="0.3">
      <c r="A154">
        <v>141</v>
      </c>
      <c r="B154" t="s">
        <v>529</v>
      </c>
      <c r="C154" t="s">
        <v>5</v>
      </c>
    </row>
    <row r="155" spans="1:3" x14ac:dyDescent="0.3">
      <c r="A155">
        <v>142</v>
      </c>
      <c r="B155" t="s">
        <v>66</v>
      </c>
      <c r="C155" t="s">
        <v>10</v>
      </c>
    </row>
    <row r="156" spans="1:3" x14ac:dyDescent="0.3">
      <c r="A156">
        <v>143</v>
      </c>
      <c r="B156" t="s">
        <v>545</v>
      </c>
      <c r="C156" t="s">
        <v>50</v>
      </c>
    </row>
    <row r="157" spans="1:3" x14ac:dyDescent="0.3">
      <c r="A157">
        <v>144</v>
      </c>
      <c r="B157" t="s">
        <v>122</v>
      </c>
      <c r="C157" t="s">
        <v>50</v>
      </c>
    </row>
    <row r="158" spans="1:3" x14ac:dyDescent="0.3">
      <c r="A158">
        <v>145</v>
      </c>
      <c r="B158" t="s">
        <v>108</v>
      </c>
      <c r="C158" t="s">
        <v>5</v>
      </c>
    </row>
    <row r="159" spans="1:3" x14ac:dyDescent="0.3">
      <c r="A159">
        <v>146</v>
      </c>
      <c r="B159" t="s">
        <v>127</v>
      </c>
      <c r="C159" t="s">
        <v>10</v>
      </c>
    </row>
    <row r="160" spans="1:3" x14ac:dyDescent="0.3">
      <c r="A160">
        <v>147</v>
      </c>
      <c r="B160" t="s">
        <v>543</v>
      </c>
      <c r="C160" t="s">
        <v>50</v>
      </c>
    </row>
    <row r="161" spans="1:3" x14ac:dyDescent="0.3">
      <c r="A161">
        <v>148</v>
      </c>
      <c r="B161" t="s">
        <v>65</v>
      </c>
      <c r="C161" t="s">
        <v>5</v>
      </c>
    </row>
    <row r="162" spans="1:3" x14ac:dyDescent="0.3">
      <c r="A162">
        <v>149</v>
      </c>
      <c r="B162" t="s">
        <v>75</v>
      </c>
      <c r="C162" t="s">
        <v>5</v>
      </c>
    </row>
    <row r="163" spans="1:3" x14ac:dyDescent="0.3">
      <c r="A163">
        <v>150</v>
      </c>
      <c r="B163" t="s">
        <v>636</v>
      </c>
      <c r="C163" t="s">
        <v>10</v>
      </c>
    </row>
    <row r="164" spans="1:3" x14ac:dyDescent="0.3">
      <c r="A164">
        <v>151</v>
      </c>
      <c r="B164" t="s">
        <v>158</v>
      </c>
      <c r="C164" t="s">
        <v>10</v>
      </c>
    </row>
    <row r="165" spans="1:3" x14ac:dyDescent="0.3">
      <c r="A165">
        <v>152</v>
      </c>
      <c r="B165" t="s">
        <v>130</v>
      </c>
      <c r="C165" t="s">
        <v>45</v>
      </c>
    </row>
    <row r="166" spans="1:3" x14ac:dyDescent="0.3">
      <c r="A166">
        <v>153</v>
      </c>
      <c r="B166" t="s">
        <v>100</v>
      </c>
      <c r="C166" t="s">
        <v>10</v>
      </c>
    </row>
    <row r="167" spans="1:3" x14ac:dyDescent="0.3">
      <c r="A167">
        <v>154</v>
      </c>
      <c r="B167" t="s">
        <v>117</v>
      </c>
      <c r="C167" t="s">
        <v>5</v>
      </c>
    </row>
    <row r="168" spans="1:3" x14ac:dyDescent="0.3">
      <c r="A168">
        <v>155</v>
      </c>
      <c r="B168" t="s">
        <v>544</v>
      </c>
      <c r="C168" t="s">
        <v>50</v>
      </c>
    </row>
    <row r="169" spans="1:3" x14ac:dyDescent="0.3">
      <c r="A169">
        <v>156</v>
      </c>
      <c r="B169" t="s">
        <v>148</v>
      </c>
      <c r="C169" t="s">
        <v>10</v>
      </c>
    </row>
    <row r="170" spans="1:3" x14ac:dyDescent="0.3">
      <c r="A170">
        <v>157</v>
      </c>
      <c r="B170" t="s">
        <v>111</v>
      </c>
      <c r="C170" t="s">
        <v>5</v>
      </c>
    </row>
    <row r="171" spans="1:3" x14ac:dyDescent="0.3">
      <c r="A171">
        <v>158</v>
      </c>
      <c r="B171" t="s">
        <v>226</v>
      </c>
      <c r="C171" t="s">
        <v>50</v>
      </c>
    </row>
    <row r="172" spans="1:3" x14ac:dyDescent="0.3">
      <c r="A172">
        <v>159</v>
      </c>
      <c r="B172" t="s">
        <v>104</v>
      </c>
      <c r="C172" t="s">
        <v>10</v>
      </c>
    </row>
    <row r="173" spans="1:3" x14ac:dyDescent="0.3">
      <c r="A173">
        <v>160</v>
      </c>
      <c r="B173" t="s">
        <v>146</v>
      </c>
      <c r="C173" t="s">
        <v>50</v>
      </c>
    </row>
    <row r="174" spans="1:3" x14ac:dyDescent="0.3">
      <c r="A174">
        <v>161</v>
      </c>
      <c r="B174" t="s">
        <v>635</v>
      </c>
      <c r="C174" t="s">
        <v>10</v>
      </c>
    </row>
    <row r="175" spans="1:3" x14ac:dyDescent="0.3">
      <c r="A175">
        <v>162</v>
      </c>
      <c r="B175" t="s">
        <v>105</v>
      </c>
      <c r="C175" t="s">
        <v>5</v>
      </c>
    </row>
    <row r="176" spans="1:3" x14ac:dyDescent="0.3">
      <c r="A176">
        <v>163</v>
      </c>
      <c r="B176" t="s">
        <v>516</v>
      </c>
      <c r="C176" t="s">
        <v>5</v>
      </c>
    </row>
    <row r="177" spans="1:3" x14ac:dyDescent="0.3">
      <c r="A177">
        <v>164</v>
      </c>
      <c r="B177" t="s">
        <v>690</v>
      </c>
      <c r="C177" t="s">
        <v>50</v>
      </c>
    </row>
    <row r="178" spans="1:3" x14ac:dyDescent="0.3">
      <c r="A178">
        <v>165</v>
      </c>
      <c r="B178" t="s">
        <v>177</v>
      </c>
      <c r="C178" t="s">
        <v>152</v>
      </c>
    </row>
    <row r="179" spans="1:3" x14ac:dyDescent="0.3">
      <c r="A179">
        <v>166</v>
      </c>
      <c r="B179" t="s">
        <v>217</v>
      </c>
      <c r="C179" t="s">
        <v>45</v>
      </c>
    </row>
    <row r="180" spans="1:3" x14ac:dyDescent="0.3">
      <c r="A180">
        <v>167</v>
      </c>
      <c r="B180" t="s">
        <v>123</v>
      </c>
      <c r="C180" t="s">
        <v>10</v>
      </c>
    </row>
    <row r="181" spans="1:3" x14ac:dyDescent="0.3">
      <c r="A181">
        <v>168</v>
      </c>
      <c r="B181" t="s">
        <v>517</v>
      </c>
      <c r="C181" t="s">
        <v>5</v>
      </c>
    </row>
    <row r="182" spans="1:3" x14ac:dyDescent="0.3">
      <c r="A182">
        <v>169</v>
      </c>
      <c r="B182" t="s">
        <v>112</v>
      </c>
      <c r="C182" t="s">
        <v>10</v>
      </c>
    </row>
    <row r="183" spans="1:3" x14ac:dyDescent="0.3">
      <c r="A183">
        <v>170</v>
      </c>
      <c r="B183" t="s">
        <v>176</v>
      </c>
      <c r="C183" t="s">
        <v>10</v>
      </c>
    </row>
    <row r="184" spans="1:3" x14ac:dyDescent="0.3">
      <c r="A184">
        <v>171</v>
      </c>
      <c r="B184" t="s">
        <v>107</v>
      </c>
      <c r="C184" t="s">
        <v>5</v>
      </c>
    </row>
    <row r="185" spans="1:3" x14ac:dyDescent="0.3">
      <c r="A185">
        <v>172</v>
      </c>
      <c r="B185" t="s">
        <v>163</v>
      </c>
      <c r="C185" t="s">
        <v>10</v>
      </c>
    </row>
    <row r="186" spans="1:3" x14ac:dyDescent="0.3">
      <c r="A186">
        <v>173</v>
      </c>
      <c r="B186" t="s">
        <v>145</v>
      </c>
      <c r="C186" t="s">
        <v>5</v>
      </c>
    </row>
    <row r="187" spans="1:3" x14ac:dyDescent="0.3">
      <c r="A187">
        <v>174</v>
      </c>
      <c r="B187" t="s">
        <v>121</v>
      </c>
      <c r="C187" t="s">
        <v>10</v>
      </c>
    </row>
    <row r="188" spans="1:3" x14ac:dyDescent="0.3">
      <c r="A188">
        <v>175</v>
      </c>
      <c r="B188" t="s">
        <v>153</v>
      </c>
      <c r="C188" t="s">
        <v>10</v>
      </c>
    </row>
    <row r="189" spans="1:3" x14ac:dyDescent="0.3">
      <c r="A189">
        <v>176</v>
      </c>
      <c r="B189" t="s">
        <v>519</v>
      </c>
      <c r="C189" t="s">
        <v>5</v>
      </c>
    </row>
    <row r="190" spans="1:3" x14ac:dyDescent="0.3">
      <c r="A190">
        <v>177</v>
      </c>
      <c r="B190" t="s">
        <v>273</v>
      </c>
      <c r="C190" t="s">
        <v>50</v>
      </c>
    </row>
    <row r="191" spans="1:3" x14ac:dyDescent="0.3">
      <c r="A191">
        <v>178</v>
      </c>
      <c r="B191" t="s">
        <v>532</v>
      </c>
      <c r="C191" t="s">
        <v>5</v>
      </c>
    </row>
    <row r="192" spans="1:3" x14ac:dyDescent="0.3">
      <c r="A192">
        <v>179</v>
      </c>
      <c r="B192" t="s">
        <v>97</v>
      </c>
      <c r="C192" t="s">
        <v>5</v>
      </c>
    </row>
    <row r="193" spans="1:3" x14ac:dyDescent="0.3">
      <c r="A193">
        <v>180</v>
      </c>
      <c r="B193" t="s">
        <v>156</v>
      </c>
      <c r="C193" t="s">
        <v>45</v>
      </c>
    </row>
    <row r="194" spans="1:3" x14ac:dyDescent="0.3">
      <c r="A194">
        <v>181</v>
      </c>
      <c r="B194" t="s">
        <v>147</v>
      </c>
      <c r="C194" t="s">
        <v>5</v>
      </c>
    </row>
    <row r="195" spans="1:3" x14ac:dyDescent="0.3">
      <c r="A195">
        <v>182</v>
      </c>
      <c r="B195" t="s">
        <v>106</v>
      </c>
      <c r="C195" t="s">
        <v>5</v>
      </c>
    </row>
    <row r="196" spans="1:3" x14ac:dyDescent="0.3">
      <c r="A196">
        <v>183</v>
      </c>
      <c r="B196" t="s">
        <v>136</v>
      </c>
      <c r="C196" t="s">
        <v>10</v>
      </c>
    </row>
    <row r="197" spans="1:3" x14ac:dyDescent="0.3">
      <c r="A197">
        <v>184</v>
      </c>
      <c r="B197" t="s">
        <v>173</v>
      </c>
      <c r="C197" t="s">
        <v>5</v>
      </c>
    </row>
    <row r="198" spans="1:3" x14ac:dyDescent="0.3">
      <c r="A198">
        <v>185</v>
      </c>
      <c r="B198" t="s">
        <v>113</v>
      </c>
      <c r="C198" t="s">
        <v>5</v>
      </c>
    </row>
    <row r="199" spans="1:3" x14ac:dyDescent="0.3">
      <c r="A199">
        <v>186</v>
      </c>
      <c r="B199" t="s">
        <v>169</v>
      </c>
      <c r="C199" t="s">
        <v>50</v>
      </c>
    </row>
    <row r="200" spans="1:3" x14ac:dyDescent="0.3">
      <c r="A200">
        <v>187</v>
      </c>
      <c r="B200" t="s">
        <v>101</v>
      </c>
      <c r="C200" t="s">
        <v>10</v>
      </c>
    </row>
    <row r="201" spans="1:3" x14ac:dyDescent="0.3">
      <c r="A201">
        <v>188</v>
      </c>
      <c r="B201" t="s">
        <v>157</v>
      </c>
      <c r="C201" t="s">
        <v>5</v>
      </c>
    </row>
    <row r="202" spans="1:3" x14ac:dyDescent="0.3">
      <c r="A202">
        <v>189</v>
      </c>
      <c r="B202" t="s">
        <v>181</v>
      </c>
      <c r="C202" t="s">
        <v>5</v>
      </c>
    </row>
    <row r="203" spans="1:3" x14ac:dyDescent="0.3">
      <c r="A203">
        <v>190</v>
      </c>
      <c r="B203" t="s">
        <v>102</v>
      </c>
      <c r="C203" t="s">
        <v>10</v>
      </c>
    </row>
    <row r="204" spans="1:3" x14ac:dyDescent="0.3">
      <c r="A204">
        <v>191</v>
      </c>
      <c r="B204" t="s">
        <v>582</v>
      </c>
      <c r="C204" t="s">
        <v>45</v>
      </c>
    </row>
    <row r="205" spans="1:3" x14ac:dyDescent="0.3">
      <c r="A205">
        <v>192</v>
      </c>
      <c r="B205" t="s">
        <v>159</v>
      </c>
      <c r="C205" t="s">
        <v>5</v>
      </c>
    </row>
    <row r="206" spans="1:3" x14ac:dyDescent="0.3">
      <c r="A206">
        <v>193</v>
      </c>
      <c r="B206" t="s">
        <v>132</v>
      </c>
      <c r="C206" t="s">
        <v>10</v>
      </c>
    </row>
    <row r="207" spans="1:3" x14ac:dyDescent="0.3">
      <c r="A207">
        <v>194</v>
      </c>
      <c r="B207" t="s">
        <v>139</v>
      </c>
      <c r="C207" t="s">
        <v>10</v>
      </c>
    </row>
    <row r="208" spans="1:3" x14ac:dyDescent="0.3">
      <c r="A208">
        <v>195</v>
      </c>
      <c r="B208" t="s">
        <v>126</v>
      </c>
      <c r="C208" t="s">
        <v>10</v>
      </c>
    </row>
    <row r="209" spans="1:3" x14ac:dyDescent="0.3">
      <c r="A209">
        <v>196</v>
      </c>
      <c r="B209" t="s">
        <v>150</v>
      </c>
      <c r="C209" t="s">
        <v>10</v>
      </c>
    </row>
    <row r="210" spans="1:3" x14ac:dyDescent="0.3">
      <c r="A210">
        <v>197</v>
      </c>
      <c r="B210" t="s">
        <v>131</v>
      </c>
      <c r="C210" t="s">
        <v>10</v>
      </c>
    </row>
    <row r="211" spans="1:3" x14ac:dyDescent="0.3">
      <c r="A211">
        <v>198</v>
      </c>
      <c r="B211" t="s">
        <v>118</v>
      </c>
      <c r="C211" t="s">
        <v>5</v>
      </c>
    </row>
    <row r="212" spans="1:3" x14ac:dyDescent="0.3">
      <c r="A212">
        <v>199</v>
      </c>
      <c r="B212" t="s">
        <v>581</v>
      </c>
      <c r="C212" t="s">
        <v>45</v>
      </c>
    </row>
    <row r="213" spans="1:3" x14ac:dyDescent="0.3">
      <c r="A213">
        <v>200</v>
      </c>
      <c r="B213" t="s">
        <v>140</v>
      </c>
      <c r="C213" t="s">
        <v>5</v>
      </c>
    </row>
    <row r="214" spans="1:3" x14ac:dyDescent="0.3">
      <c r="A214">
        <v>201</v>
      </c>
      <c r="B214" t="s">
        <v>120</v>
      </c>
      <c r="C214" t="s">
        <v>5</v>
      </c>
    </row>
    <row r="215" spans="1:3" x14ac:dyDescent="0.3">
      <c r="A215">
        <v>202</v>
      </c>
      <c r="B215" t="s">
        <v>195</v>
      </c>
      <c r="C215" t="s">
        <v>10</v>
      </c>
    </row>
    <row r="216" spans="1:3" x14ac:dyDescent="0.3">
      <c r="A216">
        <v>203</v>
      </c>
      <c r="B216" t="s">
        <v>547</v>
      </c>
      <c r="C216" t="s">
        <v>50</v>
      </c>
    </row>
    <row r="217" spans="1:3" x14ac:dyDescent="0.3">
      <c r="A217">
        <v>204</v>
      </c>
      <c r="B217" t="s">
        <v>134</v>
      </c>
      <c r="C217" t="s">
        <v>10</v>
      </c>
    </row>
    <row r="218" spans="1:3" x14ac:dyDescent="0.3">
      <c r="A218">
        <v>205</v>
      </c>
      <c r="B218" t="s">
        <v>119</v>
      </c>
      <c r="C218" t="s">
        <v>10</v>
      </c>
    </row>
    <row r="219" spans="1:3" x14ac:dyDescent="0.3">
      <c r="A219">
        <v>206</v>
      </c>
      <c r="B219" t="s">
        <v>161</v>
      </c>
      <c r="C219" t="s">
        <v>152</v>
      </c>
    </row>
    <row r="220" spans="1:3" x14ac:dyDescent="0.3">
      <c r="A220">
        <v>207</v>
      </c>
      <c r="B220" t="s">
        <v>138</v>
      </c>
      <c r="C220" t="s">
        <v>50</v>
      </c>
    </row>
    <row r="221" spans="1:3" x14ac:dyDescent="0.3">
      <c r="A221">
        <v>208</v>
      </c>
      <c r="B221" t="s">
        <v>185</v>
      </c>
      <c r="C221" t="s">
        <v>50</v>
      </c>
    </row>
    <row r="222" spans="1:3" x14ac:dyDescent="0.3">
      <c r="A222">
        <v>209</v>
      </c>
      <c r="B222" t="s">
        <v>284</v>
      </c>
      <c r="C222" t="s">
        <v>152</v>
      </c>
    </row>
    <row r="223" spans="1:3" x14ac:dyDescent="0.3">
      <c r="A223">
        <v>210</v>
      </c>
      <c r="B223" t="s">
        <v>164</v>
      </c>
      <c r="C223" t="s">
        <v>10</v>
      </c>
    </row>
    <row r="224" spans="1:3" x14ac:dyDescent="0.3">
      <c r="A224">
        <v>211</v>
      </c>
      <c r="B224" t="s">
        <v>115</v>
      </c>
      <c r="C224" t="s">
        <v>10</v>
      </c>
    </row>
    <row r="225" spans="1:3" x14ac:dyDescent="0.3">
      <c r="A225">
        <v>212</v>
      </c>
      <c r="B225" t="s">
        <v>171</v>
      </c>
      <c r="C225" t="s">
        <v>10</v>
      </c>
    </row>
    <row r="226" spans="1:3" x14ac:dyDescent="0.3">
      <c r="A226">
        <v>213</v>
      </c>
      <c r="B226" t="s">
        <v>209</v>
      </c>
      <c r="C226" t="s">
        <v>5</v>
      </c>
    </row>
    <row r="227" spans="1:3" x14ac:dyDescent="0.3">
      <c r="A227">
        <v>214</v>
      </c>
      <c r="B227" t="s">
        <v>584</v>
      </c>
      <c r="C227" t="s">
        <v>45</v>
      </c>
    </row>
    <row r="228" spans="1:3" x14ac:dyDescent="0.3">
      <c r="A228">
        <v>215</v>
      </c>
      <c r="B228" t="s">
        <v>205</v>
      </c>
      <c r="C228" t="s">
        <v>5</v>
      </c>
    </row>
    <row r="229" spans="1:3" x14ac:dyDescent="0.3">
      <c r="A229">
        <v>216</v>
      </c>
      <c r="B229" t="s">
        <v>144</v>
      </c>
      <c r="C229" t="s">
        <v>10</v>
      </c>
    </row>
    <row r="230" spans="1:3" x14ac:dyDescent="0.3">
      <c r="A230">
        <v>217</v>
      </c>
      <c r="B230" t="s">
        <v>190</v>
      </c>
      <c r="C230" t="s">
        <v>5</v>
      </c>
    </row>
    <row r="231" spans="1:3" x14ac:dyDescent="0.3">
      <c r="A231">
        <v>218</v>
      </c>
      <c r="B231" t="s">
        <v>114</v>
      </c>
      <c r="C231" t="s">
        <v>10</v>
      </c>
    </row>
    <row r="232" spans="1:3" x14ac:dyDescent="0.3">
      <c r="A232">
        <v>219</v>
      </c>
      <c r="B232" t="s">
        <v>196</v>
      </c>
      <c r="C232" t="s">
        <v>10</v>
      </c>
    </row>
    <row r="233" spans="1:3" x14ac:dyDescent="0.3">
      <c r="A233">
        <v>220</v>
      </c>
      <c r="B233" t="s">
        <v>135</v>
      </c>
      <c r="C233" t="s">
        <v>50</v>
      </c>
    </row>
    <row r="234" spans="1:3" x14ac:dyDescent="0.3">
      <c r="A234">
        <v>221</v>
      </c>
      <c r="B234" t="s">
        <v>637</v>
      </c>
      <c r="C234" t="s">
        <v>50</v>
      </c>
    </row>
    <row r="235" spans="1:3" x14ac:dyDescent="0.3">
      <c r="A235">
        <v>222</v>
      </c>
      <c r="B235" t="s">
        <v>125</v>
      </c>
      <c r="C235" t="s">
        <v>50</v>
      </c>
    </row>
    <row r="236" spans="1:3" x14ac:dyDescent="0.3">
      <c r="A236">
        <v>223</v>
      </c>
      <c r="B236" t="s">
        <v>141</v>
      </c>
      <c r="C236" t="s">
        <v>50</v>
      </c>
    </row>
    <row r="237" spans="1:3" x14ac:dyDescent="0.3">
      <c r="A237">
        <v>224</v>
      </c>
      <c r="B237" t="s">
        <v>546</v>
      </c>
      <c r="C237" t="s">
        <v>50</v>
      </c>
    </row>
    <row r="238" spans="1:3" x14ac:dyDescent="0.3">
      <c r="A238">
        <v>225</v>
      </c>
      <c r="B238" t="s">
        <v>179</v>
      </c>
      <c r="C238" t="s">
        <v>10</v>
      </c>
    </row>
    <row r="239" spans="1:3" x14ac:dyDescent="0.3">
      <c r="A239">
        <v>226</v>
      </c>
      <c r="B239" t="s">
        <v>199</v>
      </c>
      <c r="C239" t="s">
        <v>152</v>
      </c>
    </row>
    <row r="240" spans="1:3" x14ac:dyDescent="0.3">
      <c r="A240">
        <v>227</v>
      </c>
      <c r="B240" t="s">
        <v>251</v>
      </c>
      <c r="C240" t="s">
        <v>45</v>
      </c>
    </row>
    <row r="241" spans="1:3" x14ac:dyDescent="0.3">
      <c r="A241">
        <v>228</v>
      </c>
      <c r="B241" t="s">
        <v>155</v>
      </c>
      <c r="C241" t="s">
        <v>10</v>
      </c>
    </row>
    <row r="242" spans="1:3" x14ac:dyDescent="0.3">
      <c r="A242">
        <v>229</v>
      </c>
      <c r="B242" t="s">
        <v>239</v>
      </c>
      <c r="C242" t="s">
        <v>45</v>
      </c>
    </row>
    <row r="243" spans="1:3" x14ac:dyDescent="0.3">
      <c r="A243">
        <v>230</v>
      </c>
      <c r="B243" t="s">
        <v>142</v>
      </c>
      <c r="C243" t="s">
        <v>10</v>
      </c>
    </row>
    <row r="244" spans="1:3" x14ac:dyDescent="0.3">
      <c r="A244">
        <v>231</v>
      </c>
      <c r="B244" t="s">
        <v>256</v>
      </c>
      <c r="C244" t="s">
        <v>50</v>
      </c>
    </row>
    <row r="245" spans="1:3" x14ac:dyDescent="0.3">
      <c r="A245">
        <v>232</v>
      </c>
      <c r="B245" t="s">
        <v>180</v>
      </c>
      <c r="C245" t="s">
        <v>5</v>
      </c>
    </row>
    <row r="246" spans="1:3" x14ac:dyDescent="0.3">
      <c r="A246">
        <v>233</v>
      </c>
      <c r="B246" t="s">
        <v>133</v>
      </c>
      <c r="C246" t="s">
        <v>5</v>
      </c>
    </row>
    <row r="247" spans="1:3" x14ac:dyDescent="0.3">
      <c r="A247">
        <v>234</v>
      </c>
      <c r="B247" t="s">
        <v>569</v>
      </c>
      <c r="C247" t="s">
        <v>50</v>
      </c>
    </row>
    <row r="248" spans="1:3" x14ac:dyDescent="0.3">
      <c r="A248">
        <v>235</v>
      </c>
      <c r="B248" t="s">
        <v>210</v>
      </c>
      <c r="C248" t="s">
        <v>5</v>
      </c>
    </row>
    <row r="249" spans="1:3" x14ac:dyDescent="0.3">
      <c r="A249">
        <v>236</v>
      </c>
      <c r="B249" t="s">
        <v>302</v>
      </c>
      <c r="C249" t="s">
        <v>50</v>
      </c>
    </row>
    <row r="250" spans="1:3" x14ac:dyDescent="0.3">
      <c r="A250">
        <v>237</v>
      </c>
      <c r="B250" t="s">
        <v>275</v>
      </c>
      <c r="C250" t="s">
        <v>50</v>
      </c>
    </row>
    <row r="251" spans="1:3" x14ac:dyDescent="0.3">
      <c r="A251">
        <v>238</v>
      </c>
      <c r="B251" t="s">
        <v>206</v>
      </c>
      <c r="C251" t="s">
        <v>5</v>
      </c>
    </row>
    <row r="252" spans="1:3" x14ac:dyDescent="0.3">
      <c r="A252">
        <v>239</v>
      </c>
      <c r="B252" t="s">
        <v>149</v>
      </c>
      <c r="C252" t="s">
        <v>5</v>
      </c>
    </row>
    <row r="253" spans="1:3" x14ac:dyDescent="0.3">
      <c r="A253">
        <v>240</v>
      </c>
      <c r="B253" t="s">
        <v>182</v>
      </c>
      <c r="C253" t="s">
        <v>5</v>
      </c>
    </row>
    <row r="254" spans="1:3" x14ac:dyDescent="0.3">
      <c r="A254">
        <v>241</v>
      </c>
      <c r="B254" t="s">
        <v>124</v>
      </c>
      <c r="C254" t="s">
        <v>10</v>
      </c>
    </row>
    <row r="255" spans="1:3" x14ac:dyDescent="0.3">
      <c r="A255">
        <v>242</v>
      </c>
      <c r="B255" t="s">
        <v>170</v>
      </c>
      <c r="C255" t="s">
        <v>10</v>
      </c>
    </row>
    <row r="256" spans="1:3" x14ac:dyDescent="0.3">
      <c r="A256">
        <v>243</v>
      </c>
      <c r="B256" t="s">
        <v>193</v>
      </c>
      <c r="C256" t="s">
        <v>10</v>
      </c>
    </row>
    <row r="257" spans="1:3" x14ac:dyDescent="0.3">
      <c r="A257">
        <v>244</v>
      </c>
      <c r="B257" t="s">
        <v>549</v>
      </c>
      <c r="C257" t="s">
        <v>50</v>
      </c>
    </row>
    <row r="258" spans="1:3" x14ac:dyDescent="0.3">
      <c r="A258">
        <v>245</v>
      </c>
      <c r="B258" t="s">
        <v>641</v>
      </c>
      <c r="C258" t="s">
        <v>245</v>
      </c>
    </row>
    <row r="259" spans="1:3" x14ac:dyDescent="0.3">
      <c r="A259">
        <v>246</v>
      </c>
      <c r="B259" t="s">
        <v>272</v>
      </c>
      <c r="C259" t="s">
        <v>45</v>
      </c>
    </row>
    <row r="260" spans="1:3" x14ac:dyDescent="0.3">
      <c r="A260">
        <v>247</v>
      </c>
      <c r="B260" t="s">
        <v>178</v>
      </c>
      <c r="C260" t="s">
        <v>10</v>
      </c>
    </row>
    <row r="261" spans="1:3" x14ac:dyDescent="0.3">
      <c r="A261">
        <v>248</v>
      </c>
      <c r="B261" t="s">
        <v>213</v>
      </c>
      <c r="C261" t="s">
        <v>5</v>
      </c>
    </row>
    <row r="262" spans="1:3" x14ac:dyDescent="0.3">
      <c r="A262">
        <v>249</v>
      </c>
      <c r="B262" t="s">
        <v>212</v>
      </c>
      <c r="C262" t="s">
        <v>10</v>
      </c>
    </row>
    <row r="263" spans="1:3" x14ac:dyDescent="0.3">
      <c r="A263">
        <v>250</v>
      </c>
      <c r="B263" t="s">
        <v>266</v>
      </c>
      <c r="C263" t="s">
        <v>45</v>
      </c>
    </row>
    <row r="264" spans="1:3" x14ac:dyDescent="0.3">
      <c r="A264">
        <v>251</v>
      </c>
      <c r="B264" s="2" t="s">
        <v>638</v>
      </c>
      <c r="C264" t="s">
        <v>5</v>
      </c>
    </row>
    <row r="265" spans="1:3" x14ac:dyDescent="0.3">
      <c r="A265">
        <v>252</v>
      </c>
      <c r="B265" t="s">
        <v>189</v>
      </c>
      <c r="C265" t="s">
        <v>10</v>
      </c>
    </row>
    <row r="266" spans="1:3" x14ac:dyDescent="0.3">
      <c r="A266">
        <v>253</v>
      </c>
      <c r="B266" s="7" t="s">
        <v>721</v>
      </c>
      <c r="C266" t="s">
        <v>50</v>
      </c>
    </row>
    <row r="267" spans="1:3" x14ac:dyDescent="0.3">
      <c r="A267">
        <v>254</v>
      </c>
      <c r="B267" s="7" t="s">
        <v>221</v>
      </c>
      <c r="C267" t="s">
        <v>10</v>
      </c>
    </row>
    <row r="268" spans="1:3" x14ac:dyDescent="0.3">
      <c r="A268">
        <v>255</v>
      </c>
      <c r="B268" s="7" t="s">
        <v>518</v>
      </c>
      <c r="C268" t="s">
        <v>5</v>
      </c>
    </row>
    <row r="269" spans="1:3" x14ac:dyDescent="0.3">
      <c r="A269">
        <v>256</v>
      </c>
      <c r="B269" s="7" t="s">
        <v>219</v>
      </c>
      <c r="C269" t="s">
        <v>10</v>
      </c>
    </row>
    <row r="270" spans="1:3" x14ac:dyDescent="0.3">
      <c r="A270">
        <v>257</v>
      </c>
      <c r="B270" s="7" t="s">
        <v>188</v>
      </c>
      <c r="C270" t="s">
        <v>5</v>
      </c>
    </row>
    <row r="271" spans="1:3" x14ac:dyDescent="0.3">
      <c r="A271">
        <v>258</v>
      </c>
      <c r="B271" s="7" t="s">
        <v>172</v>
      </c>
      <c r="C271" t="s">
        <v>5</v>
      </c>
    </row>
    <row r="272" spans="1:3" x14ac:dyDescent="0.3">
      <c r="A272">
        <v>259</v>
      </c>
      <c r="B272" s="7" t="s">
        <v>222</v>
      </c>
      <c r="C272" t="s">
        <v>50</v>
      </c>
    </row>
    <row r="273" spans="1:3" x14ac:dyDescent="0.3">
      <c r="A273">
        <v>260</v>
      </c>
      <c r="B273" s="7" t="s">
        <v>227</v>
      </c>
      <c r="C273" t="s">
        <v>45</v>
      </c>
    </row>
    <row r="274" spans="1:3" x14ac:dyDescent="0.3">
      <c r="A274">
        <v>261</v>
      </c>
      <c r="B274" s="7" t="s">
        <v>203</v>
      </c>
      <c r="C274" t="s">
        <v>10</v>
      </c>
    </row>
    <row r="275" spans="1:3" x14ac:dyDescent="0.3">
      <c r="A275">
        <v>262</v>
      </c>
      <c r="B275" s="7" t="s">
        <v>314</v>
      </c>
      <c r="C275" t="s">
        <v>50</v>
      </c>
    </row>
    <row r="276" spans="1:3" x14ac:dyDescent="0.3">
      <c r="A276">
        <v>263</v>
      </c>
      <c r="B276" s="2" t="s">
        <v>236</v>
      </c>
      <c r="C276" t="s">
        <v>5</v>
      </c>
    </row>
    <row r="277" spans="1:3" x14ac:dyDescent="0.3">
      <c r="A277">
        <v>264</v>
      </c>
      <c r="B277" s="7" t="s">
        <v>548</v>
      </c>
      <c r="C277" t="s">
        <v>50</v>
      </c>
    </row>
    <row r="278" spans="1:3" x14ac:dyDescent="0.3">
      <c r="A278">
        <v>265</v>
      </c>
      <c r="B278" s="7" t="s">
        <v>722</v>
      </c>
      <c r="C278" t="s">
        <v>45</v>
      </c>
    </row>
    <row r="279" spans="1:3" x14ac:dyDescent="0.3">
      <c r="A279">
        <v>266</v>
      </c>
      <c r="B279" s="7" t="s">
        <v>165</v>
      </c>
      <c r="C279" t="s">
        <v>5</v>
      </c>
    </row>
    <row r="280" spans="1:3" x14ac:dyDescent="0.3">
      <c r="A280">
        <v>267</v>
      </c>
      <c r="B280" s="7" t="s">
        <v>235</v>
      </c>
      <c r="C280" t="s">
        <v>50</v>
      </c>
    </row>
    <row r="281" spans="1:3" x14ac:dyDescent="0.3">
      <c r="A281">
        <v>268</v>
      </c>
      <c r="B281" s="2" t="s">
        <v>521</v>
      </c>
      <c r="C281" t="s">
        <v>5</v>
      </c>
    </row>
    <row r="282" spans="1:3" x14ac:dyDescent="0.3">
      <c r="A282">
        <v>269</v>
      </c>
      <c r="B282" s="7" t="s">
        <v>216</v>
      </c>
      <c r="C282" t="s">
        <v>50</v>
      </c>
    </row>
    <row r="283" spans="1:3" x14ac:dyDescent="0.3">
      <c r="A283">
        <v>270</v>
      </c>
      <c r="B283" s="7" t="s">
        <v>551</v>
      </c>
      <c r="C283" t="s">
        <v>50</v>
      </c>
    </row>
    <row r="284" spans="1:3" x14ac:dyDescent="0.3">
      <c r="A284">
        <v>271</v>
      </c>
      <c r="B284" s="7" t="s">
        <v>585</v>
      </c>
      <c r="C284" t="s">
        <v>45</v>
      </c>
    </row>
    <row r="285" spans="1:3" x14ac:dyDescent="0.3">
      <c r="A285">
        <v>272</v>
      </c>
      <c r="B285" s="7" t="s">
        <v>229</v>
      </c>
      <c r="C285" t="s">
        <v>10</v>
      </c>
    </row>
    <row r="286" spans="1:3" x14ac:dyDescent="0.3">
      <c r="A286">
        <v>273</v>
      </c>
      <c r="B286" s="7" t="s">
        <v>305</v>
      </c>
      <c r="C286" t="s">
        <v>50</v>
      </c>
    </row>
    <row r="287" spans="1:3" x14ac:dyDescent="0.3">
      <c r="A287">
        <v>274</v>
      </c>
      <c r="B287" s="7" t="s">
        <v>311</v>
      </c>
      <c r="C287" t="s">
        <v>10</v>
      </c>
    </row>
    <row r="288" spans="1:3" x14ac:dyDescent="0.3">
      <c r="A288">
        <v>275</v>
      </c>
      <c r="B288" s="7" t="s">
        <v>232</v>
      </c>
      <c r="C288" t="s">
        <v>10</v>
      </c>
    </row>
    <row r="289" spans="1:3" x14ac:dyDescent="0.3">
      <c r="A289">
        <v>276</v>
      </c>
      <c r="B289" s="7" t="s">
        <v>295</v>
      </c>
      <c r="C289" t="s">
        <v>10</v>
      </c>
    </row>
    <row r="290" spans="1:3" x14ac:dyDescent="0.3">
      <c r="A290">
        <v>277</v>
      </c>
      <c r="B290" s="7" t="s">
        <v>208</v>
      </c>
      <c r="C290" t="s">
        <v>10</v>
      </c>
    </row>
    <row r="291" spans="1:3" x14ac:dyDescent="0.3">
      <c r="A291">
        <v>278</v>
      </c>
      <c r="B291" s="7" t="s">
        <v>298</v>
      </c>
      <c r="C291" t="s">
        <v>45</v>
      </c>
    </row>
    <row r="292" spans="1:3" x14ac:dyDescent="0.3">
      <c r="A292">
        <v>279</v>
      </c>
      <c r="B292" s="7" t="s">
        <v>214</v>
      </c>
      <c r="C292" t="s">
        <v>10</v>
      </c>
    </row>
    <row r="293" spans="1:3" x14ac:dyDescent="0.3">
      <c r="A293">
        <v>280</v>
      </c>
      <c r="B293" s="7" t="s">
        <v>197</v>
      </c>
      <c r="C293" t="s">
        <v>10</v>
      </c>
    </row>
    <row r="294" spans="1:3" x14ac:dyDescent="0.3">
      <c r="A294">
        <v>281</v>
      </c>
      <c r="B294" s="7" t="s">
        <v>160</v>
      </c>
      <c r="C294" t="s">
        <v>10</v>
      </c>
    </row>
    <row r="295" spans="1:3" x14ac:dyDescent="0.3">
      <c r="A295">
        <v>282</v>
      </c>
      <c r="B295" s="7" t="s">
        <v>555</v>
      </c>
      <c r="C295" t="s">
        <v>50</v>
      </c>
    </row>
    <row r="296" spans="1:3" x14ac:dyDescent="0.3">
      <c r="A296">
        <v>283</v>
      </c>
      <c r="B296" s="7" t="s">
        <v>250</v>
      </c>
      <c r="C296" t="s">
        <v>50</v>
      </c>
    </row>
    <row r="297" spans="1:3" x14ac:dyDescent="0.3">
      <c r="A297">
        <v>284</v>
      </c>
      <c r="B297" s="7" t="s">
        <v>252</v>
      </c>
      <c r="C297" t="s">
        <v>10</v>
      </c>
    </row>
    <row r="298" spans="1:3" x14ac:dyDescent="0.3">
      <c r="A298">
        <v>285</v>
      </c>
      <c r="B298" s="7" t="s">
        <v>154</v>
      </c>
      <c r="C298" t="s">
        <v>5</v>
      </c>
    </row>
    <row r="299" spans="1:3" x14ac:dyDescent="0.3">
      <c r="A299">
        <v>286</v>
      </c>
      <c r="B299" s="7" t="s">
        <v>209</v>
      </c>
      <c r="C299" t="s">
        <v>50</v>
      </c>
    </row>
    <row r="300" spans="1:3" x14ac:dyDescent="0.3">
      <c r="A300">
        <v>287</v>
      </c>
      <c r="B300" s="7" t="s">
        <v>234</v>
      </c>
      <c r="C300" t="s">
        <v>5</v>
      </c>
    </row>
    <row r="301" spans="1:3" x14ac:dyDescent="0.3">
      <c r="A301">
        <v>288</v>
      </c>
      <c r="B301" s="7" t="s">
        <v>277</v>
      </c>
      <c r="C301" t="s">
        <v>10</v>
      </c>
    </row>
    <row r="302" spans="1:3" x14ac:dyDescent="0.3">
      <c r="A302">
        <v>289</v>
      </c>
      <c r="B302" s="7" t="s">
        <v>600</v>
      </c>
      <c r="C302" t="s">
        <v>10</v>
      </c>
    </row>
    <row r="303" spans="1:3" x14ac:dyDescent="0.3">
      <c r="A303">
        <v>290</v>
      </c>
      <c r="B303" s="7" t="s">
        <v>260</v>
      </c>
      <c r="C303" t="s">
        <v>10</v>
      </c>
    </row>
    <row r="304" spans="1:3" x14ac:dyDescent="0.3">
      <c r="A304">
        <v>291</v>
      </c>
      <c r="B304" s="7" t="s">
        <v>223</v>
      </c>
      <c r="C304" t="s">
        <v>50</v>
      </c>
    </row>
    <row r="305" spans="1:3" x14ac:dyDescent="0.3">
      <c r="A305">
        <v>292</v>
      </c>
      <c r="B305" s="7" t="s">
        <v>520</v>
      </c>
      <c r="C305" t="s">
        <v>5</v>
      </c>
    </row>
    <row r="306" spans="1:3" x14ac:dyDescent="0.3">
      <c r="A306">
        <v>293</v>
      </c>
      <c r="B306" s="7" t="s">
        <v>225</v>
      </c>
      <c r="C306" t="s">
        <v>5</v>
      </c>
    </row>
    <row r="307" spans="1:3" x14ac:dyDescent="0.3">
      <c r="A307">
        <v>294</v>
      </c>
      <c r="B307" s="7" t="s">
        <v>267</v>
      </c>
      <c r="C307" t="s">
        <v>50</v>
      </c>
    </row>
    <row r="308" spans="1:3" x14ac:dyDescent="0.3">
      <c r="A308">
        <v>295</v>
      </c>
      <c r="B308" s="7" t="s">
        <v>261</v>
      </c>
      <c r="C308" t="s">
        <v>50</v>
      </c>
    </row>
    <row r="309" spans="1:3" x14ac:dyDescent="0.3">
      <c r="A309">
        <v>296</v>
      </c>
      <c r="B309" s="7" t="s">
        <v>248</v>
      </c>
      <c r="C309" t="s">
        <v>10</v>
      </c>
    </row>
    <row r="310" spans="1:3" x14ac:dyDescent="0.3">
      <c r="A310">
        <v>297</v>
      </c>
      <c r="B310" s="7" t="s">
        <v>587</v>
      </c>
      <c r="C310" t="s">
        <v>45</v>
      </c>
    </row>
    <row r="311" spans="1:3" x14ac:dyDescent="0.3">
      <c r="A311">
        <v>298</v>
      </c>
      <c r="B311" s="7" t="s">
        <v>237</v>
      </c>
      <c r="C311" t="s">
        <v>152</v>
      </c>
    </row>
    <row r="312" spans="1:3" x14ac:dyDescent="0.3">
      <c r="A312">
        <v>299</v>
      </c>
      <c r="B312" s="7" t="s">
        <v>187</v>
      </c>
      <c r="C312" t="s">
        <v>50</v>
      </c>
    </row>
    <row r="313" spans="1:3" x14ac:dyDescent="0.3">
      <c r="A313">
        <v>300</v>
      </c>
      <c r="B313" s="7" t="s">
        <v>246</v>
      </c>
      <c r="C313" t="s">
        <v>10</v>
      </c>
    </row>
    <row r="314" spans="1:3" x14ac:dyDescent="0.3">
      <c r="A314">
        <v>301</v>
      </c>
      <c r="B314" s="7" t="s">
        <v>202</v>
      </c>
      <c r="C314" t="s">
        <v>45</v>
      </c>
    </row>
    <row r="315" spans="1:3" x14ac:dyDescent="0.3">
      <c r="A315">
        <v>302</v>
      </c>
      <c r="B315" s="13" t="s">
        <v>723</v>
      </c>
      <c r="C315" t="s">
        <v>5</v>
      </c>
    </row>
    <row r="316" spans="1:3" x14ac:dyDescent="0.3">
      <c r="A316">
        <v>303</v>
      </c>
      <c r="B316" s="7" t="s">
        <v>220</v>
      </c>
      <c r="C316" t="s">
        <v>45</v>
      </c>
    </row>
    <row r="317" spans="1:3" x14ac:dyDescent="0.3">
      <c r="A317">
        <v>304</v>
      </c>
      <c r="B317" s="7" t="s">
        <v>207</v>
      </c>
      <c r="C317" t="s">
        <v>10</v>
      </c>
    </row>
    <row r="318" spans="1:3" x14ac:dyDescent="0.3">
      <c r="A318">
        <v>305</v>
      </c>
      <c r="B318" s="7" t="s">
        <v>282</v>
      </c>
      <c r="C318" t="s">
        <v>5</v>
      </c>
    </row>
    <row r="319" spans="1:3" x14ac:dyDescent="0.3">
      <c r="A319">
        <v>306</v>
      </c>
      <c r="B319" s="7" t="s">
        <v>184</v>
      </c>
      <c r="C319" t="s">
        <v>10</v>
      </c>
    </row>
    <row r="320" spans="1:3" x14ac:dyDescent="0.3">
      <c r="A320">
        <v>307</v>
      </c>
      <c r="B320" s="7" t="s">
        <v>271</v>
      </c>
      <c r="C320" t="s">
        <v>50</v>
      </c>
    </row>
    <row r="321" spans="1:3" x14ac:dyDescent="0.3">
      <c r="A321">
        <v>308</v>
      </c>
      <c r="B321" s="7" t="s">
        <v>325</v>
      </c>
      <c r="C321" t="s">
        <v>50</v>
      </c>
    </row>
    <row r="322" spans="1:3" x14ac:dyDescent="0.3">
      <c r="A322">
        <v>309</v>
      </c>
      <c r="B322" s="7" t="s">
        <v>192</v>
      </c>
      <c r="C322" t="s">
        <v>45</v>
      </c>
    </row>
    <row r="323" spans="1:3" x14ac:dyDescent="0.3">
      <c r="A323">
        <v>310</v>
      </c>
      <c r="B323" s="7" t="s">
        <v>230</v>
      </c>
      <c r="C323" t="s">
        <v>152</v>
      </c>
    </row>
    <row r="324" spans="1:3" x14ac:dyDescent="0.3">
      <c r="A324">
        <v>311</v>
      </c>
      <c r="B324" s="7" t="s">
        <v>249</v>
      </c>
      <c r="C324" t="s">
        <v>152</v>
      </c>
    </row>
    <row r="325" spans="1:3" x14ac:dyDescent="0.3">
      <c r="A325">
        <v>312</v>
      </c>
      <c r="B325" s="7" t="s">
        <v>218</v>
      </c>
      <c r="C325" t="s">
        <v>10</v>
      </c>
    </row>
    <row r="326" spans="1:3" x14ac:dyDescent="0.3">
      <c r="A326">
        <v>313</v>
      </c>
      <c r="B326" s="7" t="s">
        <v>201</v>
      </c>
      <c r="C326" t="s">
        <v>5</v>
      </c>
    </row>
    <row r="327" spans="1:3" x14ac:dyDescent="0.3">
      <c r="A327">
        <v>314</v>
      </c>
      <c r="B327" s="7" t="s">
        <v>265</v>
      </c>
      <c r="C327" t="s">
        <v>45</v>
      </c>
    </row>
    <row r="328" spans="1:3" x14ac:dyDescent="0.3">
      <c r="A328">
        <v>315</v>
      </c>
      <c r="B328" s="7" t="s">
        <v>552</v>
      </c>
      <c r="C328" t="s">
        <v>50</v>
      </c>
    </row>
    <row r="329" spans="1:3" x14ac:dyDescent="0.3">
      <c r="A329">
        <v>316</v>
      </c>
      <c r="B329" s="7" t="s">
        <v>166</v>
      </c>
      <c r="C329" t="s">
        <v>5</v>
      </c>
    </row>
    <row r="330" spans="1:3" x14ac:dyDescent="0.3">
      <c r="A330">
        <v>317</v>
      </c>
      <c r="B330" s="7" t="s">
        <v>191</v>
      </c>
      <c r="C330" t="s">
        <v>5</v>
      </c>
    </row>
    <row r="331" spans="1:3" x14ac:dyDescent="0.3">
      <c r="A331">
        <v>318</v>
      </c>
      <c r="B331" s="7" t="s">
        <v>253</v>
      </c>
      <c r="C331" t="s">
        <v>50</v>
      </c>
    </row>
    <row r="332" spans="1:3" x14ac:dyDescent="0.3">
      <c r="A332">
        <v>319</v>
      </c>
      <c r="B332" s="7" t="s">
        <v>643</v>
      </c>
      <c r="C332" t="s">
        <v>50</v>
      </c>
    </row>
    <row r="333" spans="1:3" x14ac:dyDescent="0.3">
      <c r="A333">
        <v>320</v>
      </c>
      <c r="B333" s="7" t="s">
        <v>255</v>
      </c>
      <c r="C333" t="s">
        <v>5</v>
      </c>
    </row>
    <row r="334" spans="1:3" x14ac:dyDescent="0.3">
      <c r="A334">
        <v>321</v>
      </c>
      <c r="B334" s="7" t="s">
        <v>204</v>
      </c>
      <c r="C334" t="s">
        <v>10</v>
      </c>
    </row>
    <row r="335" spans="1:3" x14ac:dyDescent="0.3">
      <c r="A335">
        <v>322</v>
      </c>
      <c r="B335" s="7" t="s">
        <v>312</v>
      </c>
      <c r="C335" t="s">
        <v>50</v>
      </c>
    </row>
    <row r="336" spans="1:3" x14ac:dyDescent="0.3">
      <c r="A336">
        <v>323</v>
      </c>
      <c r="B336" s="7" t="s">
        <v>286</v>
      </c>
      <c r="C336" t="s">
        <v>10</v>
      </c>
    </row>
    <row r="337" spans="1:3" x14ac:dyDescent="0.3">
      <c r="A337">
        <v>324</v>
      </c>
      <c r="B337" s="7" t="s">
        <v>211</v>
      </c>
      <c r="C337" t="s">
        <v>10</v>
      </c>
    </row>
    <row r="338" spans="1:3" x14ac:dyDescent="0.3">
      <c r="A338">
        <v>325</v>
      </c>
      <c r="B338" s="7" t="s">
        <v>269</v>
      </c>
      <c r="C338" t="s">
        <v>10</v>
      </c>
    </row>
    <row r="339" spans="1:3" x14ac:dyDescent="0.3">
      <c r="A339">
        <v>326</v>
      </c>
      <c r="B339" s="7" t="s">
        <v>588</v>
      </c>
      <c r="C339" t="s">
        <v>45</v>
      </c>
    </row>
    <row r="340" spans="1:3" x14ac:dyDescent="0.3">
      <c r="A340">
        <v>327</v>
      </c>
      <c r="B340" s="7" t="s">
        <v>293</v>
      </c>
      <c r="C340" t="s">
        <v>10</v>
      </c>
    </row>
    <row r="341" spans="1:3" x14ac:dyDescent="0.3">
      <c r="A341">
        <v>328</v>
      </c>
      <c r="B341" s="7" t="s">
        <v>290</v>
      </c>
      <c r="C341" t="s">
        <v>45</v>
      </c>
    </row>
    <row r="342" spans="1:3" x14ac:dyDescent="0.3">
      <c r="A342">
        <v>329</v>
      </c>
      <c r="B342" s="7" t="s">
        <v>303</v>
      </c>
      <c r="C342" t="s">
        <v>50</v>
      </c>
    </row>
    <row r="343" spans="1:3" x14ac:dyDescent="0.3">
      <c r="A343">
        <v>330</v>
      </c>
      <c r="B343" s="7" t="s">
        <v>231</v>
      </c>
      <c r="C343" t="s">
        <v>10</v>
      </c>
    </row>
    <row r="344" spans="1:3" x14ac:dyDescent="0.3">
      <c r="A344">
        <v>331</v>
      </c>
      <c r="B344" s="7" t="s">
        <v>523</v>
      </c>
      <c r="C344" t="s">
        <v>5</v>
      </c>
    </row>
    <row r="345" spans="1:3" x14ac:dyDescent="0.3">
      <c r="A345">
        <v>332</v>
      </c>
      <c r="B345" s="7" t="s">
        <v>270</v>
      </c>
      <c r="C345" t="s">
        <v>152</v>
      </c>
    </row>
    <row r="346" spans="1:3" x14ac:dyDescent="0.3">
      <c r="A346">
        <v>333</v>
      </c>
      <c r="B346" s="7" t="s">
        <v>194</v>
      </c>
      <c r="C346" t="s">
        <v>45</v>
      </c>
    </row>
    <row r="347" spans="1:3" x14ac:dyDescent="0.3">
      <c r="A347">
        <v>334</v>
      </c>
      <c r="B347" s="7" t="s">
        <v>183</v>
      </c>
      <c r="C347" t="s">
        <v>10</v>
      </c>
    </row>
    <row r="348" spans="1:3" x14ac:dyDescent="0.3">
      <c r="A348">
        <v>335</v>
      </c>
      <c r="B348" s="7" t="s">
        <v>355</v>
      </c>
      <c r="C348" t="s">
        <v>245</v>
      </c>
    </row>
    <row r="349" spans="1:3" x14ac:dyDescent="0.3">
      <c r="A349">
        <v>336</v>
      </c>
      <c r="B349" s="7" t="s">
        <v>198</v>
      </c>
      <c r="C349" t="s">
        <v>5</v>
      </c>
    </row>
    <row r="350" spans="1:3" x14ac:dyDescent="0.3">
      <c r="A350">
        <v>337</v>
      </c>
      <c r="B350" s="7" t="s">
        <v>553</v>
      </c>
      <c r="C350" t="s">
        <v>50</v>
      </c>
    </row>
    <row r="351" spans="1:3" x14ac:dyDescent="0.3">
      <c r="A351">
        <v>338</v>
      </c>
      <c r="B351" s="7" t="s">
        <v>340</v>
      </c>
      <c r="C351" t="s">
        <v>45</v>
      </c>
    </row>
    <row r="352" spans="1:3" x14ac:dyDescent="0.3">
      <c r="A352">
        <v>339</v>
      </c>
      <c r="B352" s="7" t="s">
        <v>240</v>
      </c>
      <c r="C352" t="s">
        <v>5</v>
      </c>
    </row>
    <row r="353" spans="1:3" x14ac:dyDescent="0.3">
      <c r="A353">
        <v>340</v>
      </c>
      <c r="B353" s="7" t="s">
        <v>322</v>
      </c>
      <c r="C353" t="s">
        <v>45</v>
      </c>
    </row>
    <row r="354" spans="1:3" x14ac:dyDescent="0.3">
      <c r="A354">
        <v>341</v>
      </c>
      <c r="B354" s="7" t="s">
        <v>285</v>
      </c>
      <c r="C354" t="s">
        <v>10</v>
      </c>
    </row>
    <row r="355" spans="1:3" x14ac:dyDescent="0.3">
      <c r="A355">
        <v>342</v>
      </c>
      <c r="B355" s="7" t="s">
        <v>724</v>
      </c>
      <c r="C355" t="s">
        <v>45</v>
      </c>
    </row>
    <row r="356" spans="1:3" x14ac:dyDescent="0.3">
      <c r="A356">
        <v>343</v>
      </c>
      <c r="B356" s="7" t="s">
        <v>242</v>
      </c>
      <c r="C356" t="s">
        <v>10</v>
      </c>
    </row>
    <row r="357" spans="1:3" x14ac:dyDescent="0.3">
      <c r="A357">
        <v>344</v>
      </c>
      <c r="B357" s="7" t="s">
        <v>550</v>
      </c>
      <c r="C357" t="s">
        <v>50</v>
      </c>
    </row>
    <row r="358" spans="1:3" x14ac:dyDescent="0.3">
      <c r="A358">
        <v>345</v>
      </c>
      <c r="B358" s="7" t="s">
        <v>586</v>
      </c>
      <c r="C358" t="s">
        <v>45</v>
      </c>
    </row>
    <row r="359" spans="1:3" x14ac:dyDescent="0.3">
      <c r="A359">
        <v>346</v>
      </c>
      <c r="B359" s="7" t="s">
        <v>571</v>
      </c>
      <c r="C359" t="s">
        <v>50</v>
      </c>
    </row>
    <row r="360" spans="1:3" x14ac:dyDescent="0.3">
      <c r="A360">
        <v>347</v>
      </c>
      <c r="B360" s="7" t="s">
        <v>590</v>
      </c>
      <c r="C360" t="s">
        <v>45</v>
      </c>
    </row>
    <row r="361" spans="1:3" x14ac:dyDescent="0.3">
      <c r="A361">
        <v>348</v>
      </c>
      <c r="B361" s="7" t="s">
        <v>601</v>
      </c>
      <c r="C361" t="s">
        <v>10</v>
      </c>
    </row>
    <row r="362" spans="1:3" x14ac:dyDescent="0.3">
      <c r="A362">
        <v>349</v>
      </c>
      <c r="B362" s="7" t="s">
        <v>129</v>
      </c>
      <c r="C362" t="s">
        <v>5</v>
      </c>
    </row>
    <row r="363" spans="1:3" x14ac:dyDescent="0.3">
      <c r="A363">
        <v>350</v>
      </c>
      <c r="B363" s="7" t="s">
        <v>287</v>
      </c>
      <c r="C363" t="s">
        <v>45</v>
      </c>
    </row>
    <row r="364" spans="1:3" x14ac:dyDescent="0.3">
      <c r="A364">
        <v>351</v>
      </c>
      <c r="B364" s="7" t="s">
        <v>356</v>
      </c>
      <c r="C364" t="s">
        <v>45</v>
      </c>
    </row>
    <row r="365" spans="1:3" x14ac:dyDescent="0.3">
      <c r="A365">
        <v>352</v>
      </c>
      <c r="B365" s="7" t="s">
        <v>564</v>
      </c>
      <c r="C365" t="s">
        <v>50</v>
      </c>
    </row>
    <row r="366" spans="1:3" x14ac:dyDescent="0.3">
      <c r="A366">
        <v>353</v>
      </c>
      <c r="B366" s="7" t="s">
        <v>258</v>
      </c>
      <c r="C366" t="s">
        <v>5</v>
      </c>
    </row>
    <row r="367" spans="1:3" x14ac:dyDescent="0.3">
      <c r="A367">
        <v>354</v>
      </c>
      <c r="B367" s="7" t="s">
        <v>321</v>
      </c>
      <c r="C367" t="s">
        <v>45</v>
      </c>
    </row>
    <row r="368" spans="1:3" x14ac:dyDescent="0.3">
      <c r="A368">
        <v>355</v>
      </c>
      <c r="B368" s="7" t="s">
        <v>292</v>
      </c>
      <c r="C368" t="s">
        <v>5</v>
      </c>
    </row>
    <row r="369" spans="1:3" x14ac:dyDescent="0.3">
      <c r="A369">
        <v>356</v>
      </c>
      <c r="B369" s="7" t="s">
        <v>243</v>
      </c>
      <c r="C369" t="s">
        <v>45</v>
      </c>
    </row>
    <row r="370" spans="1:3" x14ac:dyDescent="0.3">
      <c r="A370">
        <v>357</v>
      </c>
      <c r="B370" s="7" t="s">
        <v>283</v>
      </c>
      <c r="C370" t="s">
        <v>10</v>
      </c>
    </row>
    <row r="371" spans="1:3" x14ac:dyDescent="0.3">
      <c r="A371">
        <v>358</v>
      </c>
      <c r="B371" s="7" t="s">
        <v>247</v>
      </c>
      <c r="C371" t="s">
        <v>5</v>
      </c>
    </row>
    <row r="372" spans="1:3" x14ac:dyDescent="0.3">
      <c r="A372">
        <v>359</v>
      </c>
      <c r="B372" s="7" t="s">
        <v>233</v>
      </c>
      <c r="C372" t="s">
        <v>10</v>
      </c>
    </row>
    <row r="373" spans="1:3" x14ac:dyDescent="0.3">
      <c r="A373">
        <v>360</v>
      </c>
      <c r="B373" s="7" t="s">
        <v>310</v>
      </c>
      <c r="C373" t="s">
        <v>50</v>
      </c>
    </row>
    <row r="374" spans="1:3" x14ac:dyDescent="0.3">
      <c r="A374">
        <v>361</v>
      </c>
      <c r="B374" s="7" t="s">
        <v>274</v>
      </c>
      <c r="C374" t="s">
        <v>10</v>
      </c>
    </row>
    <row r="375" spans="1:3" x14ac:dyDescent="0.3">
      <c r="A375">
        <v>362</v>
      </c>
      <c r="B375" s="7" t="s">
        <v>347</v>
      </c>
      <c r="C375" t="s">
        <v>245</v>
      </c>
    </row>
    <row r="376" spans="1:3" x14ac:dyDescent="0.3">
      <c r="A376">
        <v>363</v>
      </c>
      <c r="B376" s="7" t="s">
        <v>224</v>
      </c>
      <c r="C376" t="s">
        <v>45</v>
      </c>
    </row>
    <row r="377" spans="1:3" x14ac:dyDescent="0.3">
      <c r="A377">
        <v>364</v>
      </c>
      <c r="B377" s="7" t="s">
        <v>330</v>
      </c>
      <c r="C377" t="s">
        <v>50</v>
      </c>
    </row>
    <row r="378" spans="1:3" x14ac:dyDescent="0.3">
      <c r="A378">
        <v>365</v>
      </c>
      <c r="B378" s="7" t="s">
        <v>351</v>
      </c>
      <c r="C378" t="s">
        <v>45</v>
      </c>
    </row>
    <row r="379" spans="1:3" x14ac:dyDescent="0.3">
      <c r="A379">
        <v>366</v>
      </c>
      <c r="B379" s="2" t="s">
        <v>262</v>
      </c>
      <c r="C379" t="s">
        <v>152</v>
      </c>
    </row>
    <row r="380" spans="1:3" x14ac:dyDescent="0.3">
      <c r="A380">
        <v>367</v>
      </c>
      <c r="B380" s="4" t="s">
        <v>644</v>
      </c>
      <c r="C380" t="s">
        <v>50</v>
      </c>
    </row>
    <row r="381" spans="1:3" x14ac:dyDescent="0.3">
      <c r="A381">
        <v>368</v>
      </c>
      <c r="B381" s="7" t="s">
        <v>534</v>
      </c>
      <c r="C381" t="s">
        <v>5</v>
      </c>
    </row>
    <row r="382" spans="1:3" x14ac:dyDescent="0.3">
      <c r="A382">
        <v>369</v>
      </c>
      <c r="B382" s="7" t="s">
        <v>304</v>
      </c>
      <c r="C382" t="s">
        <v>5</v>
      </c>
    </row>
    <row r="383" spans="1:3" x14ac:dyDescent="0.3">
      <c r="A383">
        <v>370</v>
      </c>
      <c r="B383" s="7" t="s">
        <v>162</v>
      </c>
      <c r="C383" t="s">
        <v>10</v>
      </c>
    </row>
    <row r="384" spans="1:3" x14ac:dyDescent="0.3">
      <c r="A384">
        <v>371</v>
      </c>
      <c r="B384" s="7" t="s">
        <v>583</v>
      </c>
      <c r="C384" t="s">
        <v>45</v>
      </c>
    </row>
    <row r="385" spans="1:3" x14ac:dyDescent="0.3">
      <c r="A385">
        <v>372</v>
      </c>
      <c r="B385" s="7" t="s">
        <v>366</v>
      </c>
      <c r="C385" t="s">
        <v>45</v>
      </c>
    </row>
    <row r="386" spans="1:3" x14ac:dyDescent="0.3">
      <c r="A386">
        <v>373</v>
      </c>
      <c r="B386" s="7" t="s">
        <v>300</v>
      </c>
      <c r="C386" t="s">
        <v>10</v>
      </c>
    </row>
    <row r="387" spans="1:3" x14ac:dyDescent="0.3">
      <c r="A387">
        <v>374</v>
      </c>
      <c r="B387" s="7" t="s">
        <v>306</v>
      </c>
      <c r="C387" t="s">
        <v>5</v>
      </c>
    </row>
    <row r="388" spans="1:3" x14ac:dyDescent="0.3">
      <c r="A388">
        <v>375</v>
      </c>
      <c r="B388" s="7" t="s">
        <v>570</v>
      </c>
      <c r="C388" t="s">
        <v>50</v>
      </c>
    </row>
    <row r="389" spans="1:3" x14ac:dyDescent="0.3">
      <c r="A389">
        <v>376</v>
      </c>
      <c r="B389" s="7" t="s">
        <v>328</v>
      </c>
      <c r="C389" t="s">
        <v>5</v>
      </c>
    </row>
    <row r="390" spans="1:3" x14ac:dyDescent="0.3">
      <c r="A390">
        <v>377</v>
      </c>
      <c r="B390" s="7" t="s">
        <v>254</v>
      </c>
      <c r="C390" t="s">
        <v>5</v>
      </c>
    </row>
    <row r="391" spans="1:3" x14ac:dyDescent="0.3">
      <c r="A391">
        <v>378</v>
      </c>
      <c r="B391" s="7" t="s">
        <v>296</v>
      </c>
      <c r="C391" t="s">
        <v>10</v>
      </c>
    </row>
    <row r="392" spans="1:3" x14ac:dyDescent="0.3">
      <c r="A392">
        <v>379</v>
      </c>
      <c r="B392" s="7" t="s">
        <v>572</v>
      </c>
      <c r="C392" t="s">
        <v>50</v>
      </c>
    </row>
    <row r="393" spans="1:3" x14ac:dyDescent="0.3">
      <c r="A393">
        <v>380</v>
      </c>
      <c r="B393" s="7" t="s">
        <v>289</v>
      </c>
      <c r="C393" t="s">
        <v>50</v>
      </c>
    </row>
    <row r="394" spans="1:3" x14ac:dyDescent="0.3">
      <c r="A394">
        <v>381</v>
      </c>
      <c r="B394" s="7" t="s">
        <v>645</v>
      </c>
      <c r="C394" t="s">
        <v>10</v>
      </c>
    </row>
    <row r="395" spans="1:3" x14ac:dyDescent="0.3">
      <c r="A395">
        <v>382</v>
      </c>
      <c r="B395" s="7" t="s">
        <v>288</v>
      </c>
      <c r="C395" t="s">
        <v>152</v>
      </c>
    </row>
    <row r="396" spans="1:3" x14ac:dyDescent="0.3">
      <c r="A396">
        <v>383</v>
      </c>
      <c r="B396" s="2" t="s">
        <v>344</v>
      </c>
      <c r="C396" t="s">
        <v>5</v>
      </c>
    </row>
    <row r="397" spans="1:3" x14ac:dyDescent="0.3">
      <c r="A397">
        <v>384</v>
      </c>
      <c r="B397" s="7" t="s">
        <v>725</v>
      </c>
      <c r="C397" t="s">
        <v>5</v>
      </c>
    </row>
    <row r="398" spans="1:3" x14ac:dyDescent="0.3">
      <c r="A398">
        <v>385</v>
      </c>
      <c r="B398" s="7" t="s">
        <v>591</v>
      </c>
      <c r="C398" t="s">
        <v>45</v>
      </c>
    </row>
    <row r="399" spans="1:3" x14ac:dyDescent="0.3">
      <c r="A399">
        <v>386</v>
      </c>
      <c r="B399" s="7" t="s">
        <v>342</v>
      </c>
      <c r="C399" t="s">
        <v>45</v>
      </c>
    </row>
    <row r="400" spans="1:3" x14ac:dyDescent="0.3">
      <c r="A400">
        <v>387</v>
      </c>
      <c r="B400" s="2" t="s">
        <v>646</v>
      </c>
      <c r="C400" t="s">
        <v>50</v>
      </c>
    </row>
    <row r="401" spans="1:3" x14ac:dyDescent="0.3">
      <c r="A401">
        <v>388</v>
      </c>
      <c r="B401" s="7" t="s">
        <v>336</v>
      </c>
      <c r="C401" t="s">
        <v>50</v>
      </c>
    </row>
    <row r="402" spans="1:3" x14ac:dyDescent="0.3">
      <c r="A402">
        <v>389</v>
      </c>
      <c r="B402" s="7" t="s">
        <v>533</v>
      </c>
      <c r="C402" t="s">
        <v>5</v>
      </c>
    </row>
    <row r="403" spans="1:3" x14ac:dyDescent="0.3">
      <c r="A403">
        <v>390</v>
      </c>
      <c r="B403" s="7" t="s">
        <v>647</v>
      </c>
      <c r="C403" t="s">
        <v>245</v>
      </c>
    </row>
    <row r="404" spans="1:3" x14ac:dyDescent="0.3">
      <c r="A404">
        <v>391</v>
      </c>
      <c r="B404" s="7" t="s">
        <v>335</v>
      </c>
      <c r="C404" t="s">
        <v>45</v>
      </c>
    </row>
    <row r="405" spans="1:3" x14ac:dyDescent="0.3">
      <c r="A405">
        <v>392</v>
      </c>
      <c r="B405" s="7" t="s">
        <v>228</v>
      </c>
      <c r="C405" t="s">
        <v>10</v>
      </c>
    </row>
    <row r="406" spans="1:3" x14ac:dyDescent="0.3">
      <c r="A406">
        <v>393</v>
      </c>
      <c r="B406" s="7" t="s">
        <v>333</v>
      </c>
      <c r="C406" t="s">
        <v>5</v>
      </c>
    </row>
    <row r="407" spans="1:3" x14ac:dyDescent="0.3">
      <c r="A407">
        <v>394</v>
      </c>
      <c r="B407" s="7" t="s">
        <v>592</v>
      </c>
      <c r="C407" t="s">
        <v>45</v>
      </c>
    </row>
    <row r="408" spans="1:3" x14ac:dyDescent="0.3">
      <c r="A408">
        <v>395</v>
      </c>
      <c r="B408" s="7" t="s">
        <v>575</v>
      </c>
      <c r="C408" t="s">
        <v>5</v>
      </c>
    </row>
    <row r="409" spans="1:3" x14ac:dyDescent="0.3">
      <c r="A409">
        <v>396</v>
      </c>
      <c r="B409" s="7" t="s">
        <v>535</v>
      </c>
      <c r="C409" t="s">
        <v>5</v>
      </c>
    </row>
    <row r="410" spans="1:3" x14ac:dyDescent="0.3">
      <c r="A410">
        <v>397</v>
      </c>
      <c r="B410" s="7" t="s">
        <v>726</v>
      </c>
      <c r="C410" t="s">
        <v>264</v>
      </c>
    </row>
    <row r="411" spans="1:3" x14ac:dyDescent="0.3">
      <c r="A411">
        <v>398</v>
      </c>
      <c r="B411" s="7" t="s">
        <v>602</v>
      </c>
      <c r="C411" t="s">
        <v>10</v>
      </c>
    </row>
    <row r="412" spans="1:3" x14ac:dyDescent="0.3">
      <c r="A412">
        <v>399</v>
      </c>
      <c r="B412" s="7" t="s">
        <v>318</v>
      </c>
      <c r="C412" t="s">
        <v>152</v>
      </c>
    </row>
    <row r="413" spans="1:3" x14ac:dyDescent="0.3">
      <c r="A413">
        <v>400</v>
      </c>
      <c r="B413" s="7" t="s">
        <v>307</v>
      </c>
      <c r="C413" t="s">
        <v>10</v>
      </c>
    </row>
    <row r="414" spans="1:3" x14ac:dyDescent="0.3">
      <c r="A414">
        <v>401</v>
      </c>
      <c r="B414" s="7" t="s">
        <v>297</v>
      </c>
      <c r="C414" t="s">
        <v>5</v>
      </c>
    </row>
    <row r="415" spans="1:3" x14ac:dyDescent="0.3">
      <c r="A415">
        <v>402</v>
      </c>
      <c r="B415" s="7" t="s">
        <v>566</v>
      </c>
      <c r="C415" t="s">
        <v>50</v>
      </c>
    </row>
    <row r="416" spans="1:3" x14ac:dyDescent="0.3">
      <c r="A416">
        <v>403</v>
      </c>
      <c r="B416" s="7" t="s">
        <v>536</v>
      </c>
      <c r="C416" t="s">
        <v>5</v>
      </c>
    </row>
    <row r="417" spans="1:3" x14ac:dyDescent="0.3">
      <c r="A417">
        <v>404</v>
      </c>
      <c r="B417" s="7" t="s">
        <v>421</v>
      </c>
      <c r="C417" t="s">
        <v>245</v>
      </c>
    </row>
    <row r="418" spans="1:3" x14ac:dyDescent="0.3">
      <c r="A418">
        <v>405</v>
      </c>
      <c r="B418" s="7" t="s">
        <v>338</v>
      </c>
      <c r="C418" t="s">
        <v>10</v>
      </c>
    </row>
    <row r="419" spans="1:3" x14ac:dyDescent="0.3">
      <c r="A419">
        <v>406</v>
      </c>
      <c r="B419" s="7" t="s">
        <v>319</v>
      </c>
      <c r="C419" t="s">
        <v>5</v>
      </c>
    </row>
    <row r="420" spans="1:3" x14ac:dyDescent="0.3">
      <c r="A420">
        <v>407</v>
      </c>
      <c r="B420" s="7" t="s">
        <v>320</v>
      </c>
      <c r="C420" t="s">
        <v>10</v>
      </c>
    </row>
    <row r="421" spans="1:3" x14ac:dyDescent="0.3">
      <c r="A421">
        <v>408</v>
      </c>
      <c r="B421" s="7" t="s">
        <v>334</v>
      </c>
      <c r="C421" t="s">
        <v>10</v>
      </c>
    </row>
    <row r="422" spans="1:3" x14ac:dyDescent="0.3">
      <c r="A422">
        <v>409</v>
      </c>
      <c r="B422" s="7" t="s">
        <v>554</v>
      </c>
      <c r="C422" t="s">
        <v>50</v>
      </c>
    </row>
    <row r="423" spans="1:3" x14ac:dyDescent="0.3">
      <c r="A423">
        <v>410</v>
      </c>
      <c r="B423" s="7" t="s">
        <v>382</v>
      </c>
      <c r="C423" t="s">
        <v>245</v>
      </c>
    </row>
    <row r="424" spans="1:3" x14ac:dyDescent="0.3">
      <c r="A424">
        <v>411</v>
      </c>
      <c r="B424" s="7" t="s">
        <v>301</v>
      </c>
      <c r="C424" t="s">
        <v>10</v>
      </c>
    </row>
    <row r="425" spans="1:3" x14ac:dyDescent="0.3">
      <c r="A425">
        <v>412</v>
      </c>
      <c r="B425" s="7" t="s">
        <v>281</v>
      </c>
      <c r="C425" t="s">
        <v>5</v>
      </c>
    </row>
    <row r="426" spans="1:3" x14ac:dyDescent="0.3">
      <c r="A426">
        <v>413</v>
      </c>
      <c r="B426" s="7" t="s">
        <v>452</v>
      </c>
      <c r="C426" t="s">
        <v>50</v>
      </c>
    </row>
    <row r="427" spans="1:3" x14ac:dyDescent="0.3">
      <c r="A427">
        <v>414</v>
      </c>
      <c r="B427" s="7" t="s">
        <v>343</v>
      </c>
      <c r="C427" t="s">
        <v>45</v>
      </c>
    </row>
    <row r="428" spans="1:3" x14ac:dyDescent="0.3">
      <c r="A428">
        <v>415</v>
      </c>
      <c r="B428" s="7" t="s">
        <v>385</v>
      </c>
      <c r="C428" t="s">
        <v>45</v>
      </c>
    </row>
    <row r="429" spans="1:3" x14ac:dyDescent="0.3">
      <c r="A429">
        <v>416</v>
      </c>
      <c r="B429" s="7" t="s">
        <v>341</v>
      </c>
      <c r="C429" t="s">
        <v>5</v>
      </c>
    </row>
    <row r="430" spans="1:3" x14ac:dyDescent="0.3">
      <c r="A430">
        <v>417</v>
      </c>
      <c r="B430" s="7" t="s">
        <v>589</v>
      </c>
      <c r="C430" t="s">
        <v>45</v>
      </c>
    </row>
    <row r="431" spans="1:3" x14ac:dyDescent="0.3">
      <c r="A431">
        <v>418</v>
      </c>
      <c r="B431" s="7" t="s">
        <v>522</v>
      </c>
      <c r="C431" t="s">
        <v>5</v>
      </c>
    </row>
    <row r="432" spans="1:3" x14ac:dyDescent="0.3">
      <c r="A432">
        <v>419</v>
      </c>
      <c r="B432" s="7" t="s">
        <v>361</v>
      </c>
      <c r="C432" t="s">
        <v>5</v>
      </c>
    </row>
    <row r="433" spans="1:3" x14ac:dyDescent="0.3">
      <c r="A433">
        <v>420</v>
      </c>
      <c r="B433" s="7" t="s">
        <v>345</v>
      </c>
      <c r="C433" t="s">
        <v>152</v>
      </c>
    </row>
    <row r="434" spans="1:3" x14ac:dyDescent="0.3">
      <c r="A434">
        <v>421</v>
      </c>
      <c r="B434" s="7" t="s">
        <v>313</v>
      </c>
      <c r="C434" t="s">
        <v>50</v>
      </c>
    </row>
    <row r="435" spans="1:3" x14ac:dyDescent="0.3">
      <c r="A435">
        <v>422</v>
      </c>
      <c r="B435" s="7" t="s">
        <v>432</v>
      </c>
      <c r="C435" t="s">
        <v>152</v>
      </c>
    </row>
    <row r="436" spans="1:3" x14ac:dyDescent="0.3">
      <c r="A436">
        <v>423</v>
      </c>
      <c r="B436" s="7" t="s">
        <v>339</v>
      </c>
      <c r="C436" t="s">
        <v>10</v>
      </c>
    </row>
    <row r="437" spans="1:3" x14ac:dyDescent="0.3">
      <c r="A437">
        <v>424</v>
      </c>
      <c r="B437" s="7" t="s">
        <v>400</v>
      </c>
      <c r="C437" t="s">
        <v>45</v>
      </c>
    </row>
    <row r="438" spans="1:3" x14ac:dyDescent="0.3">
      <c r="A438">
        <v>425</v>
      </c>
      <c r="B438" s="7" t="s">
        <v>563</v>
      </c>
      <c r="C438" t="s">
        <v>50</v>
      </c>
    </row>
    <row r="439" spans="1:3" x14ac:dyDescent="0.3">
      <c r="A439">
        <v>426</v>
      </c>
      <c r="B439" s="7" t="s">
        <v>369</v>
      </c>
      <c r="C439" t="s">
        <v>50</v>
      </c>
    </row>
    <row r="440" spans="1:3" x14ac:dyDescent="0.3">
      <c r="A440">
        <v>427</v>
      </c>
      <c r="B440" s="7" t="s">
        <v>428</v>
      </c>
      <c r="C440" t="s">
        <v>45</v>
      </c>
    </row>
    <row r="441" spans="1:3" x14ac:dyDescent="0.3">
      <c r="A441">
        <v>428</v>
      </c>
      <c r="B441" s="7" t="s">
        <v>560</v>
      </c>
      <c r="C441" t="s">
        <v>50</v>
      </c>
    </row>
    <row r="442" spans="1:3" x14ac:dyDescent="0.3">
      <c r="A442">
        <v>429</v>
      </c>
      <c r="B442" s="7" t="s">
        <v>308</v>
      </c>
      <c r="C442" t="s">
        <v>152</v>
      </c>
    </row>
    <row r="443" spans="1:3" x14ac:dyDescent="0.3">
      <c r="A443">
        <v>430</v>
      </c>
      <c r="B443" s="7" t="s">
        <v>299</v>
      </c>
      <c r="C443" t="s">
        <v>10</v>
      </c>
    </row>
    <row r="444" spans="1:3" x14ac:dyDescent="0.3">
      <c r="A444">
        <v>431</v>
      </c>
      <c r="B444" s="7" t="s">
        <v>323</v>
      </c>
      <c r="C444" t="s">
        <v>5</v>
      </c>
    </row>
    <row r="445" spans="1:3" x14ac:dyDescent="0.3">
      <c r="A445">
        <v>432</v>
      </c>
      <c r="B445" s="7" t="s">
        <v>373</v>
      </c>
      <c r="C445" t="s">
        <v>10</v>
      </c>
    </row>
    <row r="446" spans="1:3" x14ac:dyDescent="0.3">
      <c r="A446">
        <v>433</v>
      </c>
      <c r="B446" s="7" t="s">
        <v>649</v>
      </c>
      <c r="C446" t="s">
        <v>50</v>
      </c>
    </row>
    <row r="447" spans="1:3" x14ac:dyDescent="0.3">
      <c r="A447">
        <v>434</v>
      </c>
      <c r="B447" s="7" t="s">
        <v>365</v>
      </c>
      <c r="C447" t="s">
        <v>45</v>
      </c>
    </row>
    <row r="448" spans="1:3" x14ac:dyDescent="0.3">
      <c r="A448">
        <v>435</v>
      </c>
      <c r="B448" s="7" t="s">
        <v>294</v>
      </c>
      <c r="C448" t="s">
        <v>152</v>
      </c>
    </row>
    <row r="449" spans="1:3" x14ac:dyDescent="0.3">
      <c r="A449">
        <v>436</v>
      </c>
      <c r="B449" s="7" t="s">
        <v>557</v>
      </c>
      <c r="C449" t="s">
        <v>50</v>
      </c>
    </row>
    <row r="450" spans="1:3" x14ac:dyDescent="0.3">
      <c r="A450">
        <v>437</v>
      </c>
      <c r="B450" s="7" t="s">
        <v>327</v>
      </c>
      <c r="C450" t="s">
        <v>152</v>
      </c>
    </row>
    <row r="451" spans="1:3" x14ac:dyDescent="0.3">
      <c r="A451">
        <v>438</v>
      </c>
      <c r="B451" s="7" t="s">
        <v>317</v>
      </c>
      <c r="C451" t="s">
        <v>10</v>
      </c>
    </row>
    <row r="452" spans="1:3" x14ac:dyDescent="0.3">
      <c r="A452">
        <v>439</v>
      </c>
      <c r="B452" s="7" t="s">
        <v>362</v>
      </c>
      <c r="C452" t="s">
        <v>10</v>
      </c>
    </row>
    <row r="453" spans="1:3" x14ac:dyDescent="0.3">
      <c r="A453">
        <v>440</v>
      </c>
      <c r="B453" s="7" t="s">
        <v>603</v>
      </c>
      <c r="C453" t="s">
        <v>10</v>
      </c>
    </row>
    <row r="454" spans="1:3" x14ac:dyDescent="0.3">
      <c r="A454">
        <v>441</v>
      </c>
      <c r="B454" s="7" t="s">
        <v>363</v>
      </c>
      <c r="C454" t="s">
        <v>50</v>
      </c>
    </row>
    <row r="455" spans="1:3" x14ac:dyDescent="0.3">
      <c r="A455">
        <v>442</v>
      </c>
      <c r="B455" s="7" t="s">
        <v>411</v>
      </c>
      <c r="C455" t="s">
        <v>45</v>
      </c>
    </row>
    <row r="456" spans="1:3" x14ac:dyDescent="0.3">
      <c r="A456">
        <v>443</v>
      </c>
      <c r="B456" s="7" t="s">
        <v>349</v>
      </c>
      <c r="C456" t="s">
        <v>50</v>
      </c>
    </row>
    <row r="457" spans="1:3" x14ac:dyDescent="0.3">
      <c r="A457">
        <v>444</v>
      </c>
      <c r="B457" s="7" t="s">
        <v>329</v>
      </c>
      <c r="C457" t="s">
        <v>50</v>
      </c>
    </row>
    <row r="458" spans="1:3" x14ac:dyDescent="0.3">
      <c r="A458">
        <v>445</v>
      </c>
      <c r="B458" s="7" t="s">
        <v>359</v>
      </c>
      <c r="C458" t="s">
        <v>5</v>
      </c>
    </row>
    <row r="459" spans="1:3" x14ac:dyDescent="0.3">
      <c r="A459">
        <v>446</v>
      </c>
      <c r="B459" s="7" t="s">
        <v>350</v>
      </c>
      <c r="C459" t="s">
        <v>10</v>
      </c>
    </row>
    <row r="460" spans="1:3" x14ac:dyDescent="0.3">
      <c r="A460">
        <v>447</v>
      </c>
      <c r="B460" s="7" t="s">
        <v>395</v>
      </c>
      <c r="C460" t="s">
        <v>50</v>
      </c>
    </row>
    <row r="461" spans="1:3" x14ac:dyDescent="0.3">
      <c r="A461">
        <v>448</v>
      </c>
      <c r="B461" s="7" t="s">
        <v>443</v>
      </c>
      <c r="C461" t="s">
        <v>152</v>
      </c>
    </row>
    <row r="462" spans="1:3" x14ac:dyDescent="0.3">
      <c r="A462">
        <v>449</v>
      </c>
      <c r="B462" s="7" t="s">
        <v>360</v>
      </c>
      <c r="C462" t="s">
        <v>152</v>
      </c>
    </row>
    <row r="463" spans="1:3" x14ac:dyDescent="0.3">
      <c r="A463">
        <v>450</v>
      </c>
      <c r="B463" s="7" t="s">
        <v>315</v>
      </c>
      <c r="C463" t="s">
        <v>10</v>
      </c>
    </row>
    <row r="464" spans="1:3" x14ac:dyDescent="0.3">
      <c r="A464">
        <v>451</v>
      </c>
      <c r="B464" s="7" t="s">
        <v>417</v>
      </c>
      <c r="C464" t="s">
        <v>10</v>
      </c>
    </row>
    <row r="465" spans="1:3" x14ac:dyDescent="0.3">
      <c r="A465">
        <v>452</v>
      </c>
      <c r="B465" s="7" t="s">
        <v>426</v>
      </c>
      <c r="C465" t="s">
        <v>50</v>
      </c>
    </row>
    <row r="466" spans="1:3" x14ac:dyDescent="0.3">
      <c r="A466">
        <v>453</v>
      </c>
      <c r="B466" s="7" t="s">
        <v>556</v>
      </c>
      <c r="C466" t="s">
        <v>50</v>
      </c>
    </row>
    <row r="467" spans="1:3" x14ac:dyDescent="0.3">
      <c r="A467">
        <v>454</v>
      </c>
      <c r="B467" s="7" t="s">
        <v>346</v>
      </c>
      <c r="C467" t="s">
        <v>152</v>
      </c>
    </row>
    <row r="468" spans="1:3" x14ac:dyDescent="0.3">
      <c r="A468">
        <v>455</v>
      </c>
      <c r="B468" s="7" t="s">
        <v>331</v>
      </c>
      <c r="C468" t="s">
        <v>152</v>
      </c>
    </row>
    <row r="469" spans="1:3" x14ac:dyDescent="0.3">
      <c r="A469">
        <v>456</v>
      </c>
      <c r="B469" s="7" t="s">
        <v>650</v>
      </c>
      <c r="C469" t="s">
        <v>50</v>
      </c>
    </row>
    <row r="470" spans="1:3" x14ac:dyDescent="0.3">
      <c r="A470">
        <v>457</v>
      </c>
      <c r="B470" s="7" t="s">
        <v>353</v>
      </c>
      <c r="C470" t="s">
        <v>45</v>
      </c>
    </row>
    <row r="471" spans="1:3" x14ac:dyDescent="0.3">
      <c r="A471">
        <v>458</v>
      </c>
      <c r="B471" s="7" t="s">
        <v>379</v>
      </c>
      <c r="C471" t="s">
        <v>10</v>
      </c>
    </row>
    <row r="472" spans="1:3" x14ac:dyDescent="0.3">
      <c r="A472">
        <v>459</v>
      </c>
      <c r="B472" s="7" t="s">
        <v>410</v>
      </c>
      <c r="C472" t="s">
        <v>45</v>
      </c>
    </row>
    <row r="473" spans="1:3" x14ac:dyDescent="0.3">
      <c r="A473">
        <v>460</v>
      </c>
      <c r="B473" s="7" t="s">
        <v>648</v>
      </c>
      <c r="C473" t="s">
        <v>10</v>
      </c>
    </row>
    <row r="474" spans="1:3" x14ac:dyDescent="0.3">
      <c r="A474">
        <v>461</v>
      </c>
      <c r="B474" s="7" t="s">
        <v>422</v>
      </c>
      <c r="C474" t="s">
        <v>45</v>
      </c>
    </row>
    <row r="475" spans="1:3" x14ac:dyDescent="0.3">
      <c r="A475">
        <v>462</v>
      </c>
      <c r="B475" s="7" t="s">
        <v>291</v>
      </c>
      <c r="C475" t="s">
        <v>5</v>
      </c>
    </row>
    <row r="476" spans="1:3" x14ac:dyDescent="0.3">
      <c r="A476">
        <v>463</v>
      </c>
      <c r="B476" s="7" t="s">
        <v>368</v>
      </c>
      <c r="C476" t="s">
        <v>5</v>
      </c>
    </row>
    <row r="477" spans="1:3" x14ac:dyDescent="0.3">
      <c r="A477">
        <v>464</v>
      </c>
      <c r="B477" s="7" t="s">
        <v>215</v>
      </c>
      <c r="C477" t="s">
        <v>10</v>
      </c>
    </row>
    <row r="478" spans="1:3" x14ac:dyDescent="0.3">
      <c r="A478">
        <v>465</v>
      </c>
      <c r="B478" s="7" t="s">
        <v>416</v>
      </c>
      <c r="C478" t="s">
        <v>50</v>
      </c>
    </row>
    <row r="479" spans="1:3" x14ac:dyDescent="0.3">
      <c r="A479">
        <v>466</v>
      </c>
      <c r="B479" s="7" t="s">
        <v>354</v>
      </c>
      <c r="C479" t="s">
        <v>45</v>
      </c>
    </row>
    <row r="480" spans="1:3" x14ac:dyDescent="0.3">
      <c r="A480">
        <v>467</v>
      </c>
      <c r="B480" s="7" t="s">
        <v>372</v>
      </c>
      <c r="C480" t="s">
        <v>10</v>
      </c>
    </row>
    <row r="481" spans="1:3" x14ac:dyDescent="0.3">
      <c r="A481">
        <v>468</v>
      </c>
      <c r="B481" s="7" t="s">
        <v>390</v>
      </c>
      <c r="C481" t="s">
        <v>152</v>
      </c>
    </row>
    <row r="482" spans="1:3" x14ac:dyDescent="0.3">
      <c r="A482">
        <v>469</v>
      </c>
      <c r="B482" s="7" t="s">
        <v>431</v>
      </c>
      <c r="C482" t="s">
        <v>10</v>
      </c>
    </row>
    <row r="483" spans="1:3" x14ac:dyDescent="0.3">
      <c r="A483">
        <v>470</v>
      </c>
      <c r="B483" s="7" t="s">
        <v>393</v>
      </c>
      <c r="C483" t="s">
        <v>50</v>
      </c>
    </row>
    <row r="484" spans="1:3" x14ac:dyDescent="0.3">
      <c r="A484">
        <v>471</v>
      </c>
      <c r="B484" s="7" t="s">
        <v>562</v>
      </c>
      <c r="C484" t="s">
        <v>50</v>
      </c>
    </row>
    <row r="485" spans="1:3" x14ac:dyDescent="0.3">
      <c r="A485">
        <v>472</v>
      </c>
      <c r="B485" s="7" t="s">
        <v>413</v>
      </c>
      <c r="C485" t="s">
        <v>245</v>
      </c>
    </row>
    <row r="486" spans="1:3" x14ac:dyDescent="0.3">
      <c r="A486">
        <v>473</v>
      </c>
      <c r="B486" s="7" t="s">
        <v>559</v>
      </c>
      <c r="C486" t="s">
        <v>50</v>
      </c>
    </row>
    <row r="487" spans="1:3" x14ac:dyDescent="0.3">
      <c r="A487">
        <v>474</v>
      </c>
      <c r="B487" s="7" t="s">
        <v>481</v>
      </c>
      <c r="C487" t="s">
        <v>10</v>
      </c>
    </row>
    <row r="488" spans="1:3" x14ac:dyDescent="0.3">
      <c r="A488">
        <v>475</v>
      </c>
      <c r="B488" s="7" t="s">
        <v>257</v>
      </c>
      <c r="C488" t="s">
        <v>152</v>
      </c>
    </row>
    <row r="489" spans="1:3" x14ac:dyDescent="0.3">
      <c r="A489">
        <v>476</v>
      </c>
      <c r="B489" s="7" t="s">
        <v>660</v>
      </c>
      <c r="C489" t="s">
        <v>50</v>
      </c>
    </row>
    <row r="490" spans="1:3" x14ac:dyDescent="0.3">
      <c r="A490">
        <v>477</v>
      </c>
      <c r="B490" s="7" t="s">
        <v>370</v>
      </c>
      <c r="C490" t="s">
        <v>152</v>
      </c>
    </row>
    <row r="491" spans="1:3" x14ac:dyDescent="0.3">
      <c r="A491">
        <v>478</v>
      </c>
      <c r="B491" s="7" t="s">
        <v>377</v>
      </c>
      <c r="C491" t="s">
        <v>5</v>
      </c>
    </row>
    <row r="492" spans="1:3" x14ac:dyDescent="0.3">
      <c r="A492">
        <v>479</v>
      </c>
      <c r="B492" s="7" t="s">
        <v>558</v>
      </c>
      <c r="C492" t="s">
        <v>50</v>
      </c>
    </row>
    <row r="493" spans="1:3" x14ac:dyDescent="0.3">
      <c r="A493">
        <v>480</v>
      </c>
      <c r="B493" s="7" t="s">
        <v>425</v>
      </c>
      <c r="C493" t="s">
        <v>50</v>
      </c>
    </row>
    <row r="494" spans="1:3" x14ac:dyDescent="0.3">
      <c r="A494">
        <v>481</v>
      </c>
      <c r="B494" s="2" t="s">
        <v>653</v>
      </c>
      <c r="C494" t="s">
        <v>245</v>
      </c>
    </row>
    <row r="495" spans="1:3" x14ac:dyDescent="0.3">
      <c r="A495">
        <v>482</v>
      </c>
      <c r="B495" s="7" t="s">
        <v>593</v>
      </c>
      <c r="C495" t="s">
        <v>45</v>
      </c>
    </row>
    <row r="496" spans="1:3" x14ac:dyDescent="0.3">
      <c r="A496">
        <v>483</v>
      </c>
      <c r="B496" s="7" t="s">
        <v>280</v>
      </c>
      <c r="C496" t="s">
        <v>10</v>
      </c>
    </row>
    <row r="497" spans="1:3" x14ac:dyDescent="0.3">
      <c r="A497">
        <v>484</v>
      </c>
      <c r="B497" s="7" t="s">
        <v>383</v>
      </c>
      <c r="C497" t="s">
        <v>5</v>
      </c>
    </row>
    <row r="498" spans="1:3" x14ac:dyDescent="0.3">
      <c r="A498">
        <v>485</v>
      </c>
      <c r="B498" s="2" t="s">
        <v>727</v>
      </c>
      <c r="C498" t="s">
        <v>245</v>
      </c>
    </row>
    <row r="499" spans="1:3" x14ac:dyDescent="0.3">
      <c r="A499">
        <v>486</v>
      </c>
      <c r="B499" s="7" t="s">
        <v>435</v>
      </c>
      <c r="C499" t="s">
        <v>45</v>
      </c>
    </row>
    <row r="500" spans="1:3" x14ac:dyDescent="0.3">
      <c r="A500">
        <v>487</v>
      </c>
      <c r="B500" s="7" t="s">
        <v>455</v>
      </c>
      <c r="C500" t="s">
        <v>245</v>
      </c>
    </row>
    <row r="501" spans="1:3" x14ac:dyDescent="0.3">
      <c r="A501">
        <v>488</v>
      </c>
      <c r="B501" s="7" t="s">
        <v>595</v>
      </c>
      <c r="C501" t="s">
        <v>45</v>
      </c>
    </row>
    <row r="502" spans="1:3" x14ac:dyDescent="0.3">
      <c r="A502">
        <v>489</v>
      </c>
      <c r="B502" s="7" t="s">
        <v>666</v>
      </c>
      <c r="C502" t="s">
        <v>45</v>
      </c>
    </row>
    <row r="503" spans="1:3" x14ac:dyDescent="0.3">
      <c r="A503">
        <v>490</v>
      </c>
      <c r="B503" s="7" t="s">
        <v>441</v>
      </c>
      <c r="C503" t="s">
        <v>152</v>
      </c>
    </row>
    <row r="504" spans="1:3" x14ac:dyDescent="0.3">
      <c r="A504">
        <v>491</v>
      </c>
      <c r="B504" s="7" t="s">
        <v>461</v>
      </c>
      <c r="C504" t="s">
        <v>10</v>
      </c>
    </row>
    <row r="505" spans="1:3" x14ac:dyDescent="0.3">
      <c r="A505">
        <v>492</v>
      </c>
      <c r="B505" s="7" t="s">
        <v>652</v>
      </c>
      <c r="C505" t="s">
        <v>264</v>
      </c>
    </row>
    <row r="506" spans="1:3" x14ac:dyDescent="0.3">
      <c r="A506">
        <v>493</v>
      </c>
      <c r="B506" s="7" t="s">
        <v>486</v>
      </c>
      <c r="C506" t="s">
        <v>50</v>
      </c>
    </row>
    <row r="507" spans="1:3" x14ac:dyDescent="0.3">
      <c r="A507">
        <v>494</v>
      </c>
      <c r="B507" s="7" t="s">
        <v>337</v>
      </c>
      <c r="C507" t="s">
        <v>5</v>
      </c>
    </row>
    <row r="508" spans="1:3" x14ac:dyDescent="0.3">
      <c r="A508">
        <v>495</v>
      </c>
      <c r="B508" s="7" t="s">
        <v>578</v>
      </c>
      <c r="C508" t="s">
        <v>5</v>
      </c>
    </row>
    <row r="509" spans="1:3" x14ac:dyDescent="0.3">
      <c r="A509">
        <v>496</v>
      </c>
      <c r="B509" s="7" t="s">
        <v>399</v>
      </c>
      <c r="C509" t="s">
        <v>10</v>
      </c>
    </row>
    <row r="510" spans="1:3" x14ac:dyDescent="0.3">
      <c r="A510">
        <v>497</v>
      </c>
      <c r="B510" s="7" t="s">
        <v>561</v>
      </c>
      <c r="C510" t="s">
        <v>50</v>
      </c>
    </row>
    <row r="511" spans="1:3" x14ac:dyDescent="0.3">
      <c r="A511">
        <v>498</v>
      </c>
      <c r="B511" s="7" t="s">
        <v>397</v>
      </c>
      <c r="C511" t="s">
        <v>152</v>
      </c>
    </row>
    <row r="512" spans="1:3" x14ac:dyDescent="0.3">
      <c r="A512">
        <v>499</v>
      </c>
      <c r="B512" s="7" t="s">
        <v>348</v>
      </c>
      <c r="C512" t="s">
        <v>10</v>
      </c>
    </row>
    <row r="513" spans="1:3" x14ac:dyDescent="0.3">
      <c r="A513">
        <v>500</v>
      </c>
      <c r="B513" s="2" t="s">
        <v>670</v>
      </c>
      <c r="C513" t="s">
        <v>50</v>
      </c>
    </row>
    <row r="514" spans="1:3" x14ac:dyDescent="0.3">
      <c r="A514">
        <v>501</v>
      </c>
      <c r="B514" s="7" t="s">
        <v>384</v>
      </c>
      <c r="C514" t="s">
        <v>152</v>
      </c>
    </row>
    <row r="515" spans="1:3" x14ac:dyDescent="0.3">
      <c r="A515">
        <v>502</v>
      </c>
      <c r="B515" s="7" t="s">
        <v>412</v>
      </c>
      <c r="C515" t="s">
        <v>50</v>
      </c>
    </row>
    <row r="516" spans="1:3" x14ac:dyDescent="0.3">
      <c r="A516">
        <v>503</v>
      </c>
      <c r="B516" s="7" t="s">
        <v>429</v>
      </c>
      <c r="C516" t="s">
        <v>10</v>
      </c>
    </row>
    <row r="517" spans="1:3" x14ac:dyDescent="0.3">
      <c r="A517">
        <v>504</v>
      </c>
      <c r="B517" s="7" t="s">
        <v>398</v>
      </c>
      <c r="C517" t="s">
        <v>10</v>
      </c>
    </row>
    <row r="518" spans="1:3" x14ac:dyDescent="0.3">
      <c r="A518">
        <v>505</v>
      </c>
      <c r="B518" s="7" t="s">
        <v>665</v>
      </c>
      <c r="C518" t="s">
        <v>45</v>
      </c>
    </row>
    <row r="519" spans="1:3" x14ac:dyDescent="0.3">
      <c r="A519">
        <v>506</v>
      </c>
      <c r="B519" s="7" t="s">
        <v>668</v>
      </c>
      <c r="C519" t="s">
        <v>152</v>
      </c>
    </row>
    <row r="520" spans="1:3" x14ac:dyDescent="0.3">
      <c r="A520">
        <v>507</v>
      </c>
      <c r="B520" s="7" t="s">
        <v>449</v>
      </c>
      <c r="C520" t="s">
        <v>50</v>
      </c>
    </row>
    <row r="521" spans="1:3" x14ac:dyDescent="0.3">
      <c r="A521">
        <v>508</v>
      </c>
      <c r="B521" s="7" t="s">
        <v>465</v>
      </c>
      <c r="C521" t="s">
        <v>245</v>
      </c>
    </row>
    <row r="522" spans="1:3" x14ac:dyDescent="0.3">
      <c r="A522">
        <v>509</v>
      </c>
      <c r="B522" s="7" t="s">
        <v>357</v>
      </c>
      <c r="C522" t="s">
        <v>5</v>
      </c>
    </row>
    <row r="523" spans="1:3" x14ac:dyDescent="0.3">
      <c r="A523">
        <v>510</v>
      </c>
      <c r="B523" s="7" t="s">
        <v>463</v>
      </c>
      <c r="C523" t="s">
        <v>45</v>
      </c>
    </row>
    <row r="524" spans="1:3" x14ac:dyDescent="0.3">
      <c r="A524">
        <v>511</v>
      </c>
      <c r="B524" s="7" t="s">
        <v>654</v>
      </c>
      <c r="C524" t="s">
        <v>152</v>
      </c>
    </row>
    <row r="525" spans="1:3" x14ac:dyDescent="0.3">
      <c r="A525">
        <v>512</v>
      </c>
      <c r="B525" s="7" t="s">
        <v>691</v>
      </c>
      <c r="C525" t="s">
        <v>45</v>
      </c>
    </row>
    <row r="526" spans="1:3" x14ac:dyDescent="0.3">
      <c r="A526">
        <v>513</v>
      </c>
      <c r="B526" s="7" t="s">
        <v>472</v>
      </c>
      <c r="C526" t="s">
        <v>50</v>
      </c>
    </row>
    <row r="527" spans="1:3" x14ac:dyDescent="0.3">
      <c r="A527">
        <v>514</v>
      </c>
      <c r="B527" s="7" t="s">
        <v>482</v>
      </c>
      <c r="C527" t="s">
        <v>45</v>
      </c>
    </row>
    <row r="528" spans="1:3" x14ac:dyDescent="0.3">
      <c r="A528">
        <v>515</v>
      </c>
      <c r="B528" s="7" t="s">
        <v>332</v>
      </c>
      <c r="C528" t="s">
        <v>10</v>
      </c>
    </row>
    <row r="529" spans="1:3" x14ac:dyDescent="0.3">
      <c r="A529">
        <v>516</v>
      </c>
      <c r="B529" s="7" t="s">
        <v>604</v>
      </c>
      <c r="C529" t="s">
        <v>10</v>
      </c>
    </row>
    <row r="530" spans="1:3" x14ac:dyDescent="0.3">
      <c r="A530">
        <v>517</v>
      </c>
      <c r="B530" s="7" t="s">
        <v>364</v>
      </c>
      <c r="C530" t="s">
        <v>10</v>
      </c>
    </row>
    <row r="531" spans="1:3" x14ac:dyDescent="0.3">
      <c r="A531">
        <v>518</v>
      </c>
      <c r="B531" s="7" t="s">
        <v>430</v>
      </c>
      <c r="C531" t="s">
        <v>45</v>
      </c>
    </row>
    <row r="532" spans="1:3" x14ac:dyDescent="0.3">
      <c r="A532">
        <v>519</v>
      </c>
      <c r="B532" s="7" t="s">
        <v>388</v>
      </c>
      <c r="C532" t="s">
        <v>5</v>
      </c>
    </row>
    <row r="533" spans="1:3" x14ac:dyDescent="0.3">
      <c r="A533">
        <v>520</v>
      </c>
      <c r="B533" s="7" t="s">
        <v>401</v>
      </c>
      <c r="C533" t="s">
        <v>50</v>
      </c>
    </row>
    <row r="534" spans="1:3" x14ac:dyDescent="0.3">
      <c r="A534">
        <v>521</v>
      </c>
      <c r="B534" s="7" t="s">
        <v>688</v>
      </c>
      <c r="C534" t="s">
        <v>264</v>
      </c>
    </row>
    <row r="535" spans="1:3" x14ac:dyDescent="0.3">
      <c r="A535">
        <v>522</v>
      </c>
      <c r="B535" s="7" t="s">
        <v>671</v>
      </c>
      <c r="C535" t="s">
        <v>245</v>
      </c>
    </row>
    <row r="536" spans="1:3" x14ac:dyDescent="0.3">
      <c r="A536">
        <v>523</v>
      </c>
      <c r="B536" s="7" t="s">
        <v>457</v>
      </c>
      <c r="C536" t="s">
        <v>50</v>
      </c>
    </row>
    <row r="537" spans="1:3" x14ac:dyDescent="0.3">
      <c r="A537">
        <v>524</v>
      </c>
      <c r="B537" s="7" t="s">
        <v>480</v>
      </c>
      <c r="C537" t="s">
        <v>45</v>
      </c>
    </row>
    <row r="538" spans="1:3" x14ac:dyDescent="0.3">
      <c r="A538">
        <v>525</v>
      </c>
      <c r="B538" s="7" t="s">
        <v>442</v>
      </c>
      <c r="C538" t="s">
        <v>45</v>
      </c>
    </row>
    <row r="539" spans="1:3" x14ac:dyDescent="0.3">
      <c r="A539">
        <v>526</v>
      </c>
      <c r="B539" s="7" t="s">
        <v>381</v>
      </c>
      <c r="C539" t="s">
        <v>152</v>
      </c>
    </row>
    <row r="540" spans="1:3" x14ac:dyDescent="0.3">
      <c r="A540">
        <v>527</v>
      </c>
      <c r="B540" s="7" t="s">
        <v>577</v>
      </c>
      <c r="C540" t="s">
        <v>5</v>
      </c>
    </row>
    <row r="541" spans="1:3" x14ac:dyDescent="0.3">
      <c r="A541">
        <v>528</v>
      </c>
      <c r="B541" s="7" t="s">
        <v>682</v>
      </c>
      <c r="C541" t="s">
        <v>245</v>
      </c>
    </row>
    <row r="542" spans="1:3" x14ac:dyDescent="0.3">
      <c r="A542">
        <v>529</v>
      </c>
      <c r="B542" s="7" t="s">
        <v>418</v>
      </c>
      <c r="C542" t="s">
        <v>50</v>
      </c>
    </row>
    <row r="543" spans="1:3" x14ac:dyDescent="0.3">
      <c r="A543">
        <v>530</v>
      </c>
      <c r="B543" s="7" t="s">
        <v>674</v>
      </c>
      <c r="C543" t="s">
        <v>50</v>
      </c>
    </row>
    <row r="544" spans="1:3" x14ac:dyDescent="0.3">
      <c r="A544">
        <v>531</v>
      </c>
      <c r="B544" s="7" t="s">
        <v>663</v>
      </c>
      <c r="C544" t="s">
        <v>264</v>
      </c>
    </row>
    <row r="545" spans="1:3" x14ac:dyDescent="0.3">
      <c r="A545">
        <v>532</v>
      </c>
      <c r="B545" s="7" t="s">
        <v>376</v>
      </c>
      <c r="C545" t="s">
        <v>45</v>
      </c>
    </row>
    <row r="546" spans="1:3" x14ac:dyDescent="0.3">
      <c r="A546">
        <v>533</v>
      </c>
      <c r="B546" s="7" t="s">
        <v>675</v>
      </c>
      <c r="C546" t="s">
        <v>245</v>
      </c>
    </row>
    <row r="547" spans="1:3" x14ac:dyDescent="0.3">
      <c r="A547">
        <v>534</v>
      </c>
      <c r="B547" s="7" t="s">
        <v>669</v>
      </c>
      <c r="C547" t="s">
        <v>245</v>
      </c>
    </row>
    <row r="548" spans="1:3" x14ac:dyDescent="0.3">
      <c r="A548">
        <v>535</v>
      </c>
      <c r="B548" s="7" t="s">
        <v>667</v>
      </c>
      <c r="C548" t="s">
        <v>152</v>
      </c>
    </row>
    <row r="549" spans="1:3" x14ac:dyDescent="0.3">
      <c r="A549">
        <v>536</v>
      </c>
      <c r="B549" s="7" t="s">
        <v>661</v>
      </c>
      <c r="C549" t="s">
        <v>662</v>
      </c>
    </row>
    <row r="550" spans="1:3" x14ac:dyDescent="0.3">
      <c r="A550">
        <v>537</v>
      </c>
      <c r="B550" s="7" t="s">
        <v>474</v>
      </c>
      <c r="C550" t="s">
        <v>45</v>
      </c>
    </row>
    <row r="551" spans="1:3" x14ac:dyDescent="0.3">
      <c r="A551">
        <v>538</v>
      </c>
      <c r="B551" s="7" t="s">
        <v>380</v>
      </c>
      <c r="C551" t="s">
        <v>152</v>
      </c>
    </row>
    <row r="552" spans="1:3" x14ac:dyDescent="0.3">
      <c r="A552">
        <v>539</v>
      </c>
      <c r="B552" s="7" t="s">
        <v>444</v>
      </c>
      <c r="C552" t="s">
        <v>5</v>
      </c>
    </row>
    <row r="553" spans="1:3" x14ac:dyDescent="0.3">
      <c r="A553">
        <v>540</v>
      </c>
      <c r="B553" s="7" t="s">
        <v>479</v>
      </c>
      <c r="C553" t="s">
        <v>152</v>
      </c>
    </row>
    <row r="554" spans="1:3" x14ac:dyDescent="0.3">
      <c r="A554">
        <v>541</v>
      </c>
      <c r="B554" s="7" t="s">
        <v>358</v>
      </c>
      <c r="C554" t="s">
        <v>45</v>
      </c>
    </row>
    <row r="555" spans="1:3" x14ac:dyDescent="0.3">
      <c r="A555">
        <v>542</v>
      </c>
      <c r="B555" s="7" t="s">
        <v>676</v>
      </c>
      <c r="C555" t="s">
        <v>10</v>
      </c>
    </row>
    <row r="556" spans="1:3" x14ac:dyDescent="0.3">
      <c r="A556">
        <v>543</v>
      </c>
      <c r="B556" s="7" t="s">
        <v>470</v>
      </c>
      <c r="C556" t="s">
        <v>50</v>
      </c>
    </row>
    <row r="557" spans="1:3" x14ac:dyDescent="0.3">
      <c r="A557">
        <v>544</v>
      </c>
      <c r="B557" s="7" t="s">
        <v>576</v>
      </c>
      <c r="C557" t="s">
        <v>5</v>
      </c>
    </row>
    <row r="558" spans="1:3" x14ac:dyDescent="0.3">
      <c r="A558">
        <v>545</v>
      </c>
      <c r="B558" s="7" t="s">
        <v>367</v>
      </c>
      <c r="C558" t="s">
        <v>5</v>
      </c>
    </row>
    <row r="559" spans="1:3" x14ac:dyDescent="0.3">
      <c r="A559">
        <v>546</v>
      </c>
      <c r="B559" s="2" t="s">
        <v>728</v>
      </c>
      <c r="C559" t="s">
        <v>50</v>
      </c>
    </row>
    <row r="560" spans="1:3" x14ac:dyDescent="0.3">
      <c r="A560">
        <v>547</v>
      </c>
      <c r="B560" s="7" t="s">
        <v>460</v>
      </c>
      <c r="C560" t="s">
        <v>152</v>
      </c>
    </row>
    <row r="561" spans="1:3" x14ac:dyDescent="0.3">
      <c r="A561">
        <v>548</v>
      </c>
      <c r="B561" s="7" t="s">
        <v>596</v>
      </c>
      <c r="C561" t="s">
        <v>45</v>
      </c>
    </row>
    <row r="562" spans="1:3" x14ac:dyDescent="0.3">
      <c r="A562">
        <v>549</v>
      </c>
      <c r="B562" s="7" t="s">
        <v>567</v>
      </c>
      <c r="C562" t="s">
        <v>50</v>
      </c>
    </row>
    <row r="563" spans="1:3" x14ac:dyDescent="0.3">
      <c r="A563">
        <v>550</v>
      </c>
      <c r="B563" s="7" t="s">
        <v>729</v>
      </c>
      <c r="C563" t="s">
        <v>50</v>
      </c>
    </row>
    <row r="564" spans="1:3" x14ac:dyDescent="0.3">
      <c r="A564">
        <v>551</v>
      </c>
      <c r="B564" s="7" t="s">
        <v>405</v>
      </c>
      <c r="C564" t="s">
        <v>10</v>
      </c>
    </row>
    <row r="565" spans="1:3" x14ac:dyDescent="0.3">
      <c r="A565">
        <v>552</v>
      </c>
      <c r="B565" s="7" t="s">
        <v>392</v>
      </c>
      <c r="C565" t="s">
        <v>50</v>
      </c>
    </row>
    <row r="566" spans="1:3" x14ac:dyDescent="0.3">
      <c r="A566">
        <v>553</v>
      </c>
      <c r="B566" s="7" t="s">
        <v>402</v>
      </c>
      <c r="C566" t="s">
        <v>10</v>
      </c>
    </row>
    <row r="567" spans="1:3" x14ac:dyDescent="0.3">
      <c r="A567">
        <v>554</v>
      </c>
      <c r="B567" s="7" t="s">
        <v>730</v>
      </c>
      <c r="C567" t="s">
        <v>50</v>
      </c>
    </row>
    <row r="568" spans="1:3" x14ac:dyDescent="0.3">
      <c r="A568">
        <v>555</v>
      </c>
      <c r="B568" s="7" t="s">
        <v>689</v>
      </c>
      <c r="C568" t="s">
        <v>264</v>
      </c>
    </row>
    <row r="569" spans="1:3" x14ac:dyDescent="0.3">
      <c r="A569">
        <v>556</v>
      </c>
      <c r="B569" s="7" t="s">
        <v>737</v>
      </c>
      <c r="C569" t="s">
        <v>45</v>
      </c>
    </row>
    <row r="570" spans="1:3" x14ac:dyDescent="0.3">
      <c r="A570">
        <v>557</v>
      </c>
      <c r="B570" s="7" t="s">
        <v>679</v>
      </c>
      <c r="C570" t="s">
        <v>245</v>
      </c>
    </row>
    <row r="571" spans="1:3" x14ac:dyDescent="0.3">
      <c r="A571">
        <v>558</v>
      </c>
      <c r="B571" s="2" t="s">
        <v>446</v>
      </c>
      <c r="C571" t="s">
        <v>50</v>
      </c>
    </row>
    <row r="572" spans="1:3" x14ac:dyDescent="0.3">
      <c r="A572">
        <v>559</v>
      </c>
      <c r="B572" s="7" t="s">
        <v>574</v>
      </c>
      <c r="C572" t="s">
        <v>50</v>
      </c>
    </row>
    <row r="573" spans="1:3" x14ac:dyDescent="0.3">
      <c r="A573">
        <v>560</v>
      </c>
      <c r="B573" s="7" t="s">
        <v>594</v>
      </c>
      <c r="C573" t="s">
        <v>45</v>
      </c>
    </row>
    <row r="574" spans="1:3" x14ac:dyDescent="0.3">
      <c r="A574">
        <v>561</v>
      </c>
      <c r="B574" s="7" t="s">
        <v>664</v>
      </c>
      <c r="C574" t="s">
        <v>10</v>
      </c>
    </row>
    <row r="575" spans="1:3" x14ac:dyDescent="0.3">
      <c r="A575">
        <v>562</v>
      </c>
      <c r="B575" s="7" t="s">
        <v>677</v>
      </c>
      <c r="C575" t="s">
        <v>45</v>
      </c>
    </row>
    <row r="576" spans="1:3" x14ac:dyDescent="0.3">
      <c r="A576">
        <v>563</v>
      </c>
      <c r="B576" s="7" t="s">
        <v>389</v>
      </c>
      <c r="C576" t="s">
        <v>5</v>
      </c>
    </row>
    <row r="577" spans="1:3" x14ac:dyDescent="0.3">
      <c r="A577">
        <v>564</v>
      </c>
      <c r="B577" s="7" t="s">
        <v>489</v>
      </c>
      <c r="C577" t="s">
        <v>152</v>
      </c>
    </row>
    <row r="578" spans="1:3" x14ac:dyDescent="0.3">
      <c r="A578">
        <v>565</v>
      </c>
      <c r="B578" s="7" t="s">
        <v>680</v>
      </c>
      <c r="C578" t="s">
        <v>50</v>
      </c>
    </row>
    <row r="579" spans="1:3" x14ac:dyDescent="0.3">
      <c r="A579">
        <v>566</v>
      </c>
      <c r="B579" s="7" t="s">
        <v>407</v>
      </c>
      <c r="C579" t="s">
        <v>10</v>
      </c>
    </row>
    <row r="580" spans="1:3" x14ac:dyDescent="0.3">
      <c r="A580">
        <v>567</v>
      </c>
      <c r="B580" s="7" t="s">
        <v>464</v>
      </c>
      <c r="C580" t="s">
        <v>152</v>
      </c>
    </row>
    <row r="581" spans="1:3" x14ac:dyDescent="0.3">
      <c r="A581">
        <v>568</v>
      </c>
      <c r="B581" s="7" t="s">
        <v>731</v>
      </c>
      <c r="C581" t="s">
        <v>245</v>
      </c>
    </row>
    <row r="582" spans="1:3" x14ac:dyDescent="0.3">
      <c r="A582">
        <v>569</v>
      </c>
      <c r="B582" s="7" t="s">
        <v>394</v>
      </c>
      <c r="C582" t="s">
        <v>5</v>
      </c>
    </row>
    <row r="583" spans="1:3" x14ac:dyDescent="0.3">
      <c r="A583">
        <v>570</v>
      </c>
      <c r="B583" s="7" t="s">
        <v>732</v>
      </c>
      <c r="C583" t="s">
        <v>245</v>
      </c>
    </row>
    <row r="584" spans="1:3" x14ac:dyDescent="0.3">
      <c r="A584">
        <v>571</v>
      </c>
      <c r="B584" s="7" t="s">
        <v>436</v>
      </c>
      <c r="C584" t="s">
        <v>10</v>
      </c>
    </row>
    <row r="585" spans="1:3" x14ac:dyDescent="0.3">
      <c r="A585">
        <v>572</v>
      </c>
      <c r="B585" s="7" t="s">
        <v>672</v>
      </c>
      <c r="C585" t="s">
        <v>45</v>
      </c>
    </row>
    <row r="586" spans="1:3" x14ac:dyDescent="0.3">
      <c r="A586">
        <v>573</v>
      </c>
      <c r="B586" s="7" t="s">
        <v>469</v>
      </c>
      <c r="C586" t="s">
        <v>10</v>
      </c>
    </row>
    <row r="587" spans="1:3" x14ac:dyDescent="0.3">
      <c r="A587">
        <v>574</v>
      </c>
      <c r="B587" s="7" t="s">
        <v>738</v>
      </c>
      <c r="C587" t="s">
        <v>45</v>
      </c>
    </row>
    <row r="588" spans="1:3" x14ac:dyDescent="0.3">
      <c r="A588">
        <v>575</v>
      </c>
      <c r="B588" s="7" t="s">
        <v>733</v>
      </c>
      <c r="C588" t="s">
        <v>5</v>
      </c>
    </row>
    <row r="589" spans="1:3" x14ac:dyDescent="0.3">
      <c r="A589">
        <v>576</v>
      </c>
      <c r="B589" s="7" t="s">
        <v>681</v>
      </c>
      <c r="C589" t="s">
        <v>152</v>
      </c>
    </row>
    <row r="590" spans="1:3" x14ac:dyDescent="0.3">
      <c r="A590">
        <v>577</v>
      </c>
      <c r="B590" s="7" t="s">
        <v>467</v>
      </c>
      <c r="C590" t="s">
        <v>45</v>
      </c>
    </row>
    <row r="591" spans="1:3" x14ac:dyDescent="0.3">
      <c r="A591">
        <v>578</v>
      </c>
      <c r="B591" s="7" t="s">
        <v>440</v>
      </c>
      <c r="C591" t="s">
        <v>45</v>
      </c>
    </row>
    <row r="592" spans="1:3" x14ac:dyDescent="0.3">
      <c r="A592">
        <v>579</v>
      </c>
      <c r="B592" s="7" t="s">
        <v>478</v>
      </c>
      <c r="C592" t="s">
        <v>152</v>
      </c>
    </row>
    <row r="593" spans="1:3" x14ac:dyDescent="0.3">
      <c r="A593">
        <v>580</v>
      </c>
      <c r="B593" s="7" t="s">
        <v>433</v>
      </c>
      <c r="C593" t="s">
        <v>152</v>
      </c>
    </row>
    <row r="594" spans="1:3" x14ac:dyDescent="0.3">
      <c r="A594">
        <v>581</v>
      </c>
      <c r="B594" s="7" t="s">
        <v>658</v>
      </c>
      <c r="C594" t="s">
        <v>45</v>
      </c>
    </row>
    <row r="595" spans="1:3" x14ac:dyDescent="0.3">
      <c r="A595">
        <v>582</v>
      </c>
      <c r="B595" s="7" t="s">
        <v>673</v>
      </c>
      <c r="C595" t="s">
        <v>50</v>
      </c>
    </row>
    <row r="596" spans="1:3" x14ac:dyDescent="0.3">
      <c r="A596">
        <v>583</v>
      </c>
      <c r="B596" s="7" t="s">
        <v>438</v>
      </c>
      <c r="C596" t="s">
        <v>10</v>
      </c>
    </row>
    <row r="597" spans="1:3" x14ac:dyDescent="0.3">
      <c r="A597">
        <v>584</v>
      </c>
      <c r="B597" s="7" t="s">
        <v>414</v>
      </c>
      <c r="C597" t="s">
        <v>50</v>
      </c>
    </row>
    <row r="598" spans="1:3" x14ac:dyDescent="0.3">
      <c r="A598">
        <v>585</v>
      </c>
      <c r="B598" s="7" t="s">
        <v>685</v>
      </c>
      <c r="C598" t="s">
        <v>152</v>
      </c>
    </row>
    <row r="599" spans="1:3" x14ac:dyDescent="0.3">
      <c r="A599">
        <v>586</v>
      </c>
      <c r="B599" s="7" t="s">
        <v>326</v>
      </c>
      <c r="C599" t="s">
        <v>5</v>
      </c>
    </row>
    <row r="600" spans="1:3" x14ac:dyDescent="0.3">
      <c r="A600">
        <v>587</v>
      </c>
      <c r="B600" s="7" t="s">
        <v>734</v>
      </c>
      <c r="C600" t="s">
        <v>50</v>
      </c>
    </row>
    <row r="601" spans="1:3" x14ac:dyDescent="0.3">
      <c r="A601">
        <v>588</v>
      </c>
      <c r="B601" s="7" t="s">
        <v>427</v>
      </c>
      <c r="C601" t="s">
        <v>10</v>
      </c>
    </row>
    <row r="602" spans="1:3" x14ac:dyDescent="0.3">
      <c r="A602">
        <v>589</v>
      </c>
      <c r="B602" s="7" t="s">
        <v>735</v>
      </c>
      <c r="C602" t="s">
        <v>45</v>
      </c>
    </row>
    <row r="603" spans="1:3" x14ac:dyDescent="0.3">
      <c r="A603">
        <v>590</v>
      </c>
      <c r="B603" s="7" t="s">
        <v>423</v>
      </c>
      <c r="C603" t="s">
        <v>5</v>
      </c>
    </row>
    <row r="604" spans="1:3" x14ac:dyDescent="0.3">
      <c r="A604">
        <v>591</v>
      </c>
      <c r="B604" s="7" t="s">
        <v>459</v>
      </c>
      <c r="C604" t="s">
        <v>50</v>
      </c>
    </row>
    <row r="605" spans="1:3" x14ac:dyDescent="0.3">
      <c r="A605">
        <v>592</v>
      </c>
      <c r="B605" s="7" t="s">
        <v>424</v>
      </c>
      <c r="C605" t="s">
        <v>152</v>
      </c>
    </row>
    <row r="606" spans="1:3" x14ac:dyDescent="0.3">
      <c r="A606">
        <v>593</v>
      </c>
      <c r="B606" s="7" t="s">
        <v>687</v>
      </c>
      <c r="C606" t="s">
        <v>245</v>
      </c>
    </row>
    <row r="607" spans="1:3" x14ac:dyDescent="0.3">
      <c r="A607">
        <v>594</v>
      </c>
      <c r="B607" s="7" t="s">
        <v>683</v>
      </c>
      <c r="C607" t="s">
        <v>50</v>
      </c>
    </row>
    <row r="608" spans="1:3" x14ac:dyDescent="0.3">
      <c r="A608">
        <v>595</v>
      </c>
      <c r="B608" s="7" t="s">
        <v>678</v>
      </c>
      <c r="C608" t="s">
        <v>50</v>
      </c>
    </row>
    <row r="609" spans="1:3" x14ac:dyDescent="0.3">
      <c r="A609">
        <v>596</v>
      </c>
      <c r="B609" s="7" t="s">
        <v>403</v>
      </c>
      <c r="C609" t="s">
        <v>10</v>
      </c>
    </row>
    <row r="610" spans="1:3" x14ac:dyDescent="0.3">
      <c r="A610">
        <v>597</v>
      </c>
      <c r="B610" s="7" t="s">
        <v>736</v>
      </c>
      <c r="C610" t="s">
        <v>45</v>
      </c>
    </row>
    <row r="611" spans="1:3" x14ac:dyDescent="0.3">
      <c r="A611">
        <v>598</v>
      </c>
      <c r="B611" s="7" t="s">
        <v>445</v>
      </c>
      <c r="C611" t="s">
        <v>10</v>
      </c>
    </row>
    <row r="612" spans="1:3" x14ac:dyDescent="0.3">
      <c r="A612">
        <v>599</v>
      </c>
      <c r="B612" s="7" t="s">
        <v>371</v>
      </c>
      <c r="C612" t="s">
        <v>10</v>
      </c>
    </row>
    <row r="613" spans="1:3" x14ac:dyDescent="0.3">
      <c r="A613">
        <v>600</v>
      </c>
      <c r="B613" s="7" t="s">
        <v>477</v>
      </c>
      <c r="C613" t="s">
        <v>45</v>
      </c>
    </row>
  </sheetData>
  <autoFilter ref="A13:C613" xr:uid="{629D928C-8D2A-4407-BB5E-A21456438A4C}"/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FDBE-ADAC-4B1C-83D3-47DDBAE2B84E}">
  <dimension ref="A1:H313"/>
  <sheetViews>
    <sheetView workbookViewId="0">
      <selection activeCell="J8" sqref="J8"/>
    </sheetView>
  </sheetViews>
  <sheetFormatPr defaultRowHeight="16.5" x14ac:dyDescent="0.3"/>
  <cols>
    <col min="1" max="1" width="13" bestFit="1" customWidth="1"/>
  </cols>
  <sheetData>
    <row r="1" spans="1:8" x14ac:dyDescent="0.3">
      <c r="A1" s="6" t="s">
        <v>2</v>
      </c>
      <c r="B1" s="6" t="s">
        <v>3</v>
      </c>
      <c r="C1" s="6" t="s">
        <v>1</v>
      </c>
      <c r="D1" s="6" t="s">
        <v>622</v>
      </c>
      <c r="F1" s="6" t="s">
        <v>3</v>
      </c>
      <c r="G1" s="6" t="s">
        <v>623</v>
      </c>
      <c r="H1" s="6" t="s">
        <v>624</v>
      </c>
    </row>
    <row r="2" spans="1:8" x14ac:dyDescent="0.3">
      <c r="A2" s="5" t="s">
        <v>9</v>
      </c>
      <c r="B2" s="5" t="s">
        <v>10</v>
      </c>
      <c r="C2" s="5">
        <v>5</v>
      </c>
      <c r="D2" s="5">
        <v>1</v>
      </c>
      <c r="E2" s="14"/>
      <c r="F2" s="5" t="s">
        <v>10</v>
      </c>
      <c r="G2" s="5">
        <f>COUNTIF($B$2:$B$313,$F2)</f>
        <v>145</v>
      </c>
      <c r="H2" s="5">
        <f>COUNTIF($B$2:$B$61,$F2)</f>
        <v>35</v>
      </c>
    </row>
    <row r="3" spans="1:8" x14ac:dyDescent="0.3">
      <c r="A3" s="5" t="s">
        <v>598</v>
      </c>
      <c r="B3" s="5" t="s">
        <v>10</v>
      </c>
      <c r="C3" s="5">
        <v>11</v>
      </c>
      <c r="D3" s="5">
        <v>2</v>
      </c>
      <c r="E3" s="14"/>
      <c r="F3" s="5" t="s">
        <v>50</v>
      </c>
      <c r="G3" s="5">
        <f>COUNTIF($B$2:$B$313,$F3)</f>
        <v>120</v>
      </c>
      <c r="H3" s="5">
        <f t="shared" ref="H3:H4" si="0">COUNTIF($B$2:$B$61,$F3)</f>
        <v>23</v>
      </c>
    </row>
    <row r="4" spans="1:8" x14ac:dyDescent="0.3">
      <c r="A4" s="5" t="s">
        <v>607</v>
      </c>
      <c r="B4" s="5" t="s">
        <v>10</v>
      </c>
      <c r="C4" s="5">
        <v>13</v>
      </c>
      <c r="D4" s="5">
        <v>3</v>
      </c>
      <c r="E4" s="14"/>
      <c r="F4" s="5" t="s">
        <v>152</v>
      </c>
      <c r="G4" s="5">
        <f>COUNTIF($B$2:$B$313,$F4)</f>
        <v>41</v>
      </c>
      <c r="H4" s="5">
        <f t="shared" si="0"/>
        <v>2</v>
      </c>
    </row>
    <row r="5" spans="1:8" x14ac:dyDescent="0.3">
      <c r="A5" s="5" t="s">
        <v>21</v>
      </c>
      <c r="B5" s="5" t="s">
        <v>10</v>
      </c>
      <c r="C5" s="5">
        <v>14</v>
      </c>
      <c r="D5" s="5">
        <v>4</v>
      </c>
    </row>
    <row r="6" spans="1:8" x14ac:dyDescent="0.3">
      <c r="A6" s="5" t="s">
        <v>14</v>
      </c>
      <c r="B6" s="5" t="s">
        <v>10</v>
      </c>
      <c r="C6" s="5">
        <v>15</v>
      </c>
      <c r="D6" s="5">
        <v>5</v>
      </c>
    </row>
    <row r="7" spans="1:8" x14ac:dyDescent="0.3">
      <c r="A7" s="5" t="s">
        <v>610</v>
      </c>
      <c r="B7" s="5" t="s">
        <v>10</v>
      </c>
      <c r="C7" s="5">
        <v>18</v>
      </c>
      <c r="D7" s="5">
        <v>6</v>
      </c>
    </row>
    <row r="8" spans="1:8" x14ac:dyDescent="0.3">
      <c r="A8" s="5" t="s">
        <v>540</v>
      </c>
      <c r="B8" s="5" t="s">
        <v>50</v>
      </c>
      <c r="C8" s="5">
        <v>20</v>
      </c>
      <c r="D8" s="5">
        <v>7</v>
      </c>
    </row>
    <row r="9" spans="1:8" x14ac:dyDescent="0.3">
      <c r="A9" s="5" t="s">
        <v>98</v>
      </c>
      <c r="B9" s="5" t="s">
        <v>50</v>
      </c>
      <c r="C9" s="5">
        <v>31</v>
      </c>
      <c r="D9" s="5">
        <v>8</v>
      </c>
    </row>
    <row r="10" spans="1:8" x14ac:dyDescent="0.3">
      <c r="A10" s="5" t="s">
        <v>26</v>
      </c>
      <c r="B10" s="5" t="s">
        <v>10</v>
      </c>
      <c r="C10" s="5">
        <v>32</v>
      </c>
      <c r="D10" s="5">
        <v>9</v>
      </c>
    </row>
    <row r="11" spans="1:8" x14ac:dyDescent="0.3">
      <c r="A11" s="5" t="s">
        <v>109</v>
      </c>
      <c r="B11" s="5" t="s">
        <v>50</v>
      </c>
      <c r="C11" s="5">
        <v>37</v>
      </c>
      <c r="D11" s="5">
        <v>10</v>
      </c>
    </row>
    <row r="12" spans="1:8" x14ac:dyDescent="0.3">
      <c r="A12" s="5" t="s">
        <v>34</v>
      </c>
      <c r="B12" s="5" t="s">
        <v>10</v>
      </c>
      <c r="C12" s="5">
        <v>38</v>
      </c>
      <c r="D12" s="5">
        <v>11</v>
      </c>
    </row>
    <row r="13" spans="1:8" x14ac:dyDescent="0.3">
      <c r="A13" s="5" t="s">
        <v>38</v>
      </c>
      <c r="B13" s="5" t="s">
        <v>10</v>
      </c>
      <c r="C13" s="5">
        <v>43</v>
      </c>
      <c r="D13" s="5">
        <v>12</v>
      </c>
    </row>
    <row r="14" spans="1:8" x14ac:dyDescent="0.3">
      <c r="A14" s="5" t="s">
        <v>36</v>
      </c>
      <c r="B14" s="5" t="s">
        <v>10</v>
      </c>
      <c r="C14" s="5">
        <v>48</v>
      </c>
      <c r="D14" s="5">
        <v>13</v>
      </c>
    </row>
    <row r="15" spans="1:8" x14ac:dyDescent="0.3">
      <c r="A15" s="5" t="s">
        <v>40</v>
      </c>
      <c r="B15" s="5" t="s">
        <v>10</v>
      </c>
      <c r="C15" s="5">
        <v>50</v>
      </c>
      <c r="D15" s="5">
        <v>14</v>
      </c>
    </row>
    <row r="16" spans="1:8" x14ac:dyDescent="0.3">
      <c r="A16" s="5" t="s">
        <v>748</v>
      </c>
      <c r="B16" s="5" t="s">
        <v>10</v>
      </c>
      <c r="C16" s="5">
        <v>65</v>
      </c>
      <c r="D16" s="5">
        <v>15</v>
      </c>
    </row>
    <row r="17" spans="1:4" x14ac:dyDescent="0.3">
      <c r="A17" s="5" t="s">
        <v>128</v>
      </c>
      <c r="B17" s="5" t="s">
        <v>50</v>
      </c>
      <c r="C17" s="5">
        <v>68</v>
      </c>
      <c r="D17" s="5">
        <v>16</v>
      </c>
    </row>
    <row r="18" spans="1:4" x14ac:dyDescent="0.3">
      <c r="A18" s="5" t="s">
        <v>47</v>
      </c>
      <c r="B18" s="5" t="s">
        <v>10</v>
      </c>
      <c r="C18" s="5">
        <v>71</v>
      </c>
      <c r="D18" s="5">
        <v>17</v>
      </c>
    </row>
    <row r="19" spans="1:4" x14ac:dyDescent="0.3">
      <c r="A19" s="5" t="s">
        <v>70</v>
      </c>
      <c r="B19" s="5" t="s">
        <v>10</v>
      </c>
      <c r="C19" s="5">
        <v>73</v>
      </c>
      <c r="D19" s="5">
        <v>18</v>
      </c>
    </row>
    <row r="20" spans="1:4" x14ac:dyDescent="0.3">
      <c r="A20" s="5" t="s">
        <v>41</v>
      </c>
      <c r="B20" s="5" t="s">
        <v>10</v>
      </c>
      <c r="C20" s="5">
        <v>74</v>
      </c>
      <c r="D20" s="5">
        <v>19</v>
      </c>
    </row>
    <row r="21" spans="1:4" x14ac:dyDescent="0.3">
      <c r="A21" s="5" t="s">
        <v>599</v>
      </c>
      <c r="B21" s="5" t="s">
        <v>10</v>
      </c>
      <c r="C21" s="5">
        <v>75</v>
      </c>
      <c r="D21" s="5">
        <v>20</v>
      </c>
    </row>
    <row r="22" spans="1:4" x14ac:dyDescent="0.3">
      <c r="A22" s="5" t="s">
        <v>88</v>
      </c>
      <c r="B22" s="5" t="s">
        <v>10</v>
      </c>
      <c r="C22" s="5">
        <v>76</v>
      </c>
      <c r="D22" s="5">
        <v>21</v>
      </c>
    </row>
    <row r="23" spans="1:4" x14ac:dyDescent="0.3">
      <c r="A23" s="5" t="s">
        <v>103</v>
      </c>
      <c r="B23" s="5" t="s">
        <v>50</v>
      </c>
      <c r="C23" s="5">
        <v>77</v>
      </c>
      <c r="D23" s="5">
        <v>22</v>
      </c>
    </row>
    <row r="24" spans="1:4" x14ac:dyDescent="0.3">
      <c r="A24" s="5" t="s">
        <v>58</v>
      </c>
      <c r="B24" s="5" t="s">
        <v>10</v>
      </c>
      <c r="C24" s="5">
        <v>78</v>
      </c>
      <c r="D24" s="5">
        <v>23</v>
      </c>
    </row>
    <row r="25" spans="1:4" x14ac:dyDescent="0.3">
      <c r="A25" s="5" t="s">
        <v>200</v>
      </c>
      <c r="B25" s="5" t="s">
        <v>50</v>
      </c>
      <c r="C25" s="5">
        <v>84</v>
      </c>
      <c r="D25" s="5">
        <v>24</v>
      </c>
    </row>
    <row r="26" spans="1:4" x14ac:dyDescent="0.3">
      <c r="A26" s="5" t="s">
        <v>72</v>
      </c>
      <c r="B26" s="5" t="s">
        <v>50</v>
      </c>
      <c r="C26" s="5">
        <v>85</v>
      </c>
      <c r="D26" s="5">
        <v>25</v>
      </c>
    </row>
    <row r="27" spans="1:4" x14ac:dyDescent="0.3">
      <c r="A27" s="5" t="s">
        <v>568</v>
      </c>
      <c r="B27" s="5" t="s">
        <v>50</v>
      </c>
      <c r="C27" s="5">
        <v>90</v>
      </c>
      <c r="D27" s="5">
        <v>26</v>
      </c>
    </row>
    <row r="28" spans="1:4" x14ac:dyDescent="0.3">
      <c r="A28" s="5" t="s">
        <v>80</v>
      </c>
      <c r="B28" s="5" t="s">
        <v>50</v>
      </c>
      <c r="C28" s="5">
        <v>91</v>
      </c>
      <c r="D28" s="5">
        <v>27</v>
      </c>
    </row>
    <row r="29" spans="1:4" x14ac:dyDescent="0.3">
      <c r="A29" s="5" t="s">
        <v>77</v>
      </c>
      <c r="B29" s="5" t="s">
        <v>50</v>
      </c>
      <c r="C29" s="5">
        <v>95</v>
      </c>
      <c r="D29" s="5">
        <v>28</v>
      </c>
    </row>
    <row r="30" spans="1:4" x14ac:dyDescent="0.3">
      <c r="A30" s="5" t="s">
        <v>143</v>
      </c>
      <c r="B30" s="5" t="s">
        <v>50</v>
      </c>
      <c r="C30" s="5">
        <v>100</v>
      </c>
      <c r="D30" s="5">
        <v>29</v>
      </c>
    </row>
    <row r="31" spans="1:4" x14ac:dyDescent="0.3">
      <c r="A31" s="5" t="s">
        <v>48</v>
      </c>
      <c r="B31" s="5" t="s">
        <v>10</v>
      </c>
      <c r="C31" s="5">
        <v>101</v>
      </c>
      <c r="D31" s="5">
        <v>30</v>
      </c>
    </row>
    <row r="32" spans="1:4" x14ac:dyDescent="0.3">
      <c r="A32" s="5" t="s">
        <v>110</v>
      </c>
      <c r="B32" s="5" t="s">
        <v>10</v>
      </c>
      <c r="C32" s="5">
        <v>105</v>
      </c>
      <c r="D32" s="5">
        <v>31</v>
      </c>
    </row>
    <row r="33" spans="1:4" x14ac:dyDescent="0.3">
      <c r="A33" s="5" t="s">
        <v>64</v>
      </c>
      <c r="B33" s="5" t="s">
        <v>10</v>
      </c>
      <c r="C33" s="5">
        <v>111</v>
      </c>
      <c r="D33" s="5">
        <v>32</v>
      </c>
    </row>
    <row r="34" spans="1:4" x14ac:dyDescent="0.3">
      <c r="A34" s="5" t="s">
        <v>541</v>
      </c>
      <c r="B34" s="5" t="s">
        <v>50</v>
      </c>
      <c r="C34" s="5">
        <v>120</v>
      </c>
      <c r="D34" s="5">
        <v>33</v>
      </c>
    </row>
    <row r="35" spans="1:4" x14ac:dyDescent="0.3">
      <c r="A35" s="5" t="s">
        <v>61</v>
      </c>
      <c r="B35" s="5" t="s">
        <v>10</v>
      </c>
      <c r="C35" s="5">
        <v>121</v>
      </c>
      <c r="D35" s="5">
        <v>34</v>
      </c>
    </row>
    <row r="36" spans="1:4" x14ac:dyDescent="0.3">
      <c r="A36" s="5" t="s">
        <v>167</v>
      </c>
      <c r="B36" s="5" t="s">
        <v>50</v>
      </c>
      <c r="C36" s="5">
        <v>123</v>
      </c>
      <c r="D36" s="5">
        <v>35</v>
      </c>
    </row>
    <row r="37" spans="1:4" x14ac:dyDescent="0.3">
      <c r="A37" s="5" t="s">
        <v>116</v>
      </c>
      <c r="B37" s="5" t="s">
        <v>10</v>
      </c>
      <c r="C37" s="5">
        <v>124</v>
      </c>
      <c r="D37" s="5">
        <v>36</v>
      </c>
    </row>
    <row r="38" spans="1:4" x14ac:dyDescent="0.3">
      <c r="A38" s="5" t="s">
        <v>174</v>
      </c>
      <c r="B38" s="5" t="s">
        <v>50</v>
      </c>
      <c r="C38" s="5">
        <v>125</v>
      </c>
      <c r="D38" s="5">
        <v>37</v>
      </c>
    </row>
    <row r="39" spans="1:4" x14ac:dyDescent="0.3">
      <c r="A39" s="5" t="s">
        <v>137</v>
      </c>
      <c r="B39" s="5" t="s">
        <v>50</v>
      </c>
      <c r="C39" s="5">
        <v>127</v>
      </c>
      <c r="D39" s="5">
        <v>38</v>
      </c>
    </row>
    <row r="40" spans="1:4" x14ac:dyDescent="0.3">
      <c r="A40" s="5" t="s">
        <v>168</v>
      </c>
      <c r="B40" s="5" t="s">
        <v>10</v>
      </c>
      <c r="C40" s="5">
        <v>128</v>
      </c>
      <c r="D40" s="5">
        <v>39</v>
      </c>
    </row>
    <row r="41" spans="1:4" x14ac:dyDescent="0.3">
      <c r="A41" s="5" t="s">
        <v>175</v>
      </c>
      <c r="B41" s="5" t="s">
        <v>50</v>
      </c>
      <c r="C41" s="5">
        <v>129</v>
      </c>
      <c r="D41" s="5">
        <v>40</v>
      </c>
    </row>
    <row r="42" spans="1:4" x14ac:dyDescent="0.3">
      <c r="A42" s="5" t="s">
        <v>95</v>
      </c>
      <c r="B42" s="5" t="s">
        <v>10</v>
      </c>
      <c r="C42" s="5">
        <v>132</v>
      </c>
      <c r="D42" s="5">
        <v>41</v>
      </c>
    </row>
    <row r="43" spans="1:4" x14ac:dyDescent="0.3">
      <c r="A43" s="5" t="s">
        <v>89</v>
      </c>
      <c r="B43" s="5" t="s">
        <v>10</v>
      </c>
      <c r="C43" s="5">
        <v>137</v>
      </c>
      <c r="D43" s="5">
        <v>42</v>
      </c>
    </row>
    <row r="44" spans="1:4" x14ac:dyDescent="0.3">
      <c r="A44" s="5" t="s">
        <v>151</v>
      </c>
      <c r="B44" s="5" t="s">
        <v>152</v>
      </c>
      <c r="C44" s="5">
        <v>140</v>
      </c>
      <c r="D44" s="5">
        <v>43</v>
      </c>
    </row>
    <row r="45" spans="1:4" x14ac:dyDescent="0.3">
      <c r="A45" s="5" t="s">
        <v>66</v>
      </c>
      <c r="B45" s="5" t="s">
        <v>10</v>
      </c>
      <c r="C45" s="5">
        <v>142</v>
      </c>
      <c r="D45" s="5">
        <v>44</v>
      </c>
    </row>
    <row r="46" spans="1:4" x14ac:dyDescent="0.3">
      <c r="A46" s="5" t="s">
        <v>545</v>
      </c>
      <c r="B46" s="5" t="s">
        <v>50</v>
      </c>
      <c r="C46" s="5">
        <v>143</v>
      </c>
      <c r="D46" s="5">
        <v>45</v>
      </c>
    </row>
    <row r="47" spans="1:4" x14ac:dyDescent="0.3">
      <c r="A47" s="5" t="s">
        <v>122</v>
      </c>
      <c r="B47" s="5" t="s">
        <v>50</v>
      </c>
      <c r="C47" s="5">
        <v>144</v>
      </c>
      <c r="D47" s="5">
        <v>46</v>
      </c>
    </row>
    <row r="48" spans="1:4" x14ac:dyDescent="0.3">
      <c r="A48" s="5" t="s">
        <v>127</v>
      </c>
      <c r="B48" s="5" t="s">
        <v>10</v>
      </c>
      <c r="C48" s="5">
        <v>146</v>
      </c>
      <c r="D48" s="5">
        <v>47</v>
      </c>
    </row>
    <row r="49" spans="1:4" x14ac:dyDescent="0.3">
      <c r="A49" s="5" t="s">
        <v>543</v>
      </c>
      <c r="B49" s="5" t="s">
        <v>50</v>
      </c>
      <c r="C49" s="5">
        <v>147</v>
      </c>
      <c r="D49" s="5">
        <v>48</v>
      </c>
    </row>
    <row r="50" spans="1:4" x14ac:dyDescent="0.3">
      <c r="A50" s="5" t="s">
        <v>762</v>
      </c>
      <c r="B50" s="5" t="s">
        <v>10</v>
      </c>
      <c r="C50" s="5">
        <v>150</v>
      </c>
      <c r="D50" s="5">
        <v>49</v>
      </c>
    </row>
    <row r="51" spans="1:4" x14ac:dyDescent="0.3">
      <c r="A51" s="5" t="s">
        <v>158</v>
      </c>
      <c r="B51" s="5" t="s">
        <v>10</v>
      </c>
      <c r="C51" s="5">
        <v>151</v>
      </c>
      <c r="D51" s="5">
        <v>50</v>
      </c>
    </row>
    <row r="52" spans="1:4" x14ac:dyDescent="0.3">
      <c r="A52" s="5" t="s">
        <v>100</v>
      </c>
      <c r="B52" s="5" t="s">
        <v>10</v>
      </c>
      <c r="C52" s="5">
        <v>153</v>
      </c>
      <c r="D52" s="5">
        <v>51</v>
      </c>
    </row>
    <row r="53" spans="1:4" x14ac:dyDescent="0.3">
      <c r="A53" s="5" t="s">
        <v>544</v>
      </c>
      <c r="B53" s="5" t="s">
        <v>50</v>
      </c>
      <c r="C53" s="5">
        <v>155</v>
      </c>
      <c r="D53" s="5">
        <v>52</v>
      </c>
    </row>
    <row r="54" spans="1:4" x14ac:dyDescent="0.3">
      <c r="A54" s="5" t="s">
        <v>148</v>
      </c>
      <c r="B54" s="5" t="s">
        <v>10</v>
      </c>
      <c r="C54" s="5">
        <v>156</v>
      </c>
      <c r="D54" s="5">
        <v>53</v>
      </c>
    </row>
    <row r="55" spans="1:4" x14ac:dyDescent="0.3">
      <c r="A55" s="5" t="s">
        <v>226</v>
      </c>
      <c r="B55" s="5" t="s">
        <v>50</v>
      </c>
      <c r="C55" s="5">
        <v>158</v>
      </c>
      <c r="D55" s="5">
        <v>54</v>
      </c>
    </row>
    <row r="56" spans="1:4" x14ac:dyDescent="0.3">
      <c r="A56" s="5" t="s">
        <v>104</v>
      </c>
      <c r="B56" s="5" t="s">
        <v>10</v>
      </c>
      <c r="C56" s="5">
        <v>159</v>
      </c>
      <c r="D56" s="5">
        <v>55</v>
      </c>
    </row>
    <row r="57" spans="1:4" x14ac:dyDescent="0.3">
      <c r="A57" s="5" t="s">
        <v>146</v>
      </c>
      <c r="B57" s="5" t="s">
        <v>50</v>
      </c>
      <c r="C57" s="5">
        <v>160</v>
      </c>
      <c r="D57" s="5">
        <v>56</v>
      </c>
    </row>
    <row r="58" spans="1:4" x14ac:dyDescent="0.3">
      <c r="A58" s="5" t="s">
        <v>768</v>
      </c>
      <c r="B58" s="5" t="s">
        <v>10</v>
      </c>
      <c r="C58" s="5">
        <v>161</v>
      </c>
      <c r="D58" s="5">
        <v>57</v>
      </c>
    </row>
    <row r="59" spans="1:4" x14ac:dyDescent="0.3">
      <c r="A59" s="5" t="s">
        <v>690</v>
      </c>
      <c r="B59" s="5" t="s">
        <v>50</v>
      </c>
      <c r="C59" s="5">
        <v>164</v>
      </c>
      <c r="D59" s="5">
        <v>58</v>
      </c>
    </row>
    <row r="60" spans="1:4" x14ac:dyDescent="0.3">
      <c r="A60" s="5" t="s">
        <v>177</v>
      </c>
      <c r="B60" s="5" t="s">
        <v>152</v>
      </c>
      <c r="C60" s="5">
        <v>165</v>
      </c>
      <c r="D60" s="5">
        <v>59</v>
      </c>
    </row>
    <row r="61" spans="1:4" x14ac:dyDescent="0.3">
      <c r="A61" s="5" t="s">
        <v>123</v>
      </c>
      <c r="B61" s="5" t="s">
        <v>10</v>
      </c>
      <c r="C61" s="5">
        <v>167</v>
      </c>
      <c r="D61" s="5">
        <v>60</v>
      </c>
    </row>
    <row r="62" spans="1:4" x14ac:dyDescent="0.3">
      <c r="A62" s="5" t="s">
        <v>112</v>
      </c>
      <c r="B62" s="5" t="s">
        <v>10</v>
      </c>
      <c r="C62" s="5">
        <v>169</v>
      </c>
      <c r="D62" s="5">
        <v>61</v>
      </c>
    </row>
    <row r="63" spans="1:4" x14ac:dyDescent="0.3">
      <c r="A63" s="5" t="s">
        <v>176</v>
      </c>
      <c r="B63" s="5" t="s">
        <v>10</v>
      </c>
      <c r="C63" s="5">
        <v>170</v>
      </c>
      <c r="D63" s="5">
        <v>62</v>
      </c>
    </row>
    <row r="64" spans="1:4" x14ac:dyDescent="0.3">
      <c r="A64" s="5" t="s">
        <v>163</v>
      </c>
      <c r="B64" s="5" t="s">
        <v>10</v>
      </c>
      <c r="C64" s="5">
        <v>172</v>
      </c>
      <c r="D64" s="5">
        <v>63</v>
      </c>
    </row>
    <row r="65" spans="1:4" x14ac:dyDescent="0.3">
      <c r="A65" s="5" t="s">
        <v>121</v>
      </c>
      <c r="B65" s="5" t="s">
        <v>10</v>
      </c>
      <c r="C65" s="5">
        <v>174</v>
      </c>
      <c r="D65" s="5">
        <v>64</v>
      </c>
    </row>
    <row r="66" spans="1:4" x14ac:dyDescent="0.3">
      <c r="A66" s="5" t="s">
        <v>153</v>
      </c>
      <c r="B66" s="5" t="s">
        <v>10</v>
      </c>
      <c r="C66" s="5">
        <v>175</v>
      </c>
      <c r="D66" s="5">
        <v>65</v>
      </c>
    </row>
    <row r="67" spans="1:4" x14ac:dyDescent="0.3">
      <c r="A67" s="5" t="s">
        <v>273</v>
      </c>
      <c r="B67" s="5" t="s">
        <v>50</v>
      </c>
      <c r="C67" s="5">
        <v>177</v>
      </c>
      <c r="D67" s="5">
        <v>66</v>
      </c>
    </row>
    <row r="68" spans="1:4" x14ac:dyDescent="0.3">
      <c r="A68" s="5" t="s">
        <v>136</v>
      </c>
      <c r="B68" s="5" t="s">
        <v>10</v>
      </c>
      <c r="C68" s="5">
        <v>183</v>
      </c>
      <c r="D68" s="5">
        <v>67</v>
      </c>
    </row>
    <row r="69" spans="1:4" x14ac:dyDescent="0.3">
      <c r="A69" s="5" t="s">
        <v>169</v>
      </c>
      <c r="B69" s="5" t="s">
        <v>50</v>
      </c>
      <c r="C69" s="5">
        <v>186</v>
      </c>
      <c r="D69" s="5">
        <v>68</v>
      </c>
    </row>
    <row r="70" spans="1:4" x14ac:dyDescent="0.3">
      <c r="A70" s="5" t="s">
        <v>101</v>
      </c>
      <c r="B70" s="5" t="s">
        <v>10</v>
      </c>
      <c r="C70" s="5">
        <v>187</v>
      </c>
      <c r="D70" s="5">
        <v>69</v>
      </c>
    </row>
    <row r="71" spans="1:4" x14ac:dyDescent="0.3">
      <c r="A71" s="5" t="s">
        <v>102</v>
      </c>
      <c r="B71" s="5" t="s">
        <v>10</v>
      </c>
      <c r="C71" s="5">
        <v>190</v>
      </c>
      <c r="D71" s="5">
        <v>70</v>
      </c>
    </row>
    <row r="72" spans="1:4" x14ac:dyDescent="0.3">
      <c r="A72" s="5" t="s">
        <v>132</v>
      </c>
      <c r="B72" s="5" t="s">
        <v>10</v>
      </c>
      <c r="C72" s="5">
        <v>193</v>
      </c>
      <c r="D72" s="5">
        <v>71</v>
      </c>
    </row>
    <row r="73" spans="1:4" x14ac:dyDescent="0.3">
      <c r="A73" s="5" t="s">
        <v>139</v>
      </c>
      <c r="B73" s="5" t="s">
        <v>10</v>
      </c>
      <c r="C73" s="5">
        <v>194</v>
      </c>
      <c r="D73" s="5">
        <v>72</v>
      </c>
    </row>
    <row r="74" spans="1:4" x14ac:dyDescent="0.3">
      <c r="A74" s="5" t="s">
        <v>126</v>
      </c>
      <c r="B74" s="5" t="s">
        <v>10</v>
      </c>
      <c r="C74" s="5">
        <v>195</v>
      </c>
      <c r="D74" s="5">
        <v>73</v>
      </c>
    </row>
    <row r="75" spans="1:4" x14ac:dyDescent="0.3">
      <c r="A75" s="5" t="s">
        <v>150</v>
      </c>
      <c r="B75" s="5" t="s">
        <v>10</v>
      </c>
      <c r="C75" s="5">
        <v>196</v>
      </c>
      <c r="D75" s="5">
        <v>74</v>
      </c>
    </row>
    <row r="76" spans="1:4" x14ac:dyDescent="0.3">
      <c r="A76" s="5" t="s">
        <v>131</v>
      </c>
      <c r="B76" s="5" t="s">
        <v>10</v>
      </c>
      <c r="C76" s="5">
        <v>197</v>
      </c>
      <c r="D76" s="5">
        <v>75</v>
      </c>
    </row>
    <row r="77" spans="1:4" x14ac:dyDescent="0.3">
      <c r="A77" s="5" t="s">
        <v>195</v>
      </c>
      <c r="B77" s="5" t="s">
        <v>10</v>
      </c>
      <c r="C77" s="5">
        <v>202</v>
      </c>
      <c r="D77" s="5">
        <v>76</v>
      </c>
    </row>
    <row r="78" spans="1:4" x14ac:dyDescent="0.3">
      <c r="A78" s="5" t="s">
        <v>547</v>
      </c>
      <c r="B78" s="5" t="s">
        <v>50</v>
      </c>
      <c r="C78" s="5">
        <v>203</v>
      </c>
      <c r="D78" s="5">
        <v>77</v>
      </c>
    </row>
    <row r="79" spans="1:4" x14ac:dyDescent="0.3">
      <c r="A79" s="5" t="s">
        <v>134</v>
      </c>
      <c r="B79" s="5" t="s">
        <v>10</v>
      </c>
      <c r="C79" s="5">
        <v>204</v>
      </c>
      <c r="D79" s="5">
        <v>78</v>
      </c>
    </row>
    <row r="80" spans="1:4" x14ac:dyDescent="0.3">
      <c r="A80" s="5" t="s">
        <v>119</v>
      </c>
      <c r="B80" s="5" t="s">
        <v>10</v>
      </c>
      <c r="C80" s="5">
        <v>205</v>
      </c>
      <c r="D80" s="5">
        <v>79</v>
      </c>
    </row>
    <row r="81" spans="1:4" x14ac:dyDescent="0.3">
      <c r="A81" s="5" t="s">
        <v>161</v>
      </c>
      <c r="B81" s="5" t="s">
        <v>152</v>
      </c>
      <c r="C81" s="5">
        <v>206</v>
      </c>
      <c r="D81" s="5">
        <v>80</v>
      </c>
    </row>
    <row r="82" spans="1:4" x14ac:dyDescent="0.3">
      <c r="A82" s="5" t="s">
        <v>138</v>
      </c>
      <c r="B82" s="5" t="s">
        <v>50</v>
      </c>
      <c r="C82" s="5">
        <v>207</v>
      </c>
      <c r="D82" s="5">
        <v>81</v>
      </c>
    </row>
    <row r="83" spans="1:4" x14ac:dyDescent="0.3">
      <c r="A83" s="5" t="s">
        <v>185</v>
      </c>
      <c r="B83" s="5" t="s">
        <v>50</v>
      </c>
      <c r="C83" s="5">
        <v>208</v>
      </c>
      <c r="D83" s="5">
        <v>82</v>
      </c>
    </row>
    <row r="84" spans="1:4" x14ac:dyDescent="0.3">
      <c r="A84" s="5" t="s">
        <v>284</v>
      </c>
      <c r="B84" s="5" t="s">
        <v>152</v>
      </c>
      <c r="C84" s="5">
        <v>209</v>
      </c>
      <c r="D84" s="5">
        <v>83</v>
      </c>
    </row>
    <row r="85" spans="1:4" x14ac:dyDescent="0.3">
      <c r="A85" s="5" t="s">
        <v>164</v>
      </c>
      <c r="B85" s="5" t="s">
        <v>10</v>
      </c>
      <c r="C85" s="5">
        <v>210</v>
      </c>
      <c r="D85" s="5">
        <v>84</v>
      </c>
    </row>
    <row r="86" spans="1:4" x14ac:dyDescent="0.3">
      <c r="A86" s="5" t="s">
        <v>115</v>
      </c>
      <c r="B86" s="5" t="s">
        <v>10</v>
      </c>
      <c r="C86" s="5">
        <v>211</v>
      </c>
      <c r="D86" s="5">
        <v>85</v>
      </c>
    </row>
    <row r="87" spans="1:4" x14ac:dyDescent="0.3">
      <c r="A87" s="5" t="s">
        <v>171</v>
      </c>
      <c r="B87" s="5" t="s">
        <v>10</v>
      </c>
      <c r="C87" s="5">
        <v>212</v>
      </c>
      <c r="D87" s="5">
        <v>86</v>
      </c>
    </row>
    <row r="88" spans="1:4" x14ac:dyDescent="0.3">
      <c r="A88" s="5" t="s">
        <v>144</v>
      </c>
      <c r="B88" s="5" t="s">
        <v>10</v>
      </c>
      <c r="C88" s="5">
        <v>216</v>
      </c>
      <c r="D88" s="5">
        <v>87</v>
      </c>
    </row>
    <row r="89" spans="1:4" x14ac:dyDescent="0.3">
      <c r="A89" s="5" t="s">
        <v>114</v>
      </c>
      <c r="B89" s="5" t="s">
        <v>10</v>
      </c>
      <c r="C89" s="5">
        <v>218</v>
      </c>
      <c r="D89" s="5">
        <v>88</v>
      </c>
    </row>
    <row r="90" spans="1:4" x14ac:dyDescent="0.3">
      <c r="A90" s="5" t="s">
        <v>196</v>
      </c>
      <c r="B90" s="5" t="s">
        <v>10</v>
      </c>
      <c r="C90" s="5">
        <v>219</v>
      </c>
      <c r="D90" s="5">
        <v>89</v>
      </c>
    </row>
    <row r="91" spans="1:4" x14ac:dyDescent="0.3">
      <c r="A91" s="5" t="s">
        <v>135</v>
      </c>
      <c r="B91" s="5" t="s">
        <v>50</v>
      </c>
      <c r="C91" s="5">
        <v>220</v>
      </c>
      <c r="D91" s="5">
        <v>90</v>
      </c>
    </row>
    <row r="92" spans="1:4" x14ac:dyDescent="0.3">
      <c r="A92" s="5" t="s">
        <v>637</v>
      </c>
      <c r="B92" s="5" t="s">
        <v>50</v>
      </c>
      <c r="C92" s="5">
        <v>221</v>
      </c>
      <c r="D92" s="5">
        <v>91</v>
      </c>
    </row>
    <row r="93" spans="1:4" x14ac:dyDescent="0.3">
      <c r="A93" s="5" t="s">
        <v>125</v>
      </c>
      <c r="B93" s="5" t="s">
        <v>50</v>
      </c>
      <c r="C93" s="5">
        <v>222</v>
      </c>
      <c r="D93" s="5">
        <v>92</v>
      </c>
    </row>
    <row r="94" spans="1:4" x14ac:dyDescent="0.3">
      <c r="A94" s="5" t="s">
        <v>141</v>
      </c>
      <c r="B94" s="5" t="s">
        <v>50</v>
      </c>
      <c r="C94" s="5">
        <v>223</v>
      </c>
      <c r="D94" s="5">
        <v>93</v>
      </c>
    </row>
    <row r="95" spans="1:4" x14ac:dyDescent="0.3">
      <c r="A95" s="5" t="s">
        <v>546</v>
      </c>
      <c r="B95" s="5" t="s">
        <v>50</v>
      </c>
      <c r="C95" s="5">
        <v>224</v>
      </c>
      <c r="D95" s="5">
        <v>94</v>
      </c>
    </row>
    <row r="96" spans="1:4" x14ac:dyDescent="0.3">
      <c r="A96" s="5" t="s">
        <v>179</v>
      </c>
      <c r="B96" s="5" t="s">
        <v>10</v>
      </c>
      <c r="C96" s="5">
        <v>225</v>
      </c>
      <c r="D96" s="5">
        <v>95</v>
      </c>
    </row>
    <row r="97" spans="1:4" x14ac:dyDescent="0.3">
      <c r="A97" s="5" t="s">
        <v>199</v>
      </c>
      <c r="B97" s="5" t="s">
        <v>152</v>
      </c>
      <c r="C97" s="5">
        <v>226</v>
      </c>
      <c r="D97" s="5">
        <v>96</v>
      </c>
    </row>
    <row r="98" spans="1:4" x14ac:dyDescent="0.3">
      <c r="A98" s="5" t="s">
        <v>155</v>
      </c>
      <c r="B98" s="5" t="s">
        <v>10</v>
      </c>
      <c r="C98" s="5">
        <v>228</v>
      </c>
      <c r="D98" s="5">
        <v>97</v>
      </c>
    </row>
    <row r="99" spans="1:4" x14ac:dyDescent="0.3">
      <c r="A99" s="5" t="s">
        <v>142</v>
      </c>
      <c r="B99" s="5" t="s">
        <v>10</v>
      </c>
      <c r="C99" s="5">
        <v>230</v>
      </c>
      <c r="D99" s="5">
        <v>98</v>
      </c>
    </row>
    <row r="100" spans="1:4" x14ac:dyDescent="0.3">
      <c r="A100" s="5" t="s">
        <v>256</v>
      </c>
      <c r="B100" s="5" t="s">
        <v>50</v>
      </c>
      <c r="C100" s="5">
        <v>231</v>
      </c>
      <c r="D100" s="5">
        <v>99</v>
      </c>
    </row>
    <row r="101" spans="1:4" x14ac:dyDescent="0.3">
      <c r="A101" s="5" t="s">
        <v>569</v>
      </c>
      <c r="B101" s="5" t="s">
        <v>50</v>
      </c>
      <c r="C101" s="5">
        <v>234</v>
      </c>
      <c r="D101" s="5">
        <v>100</v>
      </c>
    </row>
    <row r="102" spans="1:4" x14ac:dyDescent="0.3">
      <c r="A102" s="5" t="s">
        <v>302</v>
      </c>
      <c r="B102" s="5" t="s">
        <v>50</v>
      </c>
      <c r="C102" s="5">
        <v>236</v>
      </c>
      <c r="D102" s="5">
        <v>101</v>
      </c>
    </row>
    <row r="103" spans="1:4" x14ac:dyDescent="0.3">
      <c r="A103" s="5" t="s">
        <v>275</v>
      </c>
      <c r="B103" s="5" t="s">
        <v>50</v>
      </c>
      <c r="C103" s="5">
        <v>237</v>
      </c>
      <c r="D103" s="5">
        <v>102</v>
      </c>
    </row>
    <row r="104" spans="1:4" x14ac:dyDescent="0.3">
      <c r="A104" s="5" t="s">
        <v>124</v>
      </c>
      <c r="B104" s="5" t="s">
        <v>10</v>
      </c>
      <c r="C104" s="5">
        <v>241</v>
      </c>
      <c r="D104" s="5">
        <v>103</v>
      </c>
    </row>
    <row r="105" spans="1:4" x14ac:dyDescent="0.3">
      <c r="A105" s="5" t="s">
        <v>170</v>
      </c>
      <c r="B105" s="5" t="s">
        <v>10</v>
      </c>
      <c r="C105" s="5">
        <v>242</v>
      </c>
      <c r="D105" s="5">
        <v>104</v>
      </c>
    </row>
    <row r="106" spans="1:4" x14ac:dyDescent="0.3">
      <c r="A106" s="5" t="s">
        <v>193</v>
      </c>
      <c r="B106" s="5" t="s">
        <v>10</v>
      </c>
      <c r="C106" s="5">
        <v>243</v>
      </c>
      <c r="D106" s="5">
        <v>105</v>
      </c>
    </row>
    <row r="107" spans="1:4" x14ac:dyDescent="0.3">
      <c r="A107" s="5" t="s">
        <v>549</v>
      </c>
      <c r="B107" s="5" t="s">
        <v>50</v>
      </c>
      <c r="C107" s="5">
        <v>244</v>
      </c>
      <c r="D107" s="5">
        <v>106</v>
      </c>
    </row>
    <row r="108" spans="1:4" x14ac:dyDescent="0.3">
      <c r="A108" s="5" t="s">
        <v>178</v>
      </c>
      <c r="B108" s="5" t="s">
        <v>10</v>
      </c>
      <c r="C108" s="5">
        <v>247</v>
      </c>
      <c r="D108" s="5">
        <v>107</v>
      </c>
    </row>
    <row r="109" spans="1:4" x14ac:dyDescent="0.3">
      <c r="A109" s="5" t="s">
        <v>212</v>
      </c>
      <c r="B109" s="5" t="s">
        <v>10</v>
      </c>
      <c r="C109" s="5">
        <v>249</v>
      </c>
      <c r="D109" s="5">
        <v>108</v>
      </c>
    </row>
    <row r="110" spans="1:4" x14ac:dyDescent="0.3">
      <c r="A110" s="5" t="s">
        <v>189</v>
      </c>
      <c r="B110" s="5" t="s">
        <v>10</v>
      </c>
      <c r="C110" s="5">
        <v>252</v>
      </c>
      <c r="D110" s="5">
        <v>109</v>
      </c>
    </row>
    <row r="111" spans="1:4" x14ac:dyDescent="0.3">
      <c r="A111" s="15" t="s">
        <v>721</v>
      </c>
      <c r="B111" s="5" t="s">
        <v>50</v>
      </c>
      <c r="C111" s="5">
        <v>253</v>
      </c>
      <c r="D111" s="5">
        <v>110</v>
      </c>
    </row>
    <row r="112" spans="1:4" x14ac:dyDescent="0.3">
      <c r="A112" s="15" t="s">
        <v>221</v>
      </c>
      <c r="B112" s="5" t="s">
        <v>10</v>
      </c>
      <c r="C112" s="5">
        <v>254</v>
      </c>
      <c r="D112" s="5">
        <v>111</v>
      </c>
    </row>
    <row r="113" spans="1:4" x14ac:dyDescent="0.3">
      <c r="A113" s="15" t="s">
        <v>219</v>
      </c>
      <c r="B113" s="5" t="s">
        <v>10</v>
      </c>
      <c r="C113" s="5">
        <v>256</v>
      </c>
      <c r="D113" s="5">
        <v>112</v>
      </c>
    </row>
    <row r="114" spans="1:4" x14ac:dyDescent="0.3">
      <c r="A114" s="15" t="s">
        <v>222</v>
      </c>
      <c r="B114" s="5" t="s">
        <v>50</v>
      </c>
      <c r="C114" s="5">
        <v>259</v>
      </c>
      <c r="D114" s="5">
        <v>113</v>
      </c>
    </row>
    <row r="115" spans="1:4" x14ac:dyDescent="0.3">
      <c r="A115" s="15" t="s">
        <v>203</v>
      </c>
      <c r="B115" s="5" t="s">
        <v>10</v>
      </c>
      <c r="C115" s="5">
        <v>261</v>
      </c>
      <c r="D115" s="5">
        <v>114</v>
      </c>
    </row>
    <row r="116" spans="1:4" x14ac:dyDescent="0.3">
      <c r="A116" s="15" t="s">
        <v>314</v>
      </c>
      <c r="B116" s="5" t="s">
        <v>50</v>
      </c>
      <c r="C116" s="5">
        <v>262</v>
      </c>
      <c r="D116" s="5">
        <v>115</v>
      </c>
    </row>
    <row r="117" spans="1:4" x14ac:dyDescent="0.3">
      <c r="A117" s="15" t="s">
        <v>548</v>
      </c>
      <c r="B117" s="5" t="s">
        <v>50</v>
      </c>
      <c r="C117" s="5">
        <v>264</v>
      </c>
      <c r="D117" s="5">
        <v>116</v>
      </c>
    </row>
    <row r="118" spans="1:4" x14ac:dyDescent="0.3">
      <c r="A118" s="15" t="s">
        <v>235</v>
      </c>
      <c r="B118" s="5" t="s">
        <v>50</v>
      </c>
      <c r="C118" s="5">
        <v>267</v>
      </c>
      <c r="D118" s="5">
        <v>117</v>
      </c>
    </row>
    <row r="119" spans="1:4" x14ac:dyDescent="0.3">
      <c r="A119" s="15" t="s">
        <v>216</v>
      </c>
      <c r="B119" s="5" t="s">
        <v>50</v>
      </c>
      <c r="C119" s="5">
        <v>269</v>
      </c>
      <c r="D119" s="5">
        <v>118</v>
      </c>
    </row>
    <row r="120" spans="1:4" x14ac:dyDescent="0.3">
      <c r="A120" s="15" t="s">
        <v>551</v>
      </c>
      <c r="B120" s="5" t="s">
        <v>50</v>
      </c>
      <c r="C120" s="5">
        <v>270</v>
      </c>
      <c r="D120" s="5">
        <v>119</v>
      </c>
    </row>
    <row r="121" spans="1:4" x14ac:dyDescent="0.3">
      <c r="A121" s="15" t="s">
        <v>229</v>
      </c>
      <c r="B121" s="5" t="s">
        <v>10</v>
      </c>
      <c r="C121" s="5">
        <v>272</v>
      </c>
      <c r="D121" s="5">
        <v>120</v>
      </c>
    </row>
    <row r="122" spans="1:4" x14ac:dyDescent="0.3">
      <c r="A122" s="15" t="s">
        <v>305</v>
      </c>
      <c r="B122" s="5" t="s">
        <v>50</v>
      </c>
      <c r="C122" s="5">
        <v>273</v>
      </c>
      <c r="D122" s="5">
        <v>121</v>
      </c>
    </row>
    <row r="123" spans="1:4" x14ac:dyDescent="0.3">
      <c r="A123" s="15" t="s">
        <v>311</v>
      </c>
      <c r="B123" s="5" t="s">
        <v>10</v>
      </c>
      <c r="C123" s="5">
        <v>274</v>
      </c>
      <c r="D123" s="5">
        <v>122</v>
      </c>
    </row>
    <row r="124" spans="1:4" x14ac:dyDescent="0.3">
      <c r="A124" s="15" t="s">
        <v>232</v>
      </c>
      <c r="B124" s="5" t="s">
        <v>10</v>
      </c>
      <c r="C124" s="5">
        <v>275</v>
      </c>
      <c r="D124" s="5">
        <v>123</v>
      </c>
    </row>
    <row r="125" spans="1:4" x14ac:dyDescent="0.3">
      <c r="A125" s="15" t="s">
        <v>295</v>
      </c>
      <c r="B125" s="5" t="s">
        <v>10</v>
      </c>
      <c r="C125" s="5">
        <v>276</v>
      </c>
      <c r="D125" s="5">
        <v>124</v>
      </c>
    </row>
    <row r="126" spans="1:4" x14ac:dyDescent="0.3">
      <c r="A126" s="15" t="s">
        <v>208</v>
      </c>
      <c r="B126" s="5" t="s">
        <v>10</v>
      </c>
      <c r="C126" s="5">
        <v>277</v>
      </c>
      <c r="D126" s="5">
        <v>125</v>
      </c>
    </row>
    <row r="127" spans="1:4" x14ac:dyDescent="0.3">
      <c r="A127" s="15" t="s">
        <v>214</v>
      </c>
      <c r="B127" s="5" t="s">
        <v>10</v>
      </c>
      <c r="C127" s="5">
        <v>279</v>
      </c>
      <c r="D127" s="5">
        <v>126</v>
      </c>
    </row>
    <row r="128" spans="1:4" x14ac:dyDescent="0.3">
      <c r="A128" s="15" t="s">
        <v>197</v>
      </c>
      <c r="B128" s="5" t="s">
        <v>10</v>
      </c>
      <c r="C128" s="5">
        <v>280</v>
      </c>
      <c r="D128" s="5">
        <v>127</v>
      </c>
    </row>
    <row r="129" spans="1:4" x14ac:dyDescent="0.3">
      <c r="A129" s="15" t="s">
        <v>160</v>
      </c>
      <c r="B129" s="5" t="s">
        <v>10</v>
      </c>
      <c r="C129" s="5">
        <v>281</v>
      </c>
      <c r="D129" s="5">
        <v>128</v>
      </c>
    </row>
    <row r="130" spans="1:4" x14ac:dyDescent="0.3">
      <c r="A130" s="15" t="s">
        <v>555</v>
      </c>
      <c r="B130" s="5" t="s">
        <v>50</v>
      </c>
      <c r="C130" s="5">
        <v>282</v>
      </c>
      <c r="D130" s="5">
        <v>129</v>
      </c>
    </row>
    <row r="131" spans="1:4" x14ac:dyDescent="0.3">
      <c r="A131" s="15" t="s">
        <v>250</v>
      </c>
      <c r="B131" s="5" t="s">
        <v>50</v>
      </c>
      <c r="C131" s="5">
        <v>283</v>
      </c>
      <c r="D131" s="5">
        <v>130</v>
      </c>
    </row>
    <row r="132" spans="1:4" x14ac:dyDescent="0.3">
      <c r="A132" s="15" t="s">
        <v>252</v>
      </c>
      <c r="B132" s="5" t="s">
        <v>10</v>
      </c>
      <c r="C132" s="5">
        <v>284</v>
      </c>
      <c r="D132" s="5">
        <v>131</v>
      </c>
    </row>
    <row r="133" spans="1:4" x14ac:dyDescent="0.3">
      <c r="A133" s="15" t="s">
        <v>209</v>
      </c>
      <c r="B133" s="5" t="s">
        <v>50</v>
      </c>
      <c r="C133" s="5">
        <v>286</v>
      </c>
      <c r="D133" s="5">
        <v>132</v>
      </c>
    </row>
    <row r="134" spans="1:4" x14ac:dyDescent="0.3">
      <c r="A134" s="15" t="s">
        <v>277</v>
      </c>
      <c r="B134" s="5" t="s">
        <v>10</v>
      </c>
      <c r="C134" s="5">
        <v>288</v>
      </c>
      <c r="D134" s="5">
        <v>133</v>
      </c>
    </row>
    <row r="135" spans="1:4" x14ac:dyDescent="0.3">
      <c r="A135" s="15" t="s">
        <v>600</v>
      </c>
      <c r="B135" s="5" t="s">
        <v>10</v>
      </c>
      <c r="C135" s="5">
        <v>289</v>
      </c>
      <c r="D135" s="5">
        <v>134</v>
      </c>
    </row>
    <row r="136" spans="1:4" x14ac:dyDescent="0.3">
      <c r="A136" s="15" t="s">
        <v>260</v>
      </c>
      <c r="B136" s="5" t="s">
        <v>10</v>
      </c>
      <c r="C136" s="5">
        <v>290</v>
      </c>
      <c r="D136" s="5">
        <v>135</v>
      </c>
    </row>
    <row r="137" spans="1:4" x14ac:dyDescent="0.3">
      <c r="A137" s="15" t="s">
        <v>223</v>
      </c>
      <c r="B137" s="5" t="s">
        <v>50</v>
      </c>
      <c r="C137" s="5">
        <v>291</v>
      </c>
      <c r="D137" s="5">
        <v>136</v>
      </c>
    </row>
    <row r="138" spans="1:4" x14ac:dyDescent="0.3">
      <c r="A138" s="15" t="s">
        <v>267</v>
      </c>
      <c r="B138" s="5" t="s">
        <v>50</v>
      </c>
      <c r="C138" s="5">
        <v>294</v>
      </c>
      <c r="D138" s="5">
        <v>137</v>
      </c>
    </row>
    <row r="139" spans="1:4" x14ac:dyDescent="0.3">
      <c r="A139" s="15" t="s">
        <v>261</v>
      </c>
      <c r="B139" s="5" t="s">
        <v>50</v>
      </c>
      <c r="C139" s="5">
        <v>295</v>
      </c>
      <c r="D139" s="5">
        <v>138</v>
      </c>
    </row>
    <row r="140" spans="1:4" x14ac:dyDescent="0.3">
      <c r="A140" s="15" t="s">
        <v>248</v>
      </c>
      <c r="B140" s="5" t="s">
        <v>10</v>
      </c>
      <c r="C140" s="5">
        <v>296</v>
      </c>
      <c r="D140" s="5">
        <v>139</v>
      </c>
    </row>
    <row r="141" spans="1:4" x14ac:dyDescent="0.3">
      <c r="A141" s="15" t="s">
        <v>237</v>
      </c>
      <c r="B141" s="5" t="s">
        <v>152</v>
      </c>
      <c r="C141" s="5">
        <v>298</v>
      </c>
      <c r="D141" s="5">
        <v>140</v>
      </c>
    </row>
    <row r="142" spans="1:4" x14ac:dyDescent="0.3">
      <c r="A142" s="15" t="s">
        <v>187</v>
      </c>
      <c r="B142" s="5" t="s">
        <v>50</v>
      </c>
      <c r="C142" s="5">
        <v>299</v>
      </c>
      <c r="D142" s="5">
        <v>141</v>
      </c>
    </row>
    <row r="143" spans="1:4" x14ac:dyDescent="0.3">
      <c r="A143" s="15" t="s">
        <v>246</v>
      </c>
      <c r="B143" s="5" t="s">
        <v>10</v>
      </c>
      <c r="C143" s="5">
        <v>300</v>
      </c>
      <c r="D143" s="5">
        <v>142</v>
      </c>
    </row>
    <row r="144" spans="1:4" x14ac:dyDescent="0.3">
      <c r="A144" s="15" t="s">
        <v>207</v>
      </c>
      <c r="B144" s="5" t="s">
        <v>10</v>
      </c>
      <c r="C144" s="5">
        <v>304</v>
      </c>
      <c r="D144" s="5">
        <v>143</v>
      </c>
    </row>
    <row r="145" spans="1:4" x14ac:dyDescent="0.3">
      <c r="A145" s="15" t="s">
        <v>184</v>
      </c>
      <c r="B145" s="5" t="s">
        <v>10</v>
      </c>
      <c r="C145" s="5">
        <v>306</v>
      </c>
      <c r="D145" s="5">
        <v>144</v>
      </c>
    </row>
    <row r="146" spans="1:4" x14ac:dyDescent="0.3">
      <c r="A146" s="15" t="s">
        <v>271</v>
      </c>
      <c r="B146" s="5" t="s">
        <v>50</v>
      </c>
      <c r="C146" s="5">
        <v>307</v>
      </c>
      <c r="D146" s="5">
        <v>145</v>
      </c>
    </row>
    <row r="147" spans="1:4" x14ac:dyDescent="0.3">
      <c r="A147" s="15" t="s">
        <v>325</v>
      </c>
      <c r="B147" s="5" t="s">
        <v>50</v>
      </c>
      <c r="C147" s="5">
        <v>308</v>
      </c>
      <c r="D147" s="5">
        <v>146</v>
      </c>
    </row>
    <row r="148" spans="1:4" x14ac:dyDescent="0.3">
      <c r="A148" s="15" t="s">
        <v>230</v>
      </c>
      <c r="B148" s="5" t="s">
        <v>152</v>
      </c>
      <c r="C148" s="5">
        <v>310</v>
      </c>
      <c r="D148" s="5">
        <v>147</v>
      </c>
    </row>
    <row r="149" spans="1:4" x14ac:dyDescent="0.3">
      <c r="A149" s="15" t="s">
        <v>249</v>
      </c>
      <c r="B149" s="5" t="s">
        <v>152</v>
      </c>
      <c r="C149" s="5">
        <v>311</v>
      </c>
      <c r="D149" s="5">
        <v>148</v>
      </c>
    </row>
    <row r="150" spans="1:4" x14ac:dyDescent="0.3">
      <c r="A150" s="15" t="s">
        <v>218</v>
      </c>
      <c r="B150" s="5" t="s">
        <v>10</v>
      </c>
      <c r="C150" s="5">
        <v>312</v>
      </c>
      <c r="D150" s="5">
        <v>149</v>
      </c>
    </row>
    <row r="151" spans="1:4" x14ac:dyDescent="0.3">
      <c r="A151" s="15" t="s">
        <v>552</v>
      </c>
      <c r="B151" s="5" t="s">
        <v>50</v>
      </c>
      <c r="C151" s="5">
        <v>315</v>
      </c>
      <c r="D151" s="5">
        <v>150</v>
      </c>
    </row>
    <row r="152" spans="1:4" x14ac:dyDescent="0.3">
      <c r="A152" s="15" t="s">
        <v>253</v>
      </c>
      <c r="B152" s="5" t="s">
        <v>50</v>
      </c>
      <c r="C152" s="5">
        <v>318</v>
      </c>
      <c r="D152" s="5">
        <v>151</v>
      </c>
    </row>
    <row r="153" spans="1:4" x14ac:dyDescent="0.3">
      <c r="A153" s="15" t="s">
        <v>643</v>
      </c>
      <c r="B153" s="5" t="s">
        <v>50</v>
      </c>
      <c r="C153" s="5">
        <v>319</v>
      </c>
      <c r="D153" s="5">
        <v>152</v>
      </c>
    </row>
    <row r="154" spans="1:4" x14ac:dyDescent="0.3">
      <c r="A154" s="15" t="s">
        <v>204</v>
      </c>
      <c r="B154" s="5" t="s">
        <v>10</v>
      </c>
      <c r="C154" s="5">
        <v>321</v>
      </c>
      <c r="D154" s="5">
        <v>153</v>
      </c>
    </row>
    <row r="155" spans="1:4" x14ac:dyDescent="0.3">
      <c r="A155" s="15" t="s">
        <v>312</v>
      </c>
      <c r="B155" s="5" t="s">
        <v>50</v>
      </c>
      <c r="C155" s="5">
        <v>322</v>
      </c>
      <c r="D155" s="5">
        <v>154</v>
      </c>
    </row>
    <row r="156" spans="1:4" x14ac:dyDescent="0.3">
      <c r="A156" s="15" t="s">
        <v>286</v>
      </c>
      <c r="B156" s="5" t="s">
        <v>10</v>
      </c>
      <c r="C156" s="5">
        <v>323</v>
      </c>
      <c r="D156" s="5">
        <v>155</v>
      </c>
    </row>
    <row r="157" spans="1:4" x14ac:dyDescent="0.3">
      <c r="A157" s="15" t="s">
        <v>211</v>
      </c>
      <c r="B157" s="5" t="s">
        <v>10</v>
      </c>
      <c r="C157" s="5">
        <v>324</v>
      </c>
      <c r="D157" s="5">
        <v>156</v>
      </c>
    </row>
    <row r="158" spans="1:4" x14ac:dyDescent="0.3">
      <c r="A158" s="15" t="s">
        <v>269</v>
      </c>
      <c r="B158" s="5" t="s">
        <v>10</v>
      </c>
      <c r="C158" s="5">
        <v>325</v>
      </c>
      <c r="D158" s="5">
        <v>157</v>
      </c>
    </row>
    <row r="159" spans="1:4" x14ac:dyDescent="0.3">
      <c r="A159" s="15" t="s">
        <v>293</v>
      </c>
      <c r="B159" s="5" t="s">
        <v>10</v>
      </c>
      <c r="C159" s="5">
        <v>327</v>
      </c>
      <c r="D159" s="5">
        <v>158</v>
      </c>
    </row>
    <row r="160" spans="1:4" x14ac:dyDescent="0.3">
      <c r="A160" s="15" t="s">
        <v>303</v>
      </c>
      <c r="B160" s="5" t="s">
        <v>50</v>
      </c>
      <c r="C160" s="5">
        <v>329</v>
      </c>
      <c r="D160" s="5">
        <v>159</v>
      </c>
    </row>
    <row r="161" spans="1:4" x14ac:dyDescent="0.3">
      <c r="A161" s="15" t="s">
        <v>231</v>
      </c>
      <c r="B161" s="5" t="s">
        <v>10</v>
      </c>
      <c r="C161" s="5">
        <v>330</v>
      </c>
      <c r="D161" s="5">
        <v>160</v>
      </c>
    </row>
    <row r="162" spans="1:4" x14ac:dyDescent="0.3">
      <c r="A162" s="15" t="s">
        <v>270</v>
      </c>
      <c r="B162" s="5" t="s">
        <v>152</v>
      </c>
      <c r="C162" s="5">
        <v>332</v>
      </c>
      <c r="D162" s="5">
        <v>161</v>
      </c>
    </row>
    <row r="163" spans="1:4" x14ac:dyDescent="0.3">
      <c r="A163" s="15" t="s">
        <v>183</v>
      </c>
      <c r="B163" s="5" t="s">
        <v>10</v>
      </c>
      <c r="C163" s="5">
        <v>334</v>
      </c>
      <c r="D163" s="5">
        <v>162</v>
      </c>
    </row>
    <row r="164" spans="1:4" x14ac:dyDescent="0.3">
      <c r="A164" s="15" t="s">
        <v>553</v>
      </c>
      <c r="B164" s="5" t="s">
        <v>50</v>
      </c>
      <c r="C164" s="5">
        <v>337</v>
      </c>
      <c r="D164" s="5">
        <v>163</v>
      </c>
    </row>
    <row r="165" spans="1:4" x14ac:dyDescent="0.3">
      <c r="A165" s="15" t="s">
        <v>285</v>
      </c>
      <c r="B165" s="5" t="s">
        <v>10</v>
      </c>
      <c r="C165" s="5">
        <v>341</v>
      </c>
      <c r="D165" s="5">
        <v>164</v>
      </c>
    </row>
    <row r="166" spans="1:4" x14ac:dyDescent="0.3">
      <c r="A166" s="15" t="s">
        <v>242</v>
      </c>
      <c r="B166" s="5" t="s">
        <v>10</v>
      </c>
      <c r="C166" s="5">
        <v>343</v>
      </c>
      <c r="D166" s="5">
        <v>165</v>
      </c>
    </row>
    <row r="167" spans="1:4" x14ac:dyDescent="0.3">
      <c r="A167" s="15" t="s">
        <v>550</v>
      </c>
      <c r="B167" s="5" t="s">
        <v>50</v>
      </c>
      <c r="C167" s="5">
        <v>344</v>
      </c>
      <c r="D167" s="5">
        <v>166</v>
      </c>
    </row>
    <row r="168" spans="1:4" x14ac:dyDescent="0.3">
      <c r="A168" s="15" t="s">
        <v>571</v>
      </c>
      <c r="B168" s="5" t="s">
        <v>50</v>
      </c>
      <c r="C168" s="5">
        <v>346</v>
      </c>
      <c r="D168" s="5">
        <v>167</v>
      </c>
    </row>
    <row r="169" spans="1:4" x14ac:dyDescent="0.3">
      <c r="A169" s="15" t="s">
        <v>601</v>
      </c>
      <c r="B169" s="5" t="s">
        <v>10</v>
      </c>
      <c r="C169" s="5">
        <v>348</v>
      </c>
      <c r="D169" s="5">
        <v>168</v>
      </c>
    </row>
    <row r="170" spans="1:4" x14ac:dyDescent="0.3">
      <c r="A170" s="15" t="s">
        <v>564</v>
      </c>
      <c r="B170" s="5" t="s">
        <v>50</v>
      </c>
      <c r="C170" s="5">
        <v>352</v>
      </c>
      <c r="D170" s="5">
        <v>169</v>
      </c>
    </row>
    <row r="171" spans="1:4" x14ac:dyDescent="0.3">
      <c r="A171" s="15" t="s">
        <v>283</v>
      </c>
      <c r="B171" s="5" t="s">
        <v>10</v>
      </c>
      <c r="C171" s="5">
        <v>357</v>
      </c>
      <c r="D171" s="5">
        <v>170</v>
      </c>
    </row>
    <row r="172" spans="1:4" x14ac:dyDescent="0.3">
      <c r="A172" s="15" t="s">
        <v>233</v>
      </c>
      <c r="B172" s="5" t="s">
        <v>10</v>
      </c>
      <c r="C172" s="5">
        <v>359</v>
      </c>
      <c r="D172" s="5">
        <v>171</v>
      </c>
    </row>
    <row r="173" spans="1:4" x14ac:dyDescent="0.3">
      <c r="A173" s="15" t="s">
        <v>310</v>
      </c>
      <c r="B173" s="5" t="s">
        <v>50</v>
      </c>
      <c r="C173" s="5">
        <v>360</v>
      </c>
      <c r="D173" s="5">
        <v>172</v>
      </c>
    </row>
    <row r="174" spans="1:4" x14ac:dyDescent="0.3">
      <c r="A174" s="15" t="s">
        <v>274</v>
      </c>
      <c r="B174" s="5" t="s">
        <v>10</v>
      </c>
      <c r="C174" s="5">
        <v>361</v>
      </c>
      <c r="D174" s="5">
        <v>173</v>
      </c>
    </row>
    <row r="175" spans="1:4" x14ac:dyDescent="0.3">
      <c r="A175" s="15" t="s">
        <v>330</v>
      </c>
      <c r="B175" s="5" t="s">
        <v>50</v>
      </c>
      <c r="C175" s="5">
        <v>364</v>
      </c>
      <c r="D175" s="5">
        <v>174</v>
      </c>
    </row>
    <row r="176" spans="1:4" x14ac:dyDescent="0.3">
      <c r="A176" s="10" t="s">
        <v>262</v>
      </c>
      <c r="B176" s="5" t="s">
        <v>152</v>
      </c>
      <c r="C176" s="5">
        <v>366</v>
      </c>
      <c r="D176" s="5">
        <v>175</v>
      </c>
    </row>
    <row r="177" spans="1:4" x14ac:dyDescent="0.3">
      <c r="A177" s="16" t="s">
        <v>644</v>
      </c>
      <c r="B177" s="5" t="s">
        <v>50</v>
      </c>
      <c r="C177" s="5">
        <v>367</v>
      </c>
      <c r="D177" s="5">
        <v>176</v>
      </c>
    </row>
    <row r="178" spans="1:4" x14ac:dyDescent="0.3">
      <c r="A178" s="15" t="s">
        <v>162</v>
      </c>
      <c r="B178" s="5" t="s">
        <v>10</v>
      </c>
      <c r="C178" s="5">
        <v>370</v>
      </c>
      <c r="D178" s="5">
        <v>177</v>
      </c>
    </row>
    <row r="179" spans="1:4" x14ac:dyDescent="0.3">
      <c r="A179" s="15" t="s">
        <v>300</v>
      </c>
      <c r="B179" s="5" t="s">
        <v>10</v>
      </c>
      <c r="C179" s="5">
        <v>373</v>
      </c>
      <c r="D179" s="5">
        <v>178</v>
      </c>
    </row>
    <row r="180" spans="1:4" x14ac:dyDescent="0.3">
      <c r="A180" s="15" t="s">
        <v>570</v>
      </c>
      <c r="B180" s="5" t="s">
        <v>50</v>
      </c>
      <c r="C180" s="5">
        <v>375</v>
      </c>
      <c r="D180" s="5">
        <v>179</v>
      </c>
    </row>
    <row r="181" spans="1:4" x14ac:dyDescent="0.3">
      <c r="A181" s="15" t="s">
        <v>296</v>
      </c>
      <c r="B181" s="5" t="s">
        <v>10</v>
      </c>
      <c r="C181" s="5">
        <v>378</v>
      </c>
      <c r="D181" s="5">
        <v>180</v>
      </c>
    </row>
    <row r="182" spans="1:4" x14ac:dyDescent="0.3">
      <c r="A182" s="15" t="s">
        <v>572</v>
      </c>
      <c r="B182" s="5" t="s">
        <v>50</v>
      </c>
      <c r="C182" s="5">
        <v>379</v>
      </c>
      <c r="D182" s="5">
        <v>181</v>
      </c>
    </row>
    <row r="183" spans="1:4" x14ac:dyDescent="0.3">
      <c r="A183" s="15" t="s">
        <v>289</v>
      </c>
      <c r="B183" s="5" t="s">
        <v>50</v>
      </c>
      <c r="C183" s="5">
        <v>380</v>
      </c>
      <c r="D183" s="5">
        <v>182</v>
      </c>
    </row>
    <row r="184" spans="1:4" x14ac:dyDescent="0.3">
      <c r="A184" s="15" t="s">
        <v>823</v>
      </c>
      <c r="B184" s="5" t="s">
        <v>10</v>
      </c>
      <c r="C184" s="5">
        <v>381</v>
      </c>
      <c r="D184" s="5">
        <v>183</v>
      </c>
    </row>
    <row r="185" spans="1:4" x14ac:dyDescent="0.3">
      <c r="A185" s="15" t="s">
        <v>288</v>
      </c>
      <c r="B185" s="5" t="s">
        <v>152</v>
      </c>
      <c r="C185" s="5">
        <v>382</v>
      </c>
      <c r="D185" s="5">
        <v>184</v>
      </c>
    </row>
    <row r="186" spans="1:4" x14ac:dyDescent="0.3">
      <c r="A186" s="10" t="s">
        <v>646</v>
      </c>
      <c r="B186" s="5" t="s">
        <v>50</v>
      </c>
      <c r="C186" s="5">
        <v>387</v>
      </c>
      <c r="D186" s="5">
        <v>185</v>
      </c>
    </row>
    <row r="187" spans="1:4" x14ac:dyDescent="0.3">
      <c r="A187" s="15" t="s">
        <v>336</v>
      </c>
      <c r="B187" s="5" t="s">
        <v>50</v>
      </c>
      <c r="C187" s="5">
        <v>388</v>
      </c>
      <c r="D187" s="5">
        <v>186</v>
      </c>
    </row>
    <row r="188" spans="1:4" x14ac:dyDescent="0.3">
      <c r="A188" s="15" t="s">
        <v>228</v>
      </c>
      <c r="B188" s="5" t="s">
        <v>10</v>
      </c>
      <c r="C188" s="5">
        <v>392</v>
      </c>
      <c r="D188" s="5">
        <v>187</v>
      </c>
    </row>
    <row r="189" spans="1:4" x14ac:dyDescent="0.3">
      <c r="A189" s="15" t="s">
        <v>726</v>
      </c>
      <c r="B189" s="5" t="s">
        <v>264</v>
      </c>
      <c r="C189" s="5">
        <v>397</v>
      </c>
      <c r="D189" s="5">
        <v>188</v>
      </c>
    </row>
    <row r="190" spans="1:4" x14ac:dyDescent="0.3">
      <c r="A190" s="15" t="s">
        <v>602</v>
      </c>
      <c r="B190" s="5" t="s">
        <v>10</v>
      </c>
      <c r="C190" s="5">
        <v>398</v>
      </c>
      <c r="D190" s="5">
        <v>189</v>
      </c>
    </row>
    <row r="191" spans="1:4" x14ac:dyDescent="0.3">
      <c r="A191" s="15" t="s">
        <v>318</v>
      </c>
      <c r="B191" s="5" t="s">
        <v>152</v>
      </c>
      <c r="C191" s="5">
        <v>399</v>
      </c>
      <c r="D191" s="5">
        <v>190</v>
      </c>
    </row>
    <row r="192" spans="1:4" x14ac:dyDescent="0.3">
      <c r="A192" s="15" t="s">
        <v>307</v>
      </c>
      <c r="B192" s="5" t="s">
        <v>10</v>
      </c>
      <c r="C192" s="5">
        <v>400</v>
      </c>
      <c r="D192" s="5">
        <v>191</v>
      </c>
    </row>
    <row r="193" spans="1:5" x14ac:dyDescent="0.3">
      <c r="A193" s="15" t="s">
        <v>566</v>
      </c>
      <c r="B193" s="5" t="s">
        <v>50</v>
      </c>
      <c r="C193" s="5">
        <v>402</v>
      </c>
      <c r="D193" s="5">
        <v>192</v>
      </c>
    </row>
    <row r="194" spans="1:5" x14ac:dyDescent="0.3">
      <c r="A194" s="15" t="s">
        <v>338</v>
      </c>
      <c r="B194" s="5" t="s">
        <v>10</v>
      </c>
      <c r="C194" s="5">
        <v>405</v>
      </c>
      <c r="D194" s="5">
        <v>193</v>
      </c>
      <c r="E194" t="s">
        <v>914</v>
      </c>
    </row>
    <row r="195" spans="1:5" x14ac:dyDescent="0.3">
      <c r="A195" s="15" t="s">
        <v>320</v>
      </c>
      <c r="B195" s="5" t="s">
        <v>10</v>
      </c>
      <c r="C195" s="5">
        <v>407</v>
      </c>
      <c r="D195" s="5">
        <v>194</v>
      </c>
      <c r="E195" t="s">
        <v>1001</v>
      </c>
    </row>
    <row r="196" spans="1:5" x14ac:dyDescent="0.3">
      <c r="A196" s="15" t="s">
        <v>334</v>
      </c>
      <c r="B196" s="5" t="s">
        <v>10</v>
      </c>
      <c r="C196" s="5">
        <v>408</v>
      </c>
      <c r="D196" s="5">
        <v>195</v>
      </c>
      <c r="E196" t="s">
        <v>1001</v>
      </c>
    </row>
    <row r="197" spans="1:5" x14ac:dyDescent="0.3">
      <c r="A197" s="15" t="s">
        <v>554</v>
      </c>
      <c r="B197" s="5" t="s">
        <v>50</v>
      </c>
      <c r="C197" s="5">
        <v>409</v>
      </c>
      <c r="D197" s="5">
        <v>196</v>
      </c>
    </row>
    <row r="198" spans="1:5" x14ac:dyDescent="0.3">
      <c r="A198" s="15" t="s">
        <v>301</v>
      </c>
      <c r="B198" s="5" t="s">
        <v>10</v>
      </c>
      <c r="C198" s="5">
        <v>411</v>
      </c>
      <c r="D198" s="5">
        <v>197</v>
      </c>
      <c r="E198" t="s">
        <v>1001</v>
      </c>
    </row>
    <row r="199" spans="1:5" x14ac:dyDescent="0.3">
      <c r="A199" s="15" t="s">
        <v>452</v>
      </c>
      <c r="B199" s="5" t="s">
        <v>50</v>
      </c>
      <c r="C199" s="5">
        <v>413</v>
      </c>
      <c r="D199" s="5">
        <v>198</v>
      </c>
    </row>
    <row r="200" spans="1:5" x14ac:dyDescent="0.3">
      <c r="A200" s="15" t="s">
        <v>345</v>
      </c>
      <c r="B200" s="5" t="s">
        <v>152</v>
      </c>
      <c r="C200" s="5">
        <v>420</v>
      </c>
      <c r="D200" s="5">
        <v>199</v>
      </c>
    </row>
    <row r="201" spans="1:5" x14ac:dyDescent="0.3">
      <c r="A201" s="15" t="s">
        <v>313</v>
      </c>
      <c r="B201" s="5" t="s">
        <v>50</v>
      </c>
      <c r="C201" s="5">
        <v>421</v>
      </c>
      <c r="D201" s="5">
        <v>200</v>
      </c>
    </row>
    <row r="202" spans="1:5" x14ac:dyDescent="0.3">
      <c r="A202" s="15" t="s">
        <v>432</v>
      </c>
      <c r="B202" s="5" t="s">
        <v>152</v>
      </c>
      <c r="C202" s="5">
        <v>422</v>
      </c>
      <c r="D202" s="5">
        <v>201</v>
      </c>
    </row>
    <row r="203" spans="1:5" x14ac:dyDescent="0.3">
      <c r="A203" s="15" t="s">
        <v>339</v>
      </c>
      <c r="B203" s="5" t="s">
        <v>10</v>
      </c>
      <c r="C203" s="5">
        <v>423</v>
      </c>
      <c r="D203" s="5">
        <v>202</v>
      </c>
      <c r="E203" t="s">
        <v>1002</v>
      </c>
    </row>
    <row r="204" spans="1:5" x14ac:dyDescent="0.3">
      <c r="A204" s="15" t="s">
        <v>563</v>
      </c>
      <c r="B204" s="5" t="s">
        <v>50</v>
      </c>
      <c r="C204" s="5">
        <v>425</v>
      </c>
      <c r="D204" s="5">
        <v>203</v>
      </c>
    </row>
    <row r="205" spans="1:5" x14ac:dyDescent="0.3">
      <c r="A205" s="15" t="s">
        <v>369</v>
      </c>
      <c r="B205" s="5" t="s">
        <v>50</v>
      </c>
      <c r="C205" s="5">
        <v>426</v>
      </c>
      <c r="D205" s="5">
        <v>204</v>
      </c>
    </row>
    <row r="206" spans="1:5" x14ac:dyDescent="0.3">
      <c r="A206" s="15" t="s">
        <v>560</v>
      </c>
      <c r="B206" s="5" t="s">
        <v>50</v>
      </c>
      <c r="C206" s="5">
        <v>428</v>
      </c>
      <c r="D206" s="5">
        <v>205</v>
      </c>
    </row>
    <row r="207" spans="1:5" x14ac:dyDescent="0.3">
      <c r="A207" s="15" t="s">
        <v>308</v>
      </c>
      <c r="B207" s="5" t="s">
        <v>152</v>
      </c>
      <c r="C207" s="5">
        <v>429</v>
      </c>
      <c r="D207" s="5">
        <v>206</v>
      </c>
    </row>
    <row r="208" spans="1:5" x14ac:dyDescent="0.3">
      <c r="A208" s="15" t="s">
        <v>299</v>
      </c>
      <c r="B208" s="5" t="s">
        <v>10</v>
      </c>
      <c r="C208" s="5">
        <v>430</v>
      </c>
      <c r="D208" s="5">
        <v>207</v>
      </c>
      <c r="E208" t="s">
        <v>1001</v>
      </c>
    </row>
    <row r="209" spans="1:5" x14ac:dyDescent="0.3">
      <c r="A209" s="15" t="s">
        <v>373</v>
      </c>
      <c r="B209" s="5" t="s">
        <v>10</v>
      </c>
      <c r="C209" s="5">
        <v>432</v>
      </c>
      <c r="D209" s="5">
        <v>208</v>
      </c>
      <c r="E209" t="s">
        <v>914</v>
      </c>
    </row>
    <row r="210" spans="1:5" x14ac:dyDescent="0.3">
      <c r="A210" s="15" t="s">
        <v>649</v>
      </c>
      <c r="B210" s="5" t="s">
        <v>50</v>
      </c>
      <c r="C210" s="5">
        <v>433</v>
      </c>
      <c r="D210" s="5">
        <v>209</v>
      </c>
    </row>
    <row r="211" spans="1:5" x14ac:dyDescent="0.3">
      <c r="A211" s="15" t="s">
        <v>294</v>
      </c>
      <c r="B211" s="5" t="s">
        <v>152</v>
      </c>
      <c r="C211" s="5">
        <v>435</v>
      </c>
      <c r="D211" s="5">
        <v>210</v>
      </c>
    </row>
    <row r="212" spans="1:5" x14ac:dyDescent="0.3">
      <c r="A212" s="15" t="s">
        <v>557</v>
      </c>
      <c r="B212" s="5" t="s">
        <v>50</v>
      </c>
      <c r="C212" s="5">
        <v>436</v>
      </c>
      <c r="D212" s="5">
        <v>211</v>
      </c>
    </row>
    <row r="213" spans="1:5" x14ac:dyDescent="0.3">
      <c r="A213" s="15" t="s">
        <v>327</v>
      </c>
      <c r="B213" s="5" t="s">
        <v>152</v>
      </c>
      <c r="C213" s="5">
        <v>437</v>
      </c>
      <c r="D213" s="5">
        <v>212</v>
      </c>
    </row>
    <row r="214" spans="1:5" x14ac:dyDescent="0.3">
      <c r="A214" s="15" t="s">
        <v>317</v>
      </c>
      <c r="B214" s="5" t="s">
        <v>10</v>
      </c>
      <c r="C214" s="5">
        <v>438</v>
      </c>
      <c r="D214" s="5">
        <v>213</v>
      </c>
      <c r="E214" t="s">
        <v>1003</v>
      </c>
    </row>
    <row r="215" spans="1:5" x14ac:dyDescent="0.3">
      <c r="A215" s="15" t="s">
        <v>362</v>
      </c>
      <c r="B215" s="5" t="s">
        <v>10</v>
      </c>
      <c r="C215" s="5">
        <v>439</v>
      </c>
      <c r="D215" s="5">
        <v>214</v>
      </c>
      <c r="E215" t="s">
        <v>914</v>
      </c>
    </row>
    <row r="216" spans="1:5" x14ac:dyDescent="0.3">
      <c r="A216" s="15" t="s">
        <v>603</v>
      </c>
      <c r="B216" s="5" t="s">
        <v>10</v>
      </c>
      <c r="C216" s="5">
        <v>440</v>
      </c>
      <c r="D216" s="5">
        <v>215</v>
      </c>
      <c r="E216" t="s">
        <v>1001</v>
      </c>
    </row>
    <row r="217" spans="1:5" x14ac:dyDescent="0.3">
      <c r="A217" s="15" t="s">
        <v>363</v>
      </c>
      <c r="B217" s="5" t="s">
        <v>50</v>
      </c>
      <c r="C217" s="5">
        <v>441</v>
      </c>
      <c r="D217" s="5">
        <v>216</v>
      </c>
    </row>
    <row r="218" spans="1:5" x14ac:dyDescent="0.3">
      <c r="A218" s="15" t="s">
        <v>349</v>
      </c>
      <c r="B218" s="5" t="s">
        <v>50</v>
      </c>
      <c r="C218" s="5">
        <v>443</v>
      </c>
      <c r="D218" s="5">
        <v>217</v>
      </c>
    </row>
    <row r="219" spans="1:5" x14ac:dyDescent="0.3">
      <c r="A219" s="15" t="s">
        <v>329</v>
      </c>
      <c r="B219" s="5" t="s">
        <v>50</v>
      </c>
      <c r="C219" s="5">
        <v>444</v>
      </c>
      <c r="D219" s="5">
        <v>218</v>
      </c>
    </row>
    <row r="220" spans="1:5" x14ac:dyDescent="0.3">
      <c r="A220" s="15" t="s">
        <v>350</v>
      </c>
      <c r="B220" s="5" t="s">
        <v>10</v>
      </c>
      <c r="C220" s="5">
        <v>446</v>
      </c>
      <c r="D220" s="5">
        <v>219</v>
      </c>
      <c r="E220" t="s">
        <v>1001</v>
      </c>
    </row>
    <row r="221" spans="1:5" x14ac:dyDescent="0.3">
      <c r="A221" s="15" t="s">
        <v>395</v>
      </c>
      <c r="B221" s="5" t="s">
        <v>50</v>
      </c>
      <c r="C221" s="5">
        <v>447</v>
      </c>
      <c r="D221" s="5">
        <v>220</v>
      </c>
    </row>
    <row r="222" spans="1:5" x14ac:dyDescent="0.3">
      <c r="A222" s="15" t="s">
        <v>443</v>
      </c>
      <c r="B222" s="5" t="s">
        <v>152</v>
      </c>
      <c r="C222" s="5">
        <v>448</v>
      </c>
      <c r="D222" s="5">
        <v>221</v>
      </c>
    </row>
    <row r="223" spans="1:5" x14ac:dyDescent="0.3">
      <c r="A223" s="15" t="s">
        <v>360</v>
      </c>
      <c r="B223" s="5" t="s">
        <v>152</v>
      </c>
      <c r="C223" s="5">
        <v>449</v>
      </c>
      <c r="D223" s="5">
        <v>222</v>
      </c>
    </row>
    <row r="224" spans="1:5" x14ac:dyDescent="0.3">
      <c r="A224" s="15" t="s">
        <v>315</v>
      </c>
      <c r="B224" s="5" t="s">
        <v>10</v>
      </c>
      <c r="C224" s="5">
        <v>450</v>
      </c>
      <c r="D224" s="5">
        <v>223</v>
      </c>
      <c r="E224" t="s">
        <v>914</v>
      </c>
    </row>
    <row r="225" spans="1:5" x14ac:dyDescent="0.3">
      <c r="A225" s="15" t="s">
        <v>417</v>
      </c>
      <c r="B225" s="5" t="s">
        <v>10</v>
      </c>
      <c r="C225" s="5">
        <v>451</v>
      </c>
      <c r="D225" s="5">
        <v>224</v>
      </c>
      <c r="E225" t="s">
        <v>1003</v>
      </c>
    </row>
    <row r="226" spans="1:5" x14ac:dyDescent="0.3">
      <c r="A226" s="15" t="s">
        <v>426</v>
      </c>
      <c r="B226" s="5" t="s">
        <v>50</v>
      </c>
      <c r="C226" s="5">
        <v>452</v>
      </c>
      <c r="D226" s="5">
        <v>225</v>
      </c>
    </row>
    <row r="227" spans="1:5" x14ac:dyDescent="0.3">
      <c r="A227" s="15" t="s">
        <v>556</v>
      </c>
      <c r="B227" s="5" t="s">
        <v>50</v>
      </c>
      <c r="C227" s="5">
        <v>453</v>
      </c>
      <c r="D227" s="5">
        <v>226</v>
      </c>
    </row>
    <row r="228" spans="1:5" x14ac:dyDescent="0.3">
      <c r="A228" s="15" t="s">
        <v>346</v>
      </c>
      <c r="B228" s="5" t="s">
        <v>152</v>
      </c>
      <c r="C228" s="5">
        <v>454</v>
      </c>
      <c r="D228" s="5">
        <v>227</v>
      </c>
    </row>
    <row r="229" spans="1:5" x14ac:dyDescent="0.3">
      <c r="A229" s="15" t="s">
        <v>331</v>
      </c>
      <c r="B229" s="5" t="s">
        <v>152</v>
      </c>
      <c r="C229" s="5">
        <v>455</v>
      </c>
      <c r="D229" s="5">
        <v>228</v>
      </c>
    </row>
    <row r="230" spans="1:5" x14ac:dyDescent="0.3">
      <c r="A230" s="15" t="s">
        <v>650</v>
      </c>
      <c r="B230" s="5" t="s">
        <v>50</v>
      </c>
      <c r="C230" s="5">
        <v>456</v>
      </c>
      <c r="D230" s="5">
        <v>229</v>
      </c>
    </row>
    <row r="231" spans="1:5" x14ac:dyDescent="0.3">
      <c r="A231" s="15" t="s">
        <v>379</v>
      </c>
      <c r="B231" s="5" t="s">
        <v>10</v>
      </c>
      <c r="C231" s="5">
        <v>458</v>
      </c>
      <c r="D231" s="5">
        <v>230</v>
      </c>
      <c r="E231" t="s">
        <v>1001</v>
      </c>
    </row>
    <row r="232" spans="1:5" x14ac:dyDescent="0.3">
      <c r="A232" s="15" t="s">
        <v>832</v>
      </c>
      <c r="B232" s="5" t="s">
        <v>10</v>
      </c>
      <c r="C232" s="5">
        <v>460</v>
      </c>
      <c r="D232" s="5">
        <v>231</v>
      </c>
      <c r="E232" t="s">
        <v>1002</v>
      </c>
    </row>
    <row r="233" spans="1:5" x14ac:dyDescent="0.3">
      <c r="A233" s="15" t="s">
        <v>215</v>
      </c>
      <c r="B233" s="5" t="s">
        <v>10</v>
      </c>
      <c r="C233" s="5">
        <v>464</v>
      </c>
      <c r="D233" s="5">
        <v>232</v>
      </c>
      <c r="E233" t="s">
        <v>1002</v>
      </c>
    </row>
    <row r="234" spans="1:5" x14ac:dyDescent="0.3">
      <c r="A234" s="15" t="s">
        <v>416</v>
      </c>
      <c r="B234" s="5" t="s">
        <v>50</v>
      </c>
      <c r="C234" s="5">
        <v>465</v>
      </c>
      <c r="D234" s="5">
        <v>233</v>
      </c>
    </row>
    <row r="235" spans="1:5" x14ac:dyDescent="0.3">
      <c r="A235" s="15" t="s">
        <v>372</v>
      </c>
      <c r="B235" s="5" t="s">
        <v>10</v>
      </c>
      <c r="C235" s="5">
        <v>467</v>
      </c>
      <c r="D235" s="5">
        <v>234</v>
      </c>
      <c r="E235" t="s">
        <v>914</v>
      </c>
    </row>
    <row r="236" spans="1:5" x14ac:dyDescent="0.3">
      <c r="A236" s="15" t="s">
        <v>390</v>
      </c>
      <c r="B236" s="5" t="s">
        <v>152</v>
      </c>
      <c r="C236" s="5">
        <v>468</v>
      </c>
      <c r="D236" s="5">
        <v>235</v>
      </c>
    </row>
    <row r="237" spans="1:5" x14ac:dyDescent="0.3">
      <c r="A237" s="15" t="s">
        <v>431</v>
      </c>
      <c r="B237" s="5" t="s">
        <v>10</v>
      </c>
      <c r="C237" s="5">
        <v>469</v>
      </c>
      <c r="D237" s="5">
        <v>236</v>
      </c>
      <c r="E237" t="s">
        <v>1003</v>
      </c>
    </row>
    <row r="238" spans="1:5" x14ac:dyDescent="0.3">
      <c r="A238" s="15" t="s">
        <v>393</v>
      </c>
      <c r="B238" s="5" t="s">
        <v>50</v>
      </c>
      <c r="C238" s="5">
        <v>470</v>
      </c>
      <c r="D238" s="5">
        <v>237</v>
      </c>
    </row>
    <row r="239" spans="1:5" x14ac:dyDescent="0.3">
      <c r="A239" s="15" t="s">
        <v>562</v>
      </c>
      <c r="B239" s="5" t="s">
        <v>50</v>
      </c>
      <c r="C239" s="5">
        <v>471</v>
      </c>
      <c r="D239" s="5">
        <v>238</v>
      </c>
    </row>
    <row r="240" spans="1:5" x14ac:dyDescent="0.3">
      <c r="A240" s="15" t="s">
        <v>559</v>
      </c>
      <c r="B240" s="5" t="s">
        <v>50</v>
      </c>
      <c r="C240" s="5">
        <v>473</v>
      </c>
      <c r="D240" s="5">
        <v>239</v>
      </c>
    </row>
    <row r="241" spans="1:5" x14ac:dyDescent="0.3">
      <c r="A241" s="15" t="s">
        <v>481</v>
      </c>
      <c r="B241" s="5" t="s">
        <v>10</v>
      </c>
      <c r="C241" s="5">
        <v>474</v>
      </c>
      <c r="D241" s="5">
        <v>240</v>
      </c>
      <c r="E241" t="s">
        <v>1001</v>
      </c>
    </row>
    <row r="242" spans="1:5" x14ac:dyDescent="0.3">
      <c r="A242" s="15" t="s">
        <v>257</v>
      </c>
      <c r="B242" s="5" t="s">
        <v>152</v>
      </c>
      <c r="C242" s="5">
        <v>475</v>
      </c>
      <c r="D242" s="5">
        <v>241</v>
      </c>
    </row>
    <row r="243" spans="1:5" x14ac:dyDescent="0.3">
      <c r="A243" s="15" t="s">
        <v>660</v>
      </c>
      <c r="B243" s="5" t="s">
        <v>50</v>
      </c>
      <c r="C243" s="5">
        <v>476</v>
      </c>
      <c r="D243" s="5">
        <v>242</v>
      </c>
    </row>
    <row r="244" spans="1:5" x14ac:dyDescent="0.3">
      <c r="A244" s="15" t="s">
        <v>370</v>
      </c>
      <c r="B244" s="5" t="s">
        <v>152</v>
      </c>
      <c r="C244" s="5">
        <v>477</v>
      </c>
      <c r="D244" s="5">
        <v>243</v>
      </c>
    </row>
    <row r="245" spans="1:5" x14ac:dyDescent="0.3">
      <c r="A245" s="15" t="s">
        <v>558</v>
      </c>
      <c r="B245" s="5" t="s">
        <v>50</v>
      </c>
      <c r="C245" s="5">
        <v>479</v>
      </c>
      <c r="D245" s="5">
        <v>244</v>
      </c>
    </row>
    <row r="246" spans="1:5" x14ac:dyDescent="0.3">
      <c r="A246" s="15" t="s">
        <v>425</v>
      </c>
      <c r="B246" s="5" t="s">
        <v>50</v>
      </c>
      <c r="C246" s="5">
        <v>480</v>
      </c>
      <c r="D246" s="5">
        <v>245</v>
      </c>
    </row>
    <row r="247" spans="1:5" x14ac:dyDescent="0.3">
      <c r="A247" s="15" t="s">
        <v>280</v>
      </c>
      <c r="B247" s="5" t="s">
        <v>10</v>
      </c>
      <c r="C247" s="5">
        <v>483</v>
      </c>
      <c r="D247" s="5">
        <v>246</v>
      </c>
      <c r="E247" t="s">
        <v>1003</v>
      </c>
    </row>
    <row r="248" spans="1:5" x14ac:dyDescent="0.3">
      <c r="A248" s="15" t="s">
        <v>441</v>
      </c>
      <c r="B248" s="5" t="s">
        <v>152</v>
      </c>
      <c r="C248" s="5">
        <v>490</v>
      </c>
      <c r="D248" s="5">
        <v>247</v>
      </c>
    </row>
    <row r="249" spans="1:5" x14ac:dyDescent="0.3">
      <c r="A249" s="15" t="s">
        <v>461</v>
      </c>
      <c r="B249" s="5" t="s">
        <v>10</v>
      </c>
      <c r="C249" s="5">
        <v>491</v>
      </c>
      <c r="D249" s="5">
        <v>248</v>
      </c>
      <c r="E249" t="s">
        <v>1002</v>
      </c>
    </row>
    <row r="250" spans="1:5" x14ac:dyDescent="0.3">
      <c r="A250" s="15" t="s">
        <v>652</v>
      </c>
      <c r="B250" s="5" t="s">
        <v>264</v>
      </c>
      <c r="C250" s="5">
        <v>492</v>
      </c>
      <c r="D250" s="5">
        <v>249</v>
      </c>
    </row>
    <row r="251" spans="1:5" x14ac:dyDescent="0.3">
      <c r="A251" s="15" t="s">
        <v>486</v>
      </c>
      <c r="B251" s="5" t="s">
        <v>50</v>
      </c>
      <c r="C251" s="5">
        <v>493</v>
      </c>
      <c r="D251" s="5">
        <v>250</v>
      </c>
    </row>
    <row r="252" spans="1:5" x14ac:dyDescent="0.3">
      <c r="A252" s="15" t="s">
        <v>399</v>
      </c>
      <c r="B252" s="5" t="s">
        <v>10</v>
      </c>
      <c r="C252" s="5">
        <v>496</v>
      </c>
      <c r="D252" s="5">
        <v>251</v>
      </c>
      <c r="E252" t="s">
        <v>914</v>
      </c>
    </row>
    <row r="253" spans="1:5" x14ac:dyDescent="0.3">
      <c r="A253" s="15" t="s">
        <v>561</v>
      </c>
      <c r="B253" s="5" t="s">
        <v>50</v>
      </c>
      <c r="C253" s="5">
        <v>497</v>
      </c>
      <c r="D253" s="5">
        <v>252</v>
      </c>
    </row>
    <row r="254" spans="1:5" x14ac:dyDescent="0.3">
      <c r="A254" s="15" t="s">
        <v>397</v>
      </c>
      <c r="B254" s="5" t="s">
        <v>152</v>
      </c>
      <c r="C254" s="5">
        <v>498</v>
      </c>
      <c r="D254" s="5">
        <v>253</v>
      </c>
    </row>
    <row r="255" spans="1:5" x14ac:dyDescent="0.3">
      <c r="A255" s="15" t="s">
        <v>348</v>
      </c>
      <c r="B255" s="5" t="s">
        <v>10</v>
      </c>
      <c r="C255" s="5">
        <v>499</v>
      </c>
      <c r="D255" s="5">
        <v>254</v>
      </c>
      <c r="E255" t="s">
        <v>1001</v>
      </c>
    </row>
    <row r="256" spans="1:5" x14ac:dyDescent="0.3">
      <c r="A256" s="10" t="s">
        <v>670</v>
      </c>
      <c r="B256" s="5" t="s">
        <v>50</v>
      </c>
      <c r="C256" s="5">
        <v>500</v>
      </c>
      <c r="D256" s="5">
        <v>255</v>
      </c>
    </row>
    <row r="257" spans="1:5" x14ac:dyDescent="0.3">
      <c r="A257" s="15" t="s">
        <v>384</v>
      </c>
      <c r="B257" s="5" t="s">
        <v>152</v>
      </c>
      <c r="C257" s="5">
        <v>501</v>
      </c>
      <c r="D257" s="5">
        <v>256</v>
      </c>
    </row>
    <row r="258" spans="1:5" x14ac:dyDescent="0.3">
      <c r="A258" s="15" t="s">
        <v>412</v>
      </c>
      <c r="B258" s="5" t="s">
        <v>50</v>
      </c>
      <c r="C258" s="5">
        <v>502</v>
      </c>
      <c r="D258" s="5">
        <v>257</v>
      </c>
    </row>
    <row r="259" spans="1:5" x14ac:dyDescent="0.3">
      <c r="A259" s="15" t="s">
        <v>429</v>
      </c>
      <c r="B259" s="5" t="s">
        <v>10</v>
      </c>
      <c r="C259" s="5">
        <v>503</v>
      </c>
      <c r="D259" s="5">
        <v>258</v>
      </c>
      <c r="E259" t="s">
        <v>914</v>
      </c>
    </row>
    <row r="260" spans="1:5" x14ac:dyDescent="0.3">
      <c r="A260" s="15" t="s">
        <v>398</v>
      </c>
      <c r="B260" s="5" t="s">
        <v>10</v>
      </c>
      <c r="C260" s="5">
        <v>504</v>
      </c>
      <c r="D260" s="5">
        <v>259</v>
      </c>
      <c r="E260">
        <v>1</v>
      </c>
    </row>
    <row r="261" spans="1:5" x14ac:dyDescent="0.3">
      <c r="A261" s="15" t="s">
        <v>668</v>
      </c>
      <c r="B261" s="5" t="s">
        <v>152</v>
      </c>
      <c r="C261" s="5">
        <v>506</v>
      </c>
      <c r="D261" s="5">
        <v>260</v>
      </c>
    </row>
    <row r="262" spans="1:5" x14ac:dyDescent="0.3">
      <c r="A262" s="15" t="s">
        <v>449</v>
      </c>
      <c r="B262" s="5" t="s">
        <v>50</v>
      </c>
      <c r="C262" s="5">
        <v>507</v>
      </c>
      <c r="D262" s="5">
        <v>261</v>
      </c>
    </row>
    <row r="263" spans="1:5" x14ac:dyDescent="0.3">
      <c r="A263" s="15" t="s">
        <v>654</v>
      </c>
      <c r="B263" s="5" t="s">
        <v>152</v>
      </c>
      <c r="C263" s="5">
        <v>511</v>
      </c>
      <c r="D263" s="5">
        <v>262</v>
      </c>
    </row>
    <row r="264" spans="1:5" x14ac:dyDescent="0.3">
      <c r="A264" s="15" t="s">
        <v>472</v>
      </c>
      <c r="B264" s="5" t="s">
        <v>50</v>
      </c>
      <c r="C264" s="5">
        <v>513</v>
      </c>
      <c r="D264" s="5">
        <v>263</v>
      </c>
    </row>
    <row r="265" spans="1:5" x14ac:dyDescent="0.3">
      <c r="A265" s="15" t="s">
        <v>332</v>
      </c>
      <c r="B265" s="5" t="s">
        <v>10</v>
      </c>
      <c r="C265" s="5">
        <v>515</v>
      </c>
      <c r="D265" s="5">
        <v>264</v>
      </c>
      <c r="E265" t="s">
        <v>1002</v>
      </c>
    </row>
    <row r="266" spans="1:5" x14ac:dyDescent="0.3">
      <c r="A266" s="15" t="s">
        <v>604</v>
      </c>
      <c r="B266" s="5" t="s">
        <v>10</v>
      </c>
      <c r="C266" s="5">
        <v>516</v>
      </c>
      <c r="D266" s="5">
        <v>265</v>
      </c>
      <c r="E266" t="s">
        <v>1001</v>
      </c>
    </row>
    <row r="267" spans="1:5" x14ac:dyDescent="0.3">
      <c r="A267" s="15" t="s">
        <v>364</v>
      </c>
      <c r="B267" s="5" t="s">
        <v>10</v>
      </c>
      <c r="C267" s="5">
        <v>517</v>
      </c>
      <c r="D267" s="5">
        <v>266</v>
      </c>
      <c r="E267" t="s">
        <v>1001</v>
      </c>
    </row>
    <row r="268" spans="1:5" x14ac:dyDescent="0.3">
      <c r="A268" s="15" t="s">
        <v>401</v>
      </c>
      <c r="B268" s="5" t="s">
        <v>50</v>
      </c>
      <c r="C268" s="5">
        <v>520</v>
      </c>
      <c r="D268" s="5">
        <v>267</v>
      </c>
    </row>
    <row r="269" spans="1:5" x14ac:dyDescent="0.3">
      <c r="A269" s="15" t="s">
        <v>688</v>
      </c>
      <c r="B269" s="5" t="s">
        <v>264</v>
      </c>
      <c r="C269" s="5">
        <v>521</v>
      </c>
      <c r="D269" s="5">
        <v>268</v>
      </c>
    </row>
    <row r="270" spans="1:5" x14ac:dyDescent="0.3">
      <c r="A270" s="15" t="s">
        <v>457</v>
      </c>
      <c r="B270" s="5" t="s">
        <v>50</v>
      </c>
      <c r="C270" s="5">
        <v>523</v>
      </c>
      <c r="D270" s="5">
        <v>269</v>
      </c>
    </row>
    <row r="271" spans="1:5" x14ac:dyDescent="0.3">
      <c r="A271" s="15" t="s">
        <v>381</v>
      </c>
      <c r="B271" s="5" t="s">
        <v>152</v>
      </c>
      <c r="C271" s="5">
        <v>526</v>
      </c>
      <c r="D271" s="5">
        <v>270</v>
      </c>
    </row>
    <row r="272" spans="1:5" x14ac:dyDescent="0.3">
      <c r="A272" s="15" t="s">
        <v>418</v>
      </c>
      <c r="B272" s="5" t="s">
        <v>50</v>
      </c>
      <c r="C272" s="5">
        <v>529</v>
      </c>
      <c r="D272" s="5">
        <v>271</v>
      </c>
    </row>
    <row r="273" spans="1:5" x14ac:dyDescent="0.3">
      <c r="A273" s="15" t="s">
        <v>674</v>
      </c>
      <c r="B273" s="5" t="s">
        <v>50</v>
      </c>
      <c r="C273" s="5">
        <v>530</v>
      </c>
      <c r="D273" s="5">
        <v>272</v>
      </c>
    </row>
    <row r="274" spans="1:5" x14ac:dyDescent="0.3">
      <c r="A274" s="15" t="s">
        <v>663</v>
      </c>
      <c r="B274" s="5" t="s">
        <v>264</v>
      </c>
      <c r="C274" s="5">
        <v>531</v>
      </c>
      <c r="D274" s="5">
        <v>273</v>
      </c>
    </row>
    <row r="275" spans="1:5" x14ac:dyDescent="0.3">
      <c r="A275" s="15" t="s">
        <v>667</v>
      </c>
      <c r="B275" s="5" t="s">
        <v>152</v>
      </c>
      <c r="C275" s="5">
        <v>535</v>
      </c>
      <c r="D275" s="5">
        <v>274</v>
      </c>
    </row>
    <row r="276" spans="1:5" x14ac:dyDescent="0.3">
      <c r="A276" s="15" t="s">
        <v>380</v>
      </c>
      <c r="B276" s="5" t="s">
        <v>152</v>
      </c>
      <c r="C276" s="5">
        <v>538</v>
      </c>
      <c r="D276" s="5">
        <v>275</v>
      </c>
    </row>
    <row r="277" spans="1:5" x14ac:dyDescent="0.3">
      <c r="A277" s="15" t="s">
        <v>479</v>
      </c>
      <c r="B277" s="5" t="s">
        <v>152</v>
      </c>
      <c r="C277" s="5">
        <v>540</v>
      </c>
      <c r="D277" s="5">
        <v>276</v>
      </c>
    </row>
    <row r="278" spans="1:5" x14ac:dyDescent="0.3">
      <c r="A278" s="15" t="s">
        <v>676</v>
      </c>
      <c r="B278" s="5" t="s">
        <v>10</v>
      </c>
      <c r="C278" s="5">
        <v>542</v>
      </c>
      <c r="D278" s="5">
        <v>277</v>
      </c>
      <c r="E278">
        <v>1</v>
      </c>
    </row>
    <row r="279" spans="1:5" x14ac:dyDescent="0.3">
      <c r="A279" s="15" t="s">
        <v>470</v>
      </c>
      <c r="B279" s="5" t="s">
        <v>50</v>
      </c>
      <c r="C279" s="5">
        <v>543</v>
      </c>
      <c r="D279" s="5">
        <v>278</v>
      </c>
    </row>
    <row r="280" spans="1:5" x14ac:dyDescent="0.3">
      <c r="A280" s="10" t="s">
        <v>728</v>
      </c>
      <c r="B280" s="5" t="s">
        <v>50</v>
      </c>
      <c r="C280" s="5">
        <v>546</v>
      </c>
      <c r="D280" s="5">
        <v>279</v>
      </c>
    </row>
    <row r="281" spans="1:5" x14ac:dyDescent="0.3">
      <c r="A281" s="15" t="s">
        <v>460</v>
      </c>
      <c r="B281" s="5" t="s">
        <v>152</v>
      </c>
      <c r="C281" s="5">
        <v>547</v>
      </c>
      <c r="D281" s="5">
        <v>280</v>
      </c>
    </row>
    <row r="282" spans="1:5" x14ac:dyDescent="0.3">
      <c r="A282" s="15" t="s">
        <v>567</v>
      </c>
      <c r="B282" s="5" t="s">
        <v>50</v>
      </c>
      <c r="C282" s="5">
        <v>549</v>
      </c>
      <c r="D282" s="5">
        <v>281</v>
      </c>
    </row>
    <row r="283" spans="1:5" x14ac:dyDescent="0.3">
      <c r="A283" s="15" t="s">
        <v>729</v>
      </c>
      <c r="B283" s="5" t="s">
        <v>50</v>
      </c>
      <c r="C283" s="5">
        <v>550</v>
      </c>
      <c r="D283" s="5">
        <v>282</v>
      </c>
    </row>
    <row r="284" spans="1:5" x14ac:dyDescent="0.3">
      <c r="A284" s="15" t="s">
        <v>405</v>
      </c>
      <c r="B284" s="5" t="s">
        <v>10</v>
      </c>
      <c r="C284" s="5">
        <v>551</v>
      </c>
      <c r="D284" s="5">
        <v>283</v>
      </c>
      <c r="E284" t="s">
        <v>914</v>
      </c>
    </row>
    <row r="285" spans="1:5" x14ac:dyDescent="0.3">
      <c r="A285" s="15" t="s">
        <v>392</v>
      </c>
      <c r="B285" s="5" t="s">
        <v>50</v>
      </c>
      <c r="C285" s="5">
        <v>552</v>
      </c>
      <c r="D285" s="5">
        <v>284</v>
      </c>
    </row>
    <row r="286" spans="1:5" x14ac:dyDescent="0.3">
      <c r="A286" s="15" t="s">
        <v>402</v>
      </c>
      <c r="B286" s="5" t="s">
        <v>10</v>
      </c>
      <c r="C286" s="5">
        <v>553</v>
      </c>
      <c r="D286" s="5">
        <v>285</v>
      </c>
      <c r="E286" t="s">
        <v>1003</v>
      </c>
    </row>
    <row r="287" spans="1:5" x14ac:dyDescent="0.3">
      <c r="A287" s="15" t="s">
        <v>730</v>
      </c>
      <c r="B287" s="5" t="s">
        <v>50</v>
      </c>
      <c r="C287" s="5">
        <v>554</v>
      </c>
      <c r="D287" s="5">
        <v>286</v>
      </c>
    </row>
    <row r="288" spans="1:5" x14ac:dyDescent="0.3">
      <c r="A288" s="15" t="s">
        <v>689</v>
      </c>
      <c r="B288" s="5" t="s">
        <v>264</v>
      </c>
      <c r="C288" s="5">
        <v>555</v>
      </c>
      <c r="D288" s="5">
        <v>287</v>
      </c>
    </row>
    <row r="289" spans="1:5" x14ac:dyDescent="0.3">
      <c r="A289" s="10" t="s">
        <v>446</v>
      </c>
      <c r="B289" s="5" t="s">
        <v>50</v>
      </c>
      <c r="C289" s="5">
        <v>558</v>
      </c>
      <c r="D289" s="5">
        <v>288</v>
      </c>
    </row>
    <row r="290" spans="1:5" x14ac:dyDescent="0.3">
      <c r="A290" s="15" t="s">
        <v>574</v>
      </c>
      <c r="B290" s="5" t="s">
        <v>50</v>
      </c>
      <c r="C290" s="5">
        <v>559</v>
      </c>
      <c r="D290" s="5">
        <v>289</v>
      </c>
    </row>
    <row r="291" spans="1:5" x14ac:dyDescent="0.3">
      <c r="A291" s="15" t="s">
        <v>664</v>
      </c>
      <c r="B291" s="5" t="s">
        <v>10</v>
      </c>
      <c r="C291" s="5">
        <v>561</v>
      </c>
      <c r="D291" s="5">
        <v>290</v>
      </c>
      <c r="E291" t="s">
        <v>1001</v>
      </c>
    </row>
    <row r="292" spans="1:5" x14ac:dyDescent="0.3">
      <c r="A292" s="15" t="s">
        <v>489</v>
      </c>
      <c r="B292" s="5" t="s">
        <v>152</v>
      </c>
      <c r="C292" s="5">
        <v>564</v>
      </c>
      <c r="D292" s="5">
        <v>291</v>
      </c>
    </row>
    <row r="293" spans="1:5" x14ac:dyDescent="0.3">
      <c r="A293" s="15" t="s">
        <v>680</v>
      </c>
      <c r="B293" s="5" t="s">
        <v>50</v>
      </c>
      <c r="C293" s="5">
        <v>565</v>
      </c>
      <c r="D293" s="5">
        <v>292</v>
      </c>
    </row>
    <row r="294" spans="1:5" x14ac:dyDescent="0.3">
      <c r="A294" s="15"/>
      <c r="B294" s="5"/>
      <c r="C294" s="5"/>
      <c r="D294" s="5"/>
    </row>
    <row r="295" spans="1:5" x14ac:dyDescent="0.3">
      <c r="A295" s="15" t="s">
        <v>464</v>
      </c>
      <c r="B295" s="5" t="s">
        <v>152</v>
      </c>
      <c r="C295" s="5">
        <v>567</v>
      </c>
      <c r="D295" s="5">
        <v>294</v>
      </c>
    </row>
    <row r="296" spans="1:5" x14ac:dyDescent="0.3">
      <c r="A296" s="15" t="s">
        <v>436</v>
      </c>
      <c r="B296" s="5" t="s">
        <v>10</v>
      </c>
      <c r="C296" s="5">
        <v>571</v>
      </c>
      <c r="D296" s="5">
        <v>295</v>
      </c>
      <c r="E296" t="s">
        <v>914</v>
      </c>
    </row>
    <row r="297" spans="1:5" x14ac:dyDescent="0.3">
      <c r="A297" s="15" t="s">
        <v>469</v>
      </c>
      <c r="B297" s="5" t="s">
        <v>10</v>
      </c>
      <c r="C297" s="5">
        <v>573</v>
      </c>
      <c r="D297" s="5">
        <v>296</v>
      </c>
      <c r="E297" t="s">
        <v>914</v>
      </c>
    </row>
    <row r="298" spans="1:5" x14ac:dyDescent="0.3">
      <c r="A298" s="15" t="s">
        <v>681</v>
      </c>
      <c r="B298" s="5" t="s">
        <v>152</v>
      </c>
      <c r="C298" s="5">
        <v>576</v>
      </c>
      <c r="D298" s="5">
        <v>297</v>
      </c>
    </row>
    <row r="299" spans="1:5" x14ac:dyDescent="0.3">
      <c r="A299" s="15" t="s">
        <v>478</v>
      </c>
      <c r="B299" s="5" t="s">
        <v>152</v>
      </c>
      <c r="C299" s="5">
        <v>579</v>
      </c>
      <c r="D299" s="5">
        <v>298</v>
      </c>
    </row>
    <row r="300" spans="1:5" x14ac:dyDescent="0.3">
      <c r="A300" s="15" t="s">
        <v>433</v>
      </c>
      <c r="B300" s="5" t="s">
        <v>152</v>
      </c>
      <c r="C300" s="5">
        <v>580</v>
      </c>
      <c r="D300" s="5">
        <v>299</v>
      </c>
    </row>
    <row r="301" spans="1:5" x14ac:dyDescent="0.3">
      <c r="A301" s="15" t="s">
        <v>673</v>
      </c>
      <c r="B301" s="5" t="s">
        <v>50</v>
      </c>
      <c r="C301" s="5">
        <v>582</v>
      </c>
      <c r="D301" s="5">
        <v>300</v>
      </c>
    </row>
    <row r="302" spans="1:5" x14ac:dyDescent="0.3">
      <c r="A302" s="15" t="s">
        <v>438</v>
      </c>
      <c r="B302" s="5" t="s">
        <v>10</v>
      </c>
      <c r="C302" s="5">
        <v>583</v>
      </c>
      <c r="D302" s="5">
        <v>301</v>
      </c>
      <c r="E302" t="s">
        <v>1001</v>
      </c>
    </row>
    <row r="303" spans="1:5" x14ac:dyDescent="0.3">
      <c r="A303" s="15" t="s">
        <v>414</v>
      </c>
      <c r="B303" s="5" t="s">
        <v>50</v>
      </c>
      <c r="C303" s="5">
        <v>584</v>
      </c>
      <c r="D303" s="5">
        <v>302</v>
      </c>
    </row>
    <row r="304" spans="1:5" x14ac:dyDescent="0.3">
      <c r="A304" s="15" t="s">
        <v>685</v>
      </c>
      <c r="B304" s="5" t="s">
        <v>152</v>
      </c>
      <c r="C304" s="5">
        <v>585</v>
      </c>
      <c r="D304" s="5">
        <v>303</v>
      </c>
    </row>
    <row r="305" spans="1:5" x14ac:dyDescent="0.3">
      <c r="A305" s="15" t="s">
        <v>734</v>
      </c>
      <c r="B305" s="5" t="s">
        <v>50</v>
      </c>
      <c r="C305" s="5">
        <v>587</v>
      </c>
      <c r="D305" s="5">
        <v>304</v>
      </c>
    </row>
    <row r="306" spans="1:5" x14ac:dyDescent="0.3">
      <c r="A306" s="15" t="s">
        <v>427</v>
      </c>
      <c r="B306" s="5" t="s">
        <v>10</v>
      </c>
      <c r="C306" s="5">
        <v>588</v>
      </c>
      <c r="D306" s="5">
        <v>305</v>
      </c>
      <c r="E306" t="s">
        <v>1003</v>
      </c>
    </row>
    <row r="307" spans="1:5" x14ac:dyDescent="0.3">
      <c r="A307" s="15" t="s">
        <v>459</v>
      </c>
      <c r="B307" s="5" t="s">
        <v>50</v>
      </c>
      <c r="C307" s="5">
        <v>591</v>
      </c>
      <c r="D307" s="5">
        <v>306</v>
      </c>
    </row>
    <row r="308" spans="1:5" x14ac:dyDescent="0.3">
      <c r="A308" s="15" t="s">
        <v>424</v>
      </c>
      <c r="B308" s="5" t="s">
        <v>152</v>
      </c>
      <c r="C308" s="5">
        <v>592</v>
      </c>
      <c r="D308" s="5">
        <v>307</v>
      </c>
    </row>
    <row r="309" spans="1:5" x14ac:dyDescent="0.3">
      <c r="A309" s="15" t="s">
        <v>683</v>
      </c>
      <c r="B309" s="5" t="s">
        <v>50</v>
      </c>
      <c r="C309" s="5">
        <v>594</v>
      </c>
      <c r="D309" s="5">
        <v>308</v>
      </c>
    </row>
    <row r="310" spans="1:5" x14ac:dyDescent="0.3">
      <c r="A310" s="15" t="s">
        <v>678</v>
      </c>
      <c r="B310" s="5" t="s">
        <v>50</v>
      </c>
      <c r="C310" s="5">
        <v>595</v>
      </c>
      <c r="D310" s="5">
        <v>309</v>
      </c>
    </row>
    <row r="311" spans="1:5" x14ac:dyDescent="0.3">
      <c r="A311" s="15" t="s">
        <v>403</v>
      </c>
      <c r="B311" s="5" t="s">
        <v>10</v>
      </c>
      <c r="C311" s="5">
        <v>596</v>
      </c>
      <c r="D311" s="5">
        <v>310</v>
      </c>
      <c r="E311">
        <v>1</v>
      </c>
    </row>
    <row r="312" spans="1:5" x14ac:dyDescent="0.3">
      <c r="A312" s="15" t="s">
        <v>445</v>
      </c>
      <c r="B312" s="5" t="s">
        <v>10</v>
      </c>
      <c r="C312" s="5">
        <v>598</v>
      </c>
      <c r="D312" s="5">
        <v>311</v>
      </c>
      <c r="E312" t="s">
        <v>1001</v>
      </c>
    </row>
    <row r="313" spans="1:5" x14ac:dyDescent="0.3">
      <c r="A313" s="15" t="s">
        <v>371</v>
      </c>
      <c r="B313" s="5" t="s">
        <v>10</v>
      </c>
      <c r="C313" s="5">
        <v>599</v>
      </c>
      <c r="D313" s="5">
        <v>312</v>
      </c>
      <c r="E313" t="s">
        <v>1001</v>
      </c>
    </row>
  </sheetData>
  <autoFilter ref="A1:H318" xr:uid="{20E37998-B70C-4D98-98FB-4B033CD9D023}"/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AC97-BD4E-43D5-B42B-63435FFD4AFA}">
  <dimension ref="A1:BH206"/>
  <sheetViews>
    <sheetView topLeftCell="B1" zoomScaleNormal="100" workbookViewId="0">
      <pane xSplit="1" ySplit="5" topLeftCell="C6" activePane="bottomRight" state="frozen"/>
      <selection activeCell="B1" sqref="B1"/>
      <selection pane="topRight" activeCell="C1" sqref="C1"/>
      <selection pane="bottomLeft" activeCell="B3" sqref="B3"/>
      <selection pane="bottomRight" activeCell="BH8" sqref="BH8"/>
    </sheetView>
  </sheetViews>
  <sheetFormatPr defaultRowHeight="16.5" x14ac:dyDescent="0.3"/>
  <cols>
    <col min="1" max="1" width="0" hidden="1" customWidth="1"/>
    <col min="3" max="3" width="10.5" customWidth="1"/>
    <col min="4" max="6" width="10.5" hidden="1" customWidth="1"/>
    <col min="7" max="7" width="10.5" customWidth="1"/>
    <col min="8" max="11" width="10.5" hidden="1" customWidth="1"/>
    <col min="12" max="12" width="10.5" customWidth="1"/>
    <col min="13" max="16" width="10.5" hidden="1" customWidth="1"/>
    <col min="17" max="17" width="10.5" customWidth="1"/>
    <col min="18" max="21" width="10.5" hidden="1" customWidth="1"/>
    <col min="22" max="22" width="10.5" customWidth="1"/>
    <col min="23" max="26" width="10.5" hidden="1" customWidth="1"/>
    <col min="27" max="27" width="10.5" customWidth="1"/>
    <col min="28" max="29" width="9" hidden="1" customWidth="1"/>
    <col min="30" max="30" width="10.5" customWidth="1"/>
    <col min="33" max="33" width="10.5" customWidth="1"/>
    <col min="34" max="36" width="10.5" hidden="1" customWidth="1"/>
    <col min="37" max="37" width="10.5" customWidth="1"/>
    <col min="38" max="41" width="10.5" hidden="1" customWidth="1"/>
    <col min="42" max="42" width="10.5" customWidth="1"/>
    <col min="43" max="46" width="10.5" hidden="1" customWidth="1"/>
    <col min="47" max="47" width="10.5" customWidth="1"/>
    <col min="48" max="51" width="10.5" hidden="1" customWidth="1"/>
    <col min="52" max="52" width="10.5" customWidth="1"/>
    <col min="53" max="56" width="10.5" hidden="1" customWidth="1"/>
    <col min="57" max="60" width="10.5" customWidth="1"/>
  </cols>
  <sheetData>
    <row r="1" spans="1:60" x14ac:dyDescent="0.3">
      <c r="AF1" s="21" t="s">
        <v>1008</v>
      </c>
      <c r="AG1" s="21" t="s">
        <v>1009</v>
      </c>
      <c r="AH1" s="21"/>
      <c r="AI1" s="21"/>
      <c r="AJ1" s="21"/>
      <c r="AK1" s="21" t="s">
        <v>1010</v>
      </c>
      <c r="AL1" s="21"/>
      <c r="AM1" s="21"/>
      <c r="AN1" s="21"/>
      <c r="AO1" s="21"/>
      <c r="AP1" s="21" t="s">
        <v>1011</v>
      </c>
      <c r="AQ1" s="21"/>
      <c r="AR1" s="21"/>
      <c r="AS1" s="21"/>
      <c r="AT1" s="21"/>
      <c r="AU1" s="21" t="s">
        <v>1014</v>
      </c>
      <c r="AV1" s="21"/>
      <c r="AW1" s="21"/>
      <c r="AX1" s="21"/>
      <c r="AY1" s="21"/>
      <c r="AZ1" s="21" t="s">
        <v>1027</v>
      </c>
      <c r="BA1" s="21"/>
      <c r="BB1" s="21"/>
      <c r="BC1" s="21"/>
      <c r="BD1" s="21"/>
      <c r="BE1" s="21" t="s">
        <v>1028</v>
      </c>
      <c r="BF1" s="21"/>
      <c r="BG1" s="21"/>
      <c r="BH1" s="21" t="s">
        <v>1012</v>
      </c>
    </row>
    <row r="2" spans="1:60" x14ac:dyDescent="0.3">
      <c r="C2">
        <f>SUM(C6:C200)/2</f>
        <v>21745246.5</v>
      </c>
      <c r="D2">
        <f t="shared" ref="D2:AA2" si="0">SUM(D6:D200)</f>
        <v>188868</v>
      </c>
      <c r="E2">
        <f t="shared" si="0"/>
        <v>67599999</v>
      </c>
      <c r="F2">
        <f t="shared" si="0"/>
        <v>297440</v>
      </c>
      <c r="G2">
        <f t="shared" si="0"/>
        <v>24204538</v>
      </c>
      <c r="H2">
        <f t="shared" si="0"/>
        <v>2506807.5</v>
      </c>
      <c r="I2">
        <f t="shared" si="0"/>
        <v>108622</v>
      </c>
      <c r="J2">
        <f t="shared" si="0"/>
        <v>91217520</v>
      </c>
      <c r="K2">
        <f t="shared" si="0"/>
        <v>435626</v>
      </c>
      <c r="L2">
        <f t="shared" si="0"/>
        <v>23617521</v>
      </c>
      <c r="M2">
        <f t="shared" si="0"/>
        <v>-587017</v>
      </c>
      <c r="N2">
        <f t="shared" si="0"/>
        <v>138186</v>
      </c>
      <c r="O2">
        <f t="shared" si="0"/>
        <v>113974786</v>
      </c>
      <c r="P2">
        <f t="shared" si="0"/>
        <v>510817</v>
      </c>
      <c r="Q2">
        <f t="shared" si="0"/>
        <v>22757266</v>
      </c>
      <c r="R2">
        <f t="shared" si="0"/>
        <v>-860255</v>
      </c>
      <c r="S2">
        <f t="shared" si="0"/>
        <v>75191</v>
      </c>
      <c r="T2">
        <f t="shared" si="0"/>
        <v>138177879</v>
      </c>
      <c r="U2">
        <f t="shared" si="0"/>
        <v>652318</v>
      </c>
      <c r="V2">
        <f t="shared" si="0"/>
        <v>24064461</v>
      </c>
      <c r="W2">
        <f t="shared" si="0"/>
        <v>1307195</v>
      </c>
      <c r="X2">
        <f t="shared" si="0"/>
        <v>141501</v>
      </c>
      <c r="Y2" t="e">
        <f t="shared" si="0"/>
        <v>#N/A</v>
      </c>
      <c r="Z2" t="e">
        <f t="shared" si="0"/>
        <v>#N/A</v>
      </c>
      <c r="AA2">
        <f t="shared" si="0"/>
        <v>22749926</v>
      </c>
      <c r="AD2">
        <f>SUM(AD6:AD200)/7</f>
        <v>22969881.857142858</v>
      </c>
      <c r="AF2" s="21"/>
      <c r="AG2" s="21">
        <f>SUM(AG6:AG200)</f>
        <v>22608471</v>
      </c>
      <c r="AH2" s="21"/>
      <c r="AI2" s="21"/>
      <c r="AJ2" s="21"/>
      <c r="AK2" s="21">
        <f>SUM(AK6:AK200)</f>
        <v>22796141</v>
      </c>
      <c r="AL2" s="21"/>
      <c r="AM2" s="21"/>
      <c r="AN2" s="21"/>
      <c r="AO2" s="21"/>
      <c r="AP2" s="21">
        <f>SUM(AP6:AP200)</f>
        <v>24270310</v>
      </c>
      <c r="AQ2" s="21"/>
      <c r="AR2" s="21"/>
      <c r="AS2" s="21"/>
      <c r="AT2" s="21"/>
      <c r="AU2" s="21">
        <f>SUM(AU6:AU200)</f>
        <v>21370818</v>
      </c>
      <c r="AV2" s="21"/>
      <c r="AW2" s="21"/>
      <c r="AX2" s="21"/>
      <c r="AY2" s="21"/>
      <c r="AZ2" s="21">
        <f>SUM(AZ6:AZ200)</f>
        <v>26585527</v>
      </c>
      <c r="BA2" s="21"/>
      <c r="BB2" s="21"/>
      <c r="BC2" s="21"/>
      <c r="BD2" s="21"/>
      <c r="BE2" s="21">
        <f>SUM(BE6:BE200)</f>
        <v>27861947</v>
      </c>
      <c r="BF2" s="21"/>
      <c r="BG2" s="21"/>
      <c r="BH2" s="21">
        <f>AVERAGE(AQ2:BG2)</f>
        <v>25272764</v>
      </c>
    </row>
    <row r="4" spans="1:60" x14ac:dyDescent="0.3">
      <c r="B4" s="19"/>
      <c r="C4" s="26" t="s">
        <v>981</v>
      </c>
      <c r="D4" s="26"/>
      <c r="E4" s="26" t="s">
        <v>982</v>
      </c>
      <c r="F4" s="26"/>
      <c r="G4" s="26"/>
      <c r="H4" s="26"/>
      <c r="I4" s="26"/>
      <c r="J4" s="26" t="s">
        <v>985</v>
      </c>
      <c r="K4" s="26"/>
      <c r="L4" s="26"/>
      <c r="M4" s="26"/>
      <c r="N4" s="26"/>
      <c r="O4" s="26" t="s">
        <v>986</v>
      </c>
      <c r="P4" s="26"/>
      <c r="Q4" s="26"/>
      <c r="R4" s="26"/>
      <c r="S4" s="26"/>
      <c r="T4" s="26" t="s">
        <v>990</v>
      </c>
      <c r="U4" s="26"/>
      <c r="V4" s="26"/>
      <c r="W4" s="26"/>
      <c r="X4" s="26"/>
      <c r="Y4" s="26" t="s">
        <v>991</v>
      </c>
      <c r="Z4" s="26"/>
      <c r="AA4" s="26"/>
      <c r="AB4" s="26"/>
      <c r="AC4" s="26"/>
      <c r="AD4" s="20" t="s">
        <v>994</v>
      </c>
      <c r="AF4" s="19"/>
      <c r="AG4" s="26">
        <v>251013</v>
      </c>
      <c r="AH4" s="26"/>
      <c r="AI4" s="26">
        <v>251014</v>
      </c>
      <c r="AJ4" s="26"/>
      <c r="AK4" s="26"/>
      <c r="AL4" s="26"/>
      <c r="AM4" s="26"/>
      <c r="AN4" s="26">
        <v>251015</v>
      </c>
      <c r="AO4" s="26"/>
      <c r="AP4" s="26"/>
      <c r="AQ4" s="26"/>
      <c r="AR4" s="26"/>
      <c r="AS4" s="26">
        <v>251016</v>
      </c>
      <c r="AT4" s="26"/>
      <c r="AU4" s="26"/>
      <c r="AV4" s="26"/>
      <c r="AW4" s="26"/>
      <c r="AX4" s="23">
        <v>251017</v>
      </c>
      <c r="AY4" s="24"/>
      <c r="AZ4" s="24"/>
      <c r="BA4" s="24"/>
      <c r="BB4" s="25"/>
      <c r="BC4" s="23">
        <v>251018</v>
      </c>
      <c r="BD4" s="24"/>
      <c r="BE4" s="24"/>
      <c r="BF4" s="24"/>
      <c r="BG4" s="25"/>
      <c r="BH4" s="20" t="s">
        <v>994</v>
      </c>
    </row>
    <row r="5" spans="1:60" x14ac:dyDescent="0.3">
      <c r="A5" t="s">
        <v>989</v>
      </c>
      <c r="B5" s="19" t="s">
        <v>923</v>
      </c>
      <c r="C5" s="19" t="s">
        <v>995</v>
      </c>
      <c r="D5" s="19" t="s">
        <v>979</v>
      </c>
      <c r="E5" s="19" t="s">
        <v>978</v>
      </c>
      <c r="F5" s="19" t="s">
        <v>979</v>
      </c>
      <c r="G5" s="19" t="s">
        <v>996</v>
      </c>
      <c r="H5" s="19" t="s">
        <v>984</v>
      </c>
      <c r="I5" s="19" t="s">
        <v>983</v>
      </c>
      <c r="J5" s="19" t="s">
        <v>978</v>
      </c>
      <c r="K5" s="19" t="s">
        <v>979</v>
      </c>
      <c r="L5" s="19" t="s">
        <v>997</v>
      </c>
      <c r="M5" s="19" t="s">
        <v>984</v>
      </c>
      <c r="N5" s="19" t="s">
        <v>983</v>
      </c>
      <c r="O5" s="19" t="s">
        <v>978</v>
      </c>
      <c r="P5" s="19" t="s">
        <v>979</v>
      </c>
      <c r="Q5" s="19" t="s">
        <v>998</v>
      </c>
      <c r="R5" s="19" t="s">
        <v>984</v>
      </c>
      <c r="S5" s="19" t="s">
        <v>983</v>
      </c>
      <c r="T5" s="19" t="s">
        <v>978</v>
      </c>
      <c r="U5" s="19" t="s">
        <v>979</v>
      </c>
      <c r="V5" s="19" t="s">
        <v>999</v>
      </c>
      <c r="W5" s="19" t="s">
        <v>984</v>
      </c>
      <c r="X5" s="19" t="s">
        <v>983</v>
      </c>
      <c r="Y5" s="19" t="s">
        <v>978</v>
      </c>
      <c r="Z5" s="19" t="s">
        <v>979</v>
      </c>
      <c r="AA5" s="19" t="s">
        <v>1000</v>
      </c>
      <c r="AB5" s="19" t="s">
        <v>984</v>
      </c>
      <c r="AC5" s="19" t="s">
        <v>983</v>
      </c>
      <c r="AD5" s="19" t="s">
        <v>978</v>
      </c>
      <c r="AF5" s="19" t="s">
        <v>923</v>
      </c>
      <c r="AG5" s="19" t="s">
        <v>1004</v>
      </c>
      <c r="AH5" s="19" t="s">
        <v>1005</v>
      </c>
      <c r="AI5" s="19" t="s">
        <v>978</v>
      </c>
      <c r="AJ5" s="19" t="s">
        <v>979</v>
      </c>
      <c r="AK5" s="19" t="s">
        <v>1006</v>
      </c>
      <c r="AL5" s="19" t="s">
        <v>984</v>
      </c>
      <c r="AM5" s="19" t="s">
        <v>983</v>
      </c>
      <c r="AN5" s="19" t="s">
        <v>978</v>
      </c>
      <c r="AO5" s="19" t="s">
        <v>979</v>
      </c>
      <c r="AP5" s="19" t="s">
        <v>996</v>
      </c>
      <c r="AQ5" s="19" t="s">
        <v>984</v>
      </c>
      <c r="AR5" s="19" t="s">
        <v>983</v>
      </c>
      <c r="AS5" s="19" t="s">
        <v>978</v>
      </c>
      <c r="AT5" s="19" t="s">
        <v>979</v>
      </c>
      <c r="AU5" s="19" t="s">
        <v>997</v>
      </c>
      <c r="AV5" s="19" t="s">
        <v>984</v>
      </c>
      <c r="AW5" s="19" t="s">
        <v>983</v>
      </c>
      <c r="AX5" s="19" t="s">
        <v>978</v>
      </c>
      <c r="AY5" s="19" t="s">
        <v>979</v>
      </c>
      <c r="AZ5" s="19" t="s">
        <v>998</v>
      </c>
      <c r="BA5" s="19" t="s">
        <v>984</v>
      </c>
      <c r="BB5" s="19" t="s">
        <v>983</v>
      </c>
      <c r="BC5" s="19" t="s">
        <v>978</v>
      </c>
      <c r="BD5" s="19" t="s">
        <v>979</v>
      </c>
      <c r="BE5" s="19" t="s">
        <v>999</v>
      </c>
      <c r="BF5" s="19" t="s">
        <v>984</v>
      </c>
      <c r="BG5" s="19" t="s">
        <v>983</v>
      </c>
      <c r="BH5" s="19" t="s">
        <v>978</v>
      </c>
    </row>
    <row r="6" spans="1:60" x14ac:dyDescent="0.3">
      <c r="A6" t="s">
        <v>700</v>
      </c>
      <c r="B6" s="5" t="s">
        <v>742</v>
      </c>
      <c r="C6" s="5">
        <f>VLOOKUP($B6,'251008_0시'!$A$1:$M$200,4,FALSE)</f>
        <v>579586</v>
      </c>
      <c r="D6" s="5">
        <f>VLOOKUP($B6,'251008_0시'!$A$1:$M$200,5,FALSE)</f>
        <v>0</v>
      </c>
      <c r="E6" s="5">
        <f>VLOOKUP($B6,'251009_0시'!$A$1:$M$200,4,FALSE)</f>
        <v>890095</v>
      </c>
      <c r="F6" s="5">
        <f>VLOOKUP($B6,'251009_0시'!$A$1:$M$200,5,FALSE)</f>
        <v>125</v>
      </c>
      <c r="G6" s="5">
        <f t="shared" ref="G6:G37" si="1">E6-C6</f>
        <v>310509</v>
      </c>
      <c r="H6" s="5">
        <f t="shared" ref="H6:H37" si="2">G6-(C6/2)</f>
        <v>20716</v>
      </c>
      <c r="I6" s="5">
        <f t="shared" ref="I6:I37" si="3">F6-D6</f>
        <v>125</v>
      </c>
      <c r="J6" s="5">
        <f>VLOOKUP($B6,'251010_0시'!$A$1:$M$200,4,FALSE)</f>
        <v>1193165</v>
      </c>
      <c r="K6" s="5">
        <f>VLOOKUP($B6,'251010_0시'!$A$1:$M$200,5,FALSE)</f>
        <v>1479</v>
      </c>
      <c r="L6" s="5">
        <f t="shared" ref="L6:L37" si="4">J6-E6</f>
        <v>303070</v>
      </c>
      <c r="M6" s="5">
        <f t="shared" ref="M6:M37" si="5">L6-G6</f>
        <v>-7439</v>
      </c>
      <c r="N6" s="5">
        <f t="shared" ref="N6:N37" si="6">K6-F6</f>
        <v>1354</v>
      </c>
      <c r="O6" s="5">
        <f>VLOOKUP($B6,'251011_0시'!$A$1:$M$200,4,FALSE)</f>
        <v>1459498</v>
      </c>
      <c r="P6" s="5">
        <f>VLOOKUP($B6,'251011_0시'!$A$1:$M$200,5,FALSE)</f>
        <v>1479</v>
      </c>
      <c r="Q6" s="5">
        <f t="shared" ref="Q6:Q37" si="7">O6-J6</f>
        <v>266333</v>
      </c>
      <c r="R6" s="5">
        <f t="shared" ref="R6:R37" si="8">Q6-L6</f>
        <v>-36737</v>
      </c>
      <c r="S6" s="5">
        <f t="shared" ref="S6:S37" si="9">P6-K6</f>
        <v>0</v>
      </c>
      <c r="T6" s="5">
        <f>VLOOKUP($B6,'251012_0시'!$A$1:$M$200,4,FALSE)</f>
        <v>1780297</v>
      </c>
      <c r="U6" s="5">
        <f>VLOOKUP($B6,'251012_0시'!$A$1:$M$200,5,FALSE)</f>
        <v>2169</v>
      </c>
      <c r="V6" s="5">
        <f t="shared" ref="V6:V37" si="10">T6-O6</f>
        <v>320799</v>
      </c>
      <c r="W6" s="5">
        <f t="shared" ref="W6:W37" si="11">V6-Q6</f>
        <v>54466</v>
      </c>
      <c r="X6" s="5">
        <f t="shared" ref="X6:X37" si="12">U6-P6</f>
        <v>690</v>
      </c>
      <c r="Y6" s="5">
        <f>VLOOKUP($B6,'251013_0시'!$A$1:$M$200,4,FALSE)</f>
        <v>2037354</v>
      </c>
      <c r="Z6" s="5">
        <f>VLOOKUP($B6,'251013_0시'!$A$1:$M$200,5,FALSE)</f>
        <v>2169</v>
      </c>
      <c r="AA6" s="5">
        <f t="shared" ref="AA6:AA37" si="13">Y6-T6</f>
        <v>257057</v>
      </c>
      <c r="AB6" s="5">
        <f t="shared" ref="AB6:AB37" si="14">AA6-V6</f>
        <v>-63742</v>
      </c>
      <c r="AC6" s="5">
        <f t="shared" ref="AC6:AC37" si="15">Z6-U6</f>
        <v>0</v>
      </c>
      <c r="AD6" s="5">
        <f>VLOOKUP($B6,'251013_0시'!$A$1:$M$200,4,FALSE)</f>
        <v>2037354</v>
      </c>
      <c r="AF6" s="5" t="s">
        <v>742</v>
      </c>
      <c r="AG6" s="5">
        <f>VLOOKUP($AF6,'251013'!$A$1:$M$200,4,FALSE)</f>
        <v>330351</v>
      </c>
      <c r="AH6" s="5">
        <f>VLOOKUP($AF6,'251013'!$A$1:$M$200,5,FALSE)</f>
        <v>749</v>
      </c>
      <c r="AI6" s="5">
        <f>VLOOKUP($AF6,'251014'!$A$1:$M$200,4,FALSE)</f>
        <v>670298</v>
      </c>
      <c r="AJ6" s="5">
        <f>VLOOKUP($AF6,'251014'!$A$1:$M$200,5,FALSE)</f>
        <v>1099</v>
      </c>
      <c r="AK6" s="5">
        <f t="shared" ref="AK6:AK37" si="16">AI6-AG6</f>
        <v>339947</v>
      </c>
      <c r="AL6" s="5">
        <f t="shared" ref="AL6:AL37" si="17">AK6-AG6</f>
        <v>9596</v>
      </c>
      <c r="AM6" s="5">
        <f t="shared" ref="AM6:AM37" si="18">AJ6-AH6</f>
        <v>350</v>
      </c>
      <c r="AN6" s="5">
        <f>VLOOKUP($AF6,'251015'!$A$1:$M$200,4,FALSE)</f>
        <v>1018569</v>
      </c>
      <c r="AO6" s="5">
        <f>VLOOKUP($AF6,'251015'!$A$1:$M$200,5,FALSE)</f>
        <v>1099</v>
      </c>
      <c r="AP6" s="5">
        <f t="shared" ref="AP6:AP37" si="19">AN6-AI6</f>
        <v>348271</v>
      </c>
      <c r="AQ6" s="5">
        <f t="shared" ref="AQ6:AQ37" si="20">AP6-AK6</f>
        <v>8324</v>
      </c>
      <c r="AR6" s="5">
        <f t="shared" ref="AR6:AR37" si="21">AO6-AJ6</f>
        <v>0</v>
      </c>
      <c r="AS6" s="5">
        <f>VLOOKUP($AF6,'251016'!$A$1:$M$200,4,FALSE)</f>
        <v>1339982</v>
      </c>
      <c r="AT6" s="5">
        <f>VLOOKUP($AF6,'251016'!$A$1:$M$200,5,FALSE)</f>
        <v>1099</v>
      </c>
      <c r="AU6" s="5">
        <f t="shared" ref="AU6:AU37" si="22">AS6-AN6</f>
        <v>321413</v>
      </c>
      <c r="AV6" s="5">
        <f t="shared" ref="AV6:AV37" si="23">AU6-AP6</f>
        <v>-26858</v>
      </c>
      <c r="AW6" s="5">
        <f t="shared" ref="AW6:AW37" si="24">AT6-AO6</f>
        <v>0</v>
      </c>
      <c r="AX6" s="5">
        <f>VLOOKUP($AF6,'251017'!$A$1:$M$200,4,FALSE)</f>
        <v>1649119</v>
      </c>
      <c r="AY6" s="5">
        <f>VLOOKUP($AF6,'251017'!$A$1:$M$200,5,FALSE)</f>
        <v>1099</v>
      </c>
      <c r="AZ6" s="5">
        <f t="shared" ref="AZ6:AZ37" si="25">AX6-AS6</f>
        <v>309137</v>
      </c>
      <c r="BA6" s="5">
        <f t="shared" ref="BA6:BA37" si="26">AZ6-AU6</f>
        <v>-12276</v>
      </c>
      <c r="BB6" s="5">
        <f t="shared" ref="BB6:BB37" si="27">AY6-AT6</f>
        <v>0</v>
      </c>
      <c r="BC6" s="5">
        <f>VLOOKUP($AF6,'251018'!$A$1:$M$200,4,FALSE)</f>
        <v>2013815</v>
      </c>
      <c r="BD6" s="5">
        <f>VLOOKUP($AF6,'251018'!$A$1:$M$200,5,FALSE)</f>
        <v>1099</v>
      </c>
      <c r="BE6" s="5">
        <f t="shared" ref="BE6:BE37" si="28">BC6-AX6</f>
        <v>364696</v>
      </c>
      <c r="BF6" s="5">
        <f t="shared" ref="BF6:BF37" si="29">BE6-AZ6</f>
        <v>55559</v>
      </c>
      <c r="BG6" s="5">
        <f t="shared" ref="BG6:BG37" si="30">BD6-AY6</f>
        <v>0</v>
      </c>
      <c r="BH6" s="5">
        <f>VLOOKUP($AF6,'251018'!$A$1:$M$200,4,FALSE)</f>
        <v>2013815</v>
      </c>
    </row>
    <row r="7" spans="1:60" x14ac:dyDescent="0.3">
      <c r="A7" t="s">
        <v>700</v>
      </c>
      <c r="B7" s="5" t="s">
        <v>740</v>
      </c>
      <c r="C7" s="5">
        <f>VLOOKUP($B7,'251008_0시'!$A$1:$M$200,4,FALSE)</f>
        <v>484962</v>
      </c>
      <c r="D7" s="5">
        <f>VLOOKUP($B7,'251008_0시'!$A$1:$M$200,5,FALSE)</f>
        <v>2250</v>
      </c>
      <c r="E7" s="5">
        <f>VLOOKUP($B7,'251009_0시'!$A$1:$M$200,4,FALSE)</f>
        <v>785148</v>
      </c>
      <c r="F7" s="5">
        <f>VLOOKUP($B7,'251009_0시'!$A$1:$M$200,5,FALSE)</f>
        <v>4118</v>
      </c>
      <c r="G7" s="5">
        <f t="shared" si="1"/>
        <v>300186</v>
      </c>
      <c r="H7" s="5">
        <f t="shared" si="2"/>
        <v>57705</v>
      </c>
      <c r="I7" s="5">
        <f t="shared" si="3"/>
        <v>1868</v>
      </c>
      <c r="J7" s="5">
        <f>VLOOKUP($B7,'251010_0시'!$A$1:$M$200,4,FALSE)</f>
        <v>1115404</v>
      </c>
      <c r="K7" s="5">
        <f>VLOOKUP($B7,'251010_0시'!$A$1:$M$200,5,FALSE)</f>
        <v>6341</v>
      </c>
      <c r="L7" s="5">
        <f t="shared" si="4"/>
        <v>330256</v>
      </c>
      <c r="M7" s="5">
        <f t="shared" si="5"/>
        <v>30070</v>
      </c>
      <c r="N7" s="5">
        <f t="shared" si="6"/>
        <v>2223</v>
      </c>
      <c r="O7" s="5">
        <f>VLOOKUP($B7,'251011_0시'!$A$1:$M$200,4,FALSE)</f>
        <v>1373166</v>
      </c>
      <c r="P7" s="5">
        <f>VLOOKUP($B7,'251011_0시'!$A$1:$M$200,5,FALSE)</f>
        <v>8141</v>
      </c>
      <c r="Q7" s="5">
        <f t="shared" si="7"/>
        <v>257762</v>
      </c>
      <c r="R7" s="5">
        <f t="shared" si="8"/>
        <v>-72494</v>
      </c>
      <c r="S7" s="5">
        <f t="shared" si="9"/>
        <v>1800</v>
      </c>
      <c r="T7" s="5">
        <f>VLOOKUP($B7,'251012_0시'!$A$1:$M$200,4,FALSE)</f>
        <v>1594086</v>
      </c>
      <c r="U7" s="5">
        <f>VLOOKUP($B7,'251012_0시'!$A$1:$M$200,5,FALSE)</f>
        <v>10841</v>
      </c>
      <c r="V7" s="5">
        <f t="shared" si="10"/>
        <v>220920</v>
      </c>
      <c r="W7" s="5">
        <f t="shared" si="11"/>
        <v>-36842</v>
      </c>
      <c r="X7" s="5">
        <f t="shared" si="12"/>
        <v>2700</v>
      </c>
      <c r="Y7" s="5">
        <f>VLOOKUP($B7,'251013_0시'!$A$1:$M$200,4,FALSE)</f>
        <v>1837514</v>
      </c>
      <c r="Z7" s="5">
        <f>VLOOKUP($B7,'251013_0시'!$A$1:$M$200,5,FALSE)</f>
        <v>12191</v>
      </c>
      <c r="AA7" s="5">
        <f t="shared" si="13"/>
        <v>243428</v>
      </c>
      <c r="AB7" s="5">
        <f t="shared" si="14"/>
        <v>22508</v>
      </c>
      <c r="AC7" s="5">
        <f t="shared" si="15"/>
        <v>1350</v>
      </c>
      <c r="AD7" s="5">
        <f>VLOOKUP($B7,'251013_0시'!$A$1:$M$200,4,FALSE)</f>
        <v>1837514</v>
      </c>
      <c r="AF7" s="5" t="s">
        <v>740</v>
      </c>
      <c r="AG7" s="5">
        <f>VLOOKUP($AF7,'251013'!$A$1:$M$200,4,FALSE)</f>
        <v>241211</v>
      </c>
      <c r="AH7" s="5">
        <f>VLOOKUP($AF7,'251013'!$A$1:$M$200,5,FALSE)</f>
        <v>2250</v>
      </c>
      <c r="AI7" s="5">
        <f>VLOOKUP($AF7,'251014'!$A$1:$M$200,4,FALSE)</f>
        <v>469876</v>
      </c>
      <c r="AJ7" s="5">
        <f>VLOOKUP($AF7,'251014'!$A$1:$M$200,5,FALSE)</f>
        <v>5400</v>
      </c>
      <c r="AK7" s="5">
        <f t="shared" si="16"/>
        <v>228665</v>
      </c>
      <c r="AL7" s="5">
        <f t="shared" si="17"/>
        <v>-12546</v>
      </c>
      <c r="AM7" s="5">
        <f t="shared" si="18"/>
        <v>3150</v>
      </c>
      <c r="AN7" s="5">
        <f>VLOOKUP($AF7,'251015'!$A$1:$M$200,4,FALSE)</f>
        <v>784321</v>
      </c>
      <c r="AO7" s="5">
        <f>VLOOKUP($AF7,'251015'!$A$1:$M$200,5,FALSE)</f>
        <v>9000</v>
      </c>
      <c r="AP7" s="5">
        <f t="shared" si="19"/>
        <v>314445</v>
      </c>
      <c r="AQ7" s="5">
        <f t="shared" si="20"/>
        <v>85780</v>
      </c>
      <c r="AR7" s="5">
        <f t="shared" si="21"/>
        <v>3600</v>
      </c>
      <c r="AS7" s="5">
        <f>VLOOKUP($AF7,'251016'!$A$1:$M$200,4,FALSE)</f>
        <v>1090077</v>
      </c>
      <c r="AT7" s="5">
        <f>VLOOKUP($AF7,'251016'!$A$1:$M$200,5,FALSE)</f>
        <v>10350</v>
      </c>
      <c r="AU7" s="5">
        <f t="shared" si="22"/>
        <v>305756</v>
      </c>
      <c r="AV7" s="5">
        <f t="shared" si="23"/>
        <v>-8689</v>
      </c>
      <c r="AW7" s="5">
        <f t="shared" si="24"/>
        <v>1350</v>
      </c>
      <c r="AX7" s="5">
        <f>VLOOKUP($AF7,'251017'!$A$1:$M$200,4,FALSE)</f>
        <v>1442572</v>
      </c>
      <c r="AY7" s="5">
        <f>VLOOKUP($AF7,'251017'!$A$1:$M$200,5,FALSE)</f>
        <v>13050</v>
      </c>
      <c r="AZ7" s="5">
        <f t="shared" si="25"/>
        <v>352495</v>
      </c>
      <c r="BA7" s="5">
        <f t="shared" si="26"/>
        <v>46739</v>
      </c>
      <c r="BB7" s="5">
        <f t="shared" si="27"/>
        <v>2700</v>
      </c>
      <c r="BC7" s="5">
        <f>VLOOKUP($AF7,'251018'!$A$1:$M$200,4,FALSE)</f>
        <v>1763709</v>
      </c>
      <c r="BD7" s="5">
        <f>VLOOKUP($AF7,'251018'!$A$1:$M$200,5,FALSE)</f>
        <v>14850</v>
      </c>
      <c r="BE7" s="5">
        <f t="shared" si="28"/>
        <v>321137</v>
      </c>
      <c r="BF7" s="5">
        <f t="shared" si="29"/>
        <v>-31358</v>
      </c>
      <c r="BG7" s="5">
        <f t="shared" si="30"/>
        <v>1800</v>
      </c>
      <c r="BH7" s="5">
        <f>VLOOKUP($AF7,'251018'!$A$1:$M$200,4,FALSE)</f>
        <v>1763709</v>
      </c>
    </row>
    <row r="8" spans="1:60" x14ac:dyDescent="0.3">
      <c r="A8" t="s">
        <v>700</v>
      </c>
      <c r="B8" s="5" t="s">
        <v>744</v>
      </c>
      <c r="C8" s="5">
        <f>VLOOKUP($B8,'251008_0시'!$A$1:$M$200,4,FALSE)</f>
        <v>543549</v>
      </c>
      <c r="D8" s="5">
        <f>VLOOKUP($B8,'251008_0시'!$A$1:$M$200,5,FALSE)</f>
        <v>350</v>
      </c>
      <c r="E8" s="5">
        <f>VLOOKUP($B8,'251009_0시'!$A$1:$M$200,4,FALSE)</f>
        <v>847511</v>
      </c>
      <c r="F8" s="5">
        <f>VLOOKUP($B8,'251009_0시'!$A$1:$M$200,5,FALSE)</f>
        <v>350</v>
      </c>
      <c r="G8" s="5">
        <f t="shared" si="1"/>
        <v>303962</v>
      </c>
      <c r="H8" s="5">
        <f t="shared" si="2"/>
        <v>32187.5</v>
      </c>
      <c r="I8" s="5">
        <f t="shared" si="3"/>
        <v>0</v>
      </c>
      <c r="J8" s="5">
        <f>VLOOKUP($B8,'251010_0시'!$A$1:$M$200,4,FALSE)</f>
        <v>1083278</v>
      </c>
      <c r="K8" s="5">
        <f>VLOOKUP($B8,'251010_0시'!$A$1:$M$200,5,FALSE)</f>
        <v>1609</v>
      </c>
      <c r="L8" s="5">
        <f t="shared" si="4"/>
        <v>235767</v>
      </c>
      <c r="M8" s="5">
        <f t="shared" si="5"/>
        <v>-68195</v>
      </c>
      <c r="N8" s="5">
        <f t="shared" si="6"/>
        <v>1259</v>
      </c>
      <c r="O8" s="5">
        <f>VLOOKUP($B8,'251011_0시'!$A$1:$M$200,4,FALSE)</f>
        <v>1368716</v>
      </c>
      <c r="P8" s="5">
        <f>VLOOKUP($B8,'251011_0시'!$A$1:$M$200,5,FALSE)</f>
        <v>1609</v>
      </c>
      <c r="Q8" s="5">
        <f t="shared" si="7"/>
        <v>285438</v>
      </c>
      <c r="R8" s="5">
        <f t="shared" si="8"/>
        <v>49671</v>
      </c>
      <c r="S8" s="5">
        <f t="shared" si="9"/>
        <v>0</v>
      </c>
      <c r="T8" s="5">
        <f>VLOOKUP($B8,'251012_0시'!$A$1:$M$200,4,FALSE)</f>
        <v>1607213</v>
      </c>
      <c r="U8" s="5">
        <f>VLOOKUP($B8,'251012_0시'!$A$1:$M$200,5,FALSE)</f>
        <v>1609</v>
      </c>
      <c r="V8" s="5">
        <f t="shared" si="10"/>
        <v>238497</v>
      </c>
      <c r="W8" s="5">
        <f t="shared" si="11"/>
        <v>-46941</v>
      </c>
      <c r="X8" s="5">
        <f t="shared" si="12"/>
        <v>0</v>
      </c>
      <c r="Y8" s="5">
        <f>VLOOKUP($B8,'251013_0시'!$A$1:$M$200,4,FALSE)</f>
        <v>1820685</v>
      </c>
      <c r="Z8" s="5">
        <f>VLOOKUP($B8,'251013_0시'!$A$1:$M$200,5,FALSE)</f>
        <v>1959</v>
      </c>
      <c r="AA8" s="5">
        <f t="shared" si="13"/>
        <v>213472</v>
      </c>
      <c r="AB8" s="5">
        <f t="shared" si="14"/>
        <v>-25025</v>
      </c>
      <c r="AC8" s="5">
        <f t="shared" si="15"/>
        <v>350</v>
      </c>
      <c r="AD8" s="5">
        <f>VLOOKUP($B8,'251013_0시'!$A$1:$M$200,4,FALSE)</f>
        <v>1820685</v>
      </c>
      <c r="AF8" s="5" t="s">
        <v>744</v>
      </c>
      <c r="AG8" s="5">
        <f>VLOOKUP($AF8,'251013'!$A$1:$M$200,4,FALSE)</f>
        <v>245960</v>
      </c>
      <c r="AH8" s="5">
        <f>VLOOKUP($AF8,'251013'!$A$1:$M$200,5,FALSE)</f>
        <v>0</v>
      </c>
      <c r="AI8" s="5">
        <f>VLOOKUP($AF8,'251014'!$A$1:$M$200,4,FALSE)</f>
        <v>525865</v>
      </c>
      <c r="AJ8" s="5">
        <f>VLOOKUP($AF8,'251014'!$A$1:$M$200,5,FALSE)</f>
        <v>0</v>
      </c>
      <c r="AK8" s="5">
        <f t="shared" si="16"/>
        <v>279905</v>
      </c>
      <c r="AL8" s="5">
        <f t="shared" si="17"/>
        <v>33945</v>
      </c>
      <c r="AM8" s="5">
        <f t="shared" si="18"/>
        <v>0</v>
      </c>
      <c r="AN8" s="5">
        <f>VLOOKUP($AF8,'251015'!$A$1:$M$200,4,FALSE)</f>
        <v>831829</v>
      </c>
      <c r="AO8" s="5">
        <f>VLOOKUP($AF8,'251015'!$A$1:$M$200,5,FALSE)</f>
        <v>0</v>
      </c>
      <c r="AP8" s="5">
        <f t="shared" si="19"/>
        <v>305964</v>
      </c>
      <c r="AQ8" s="5">
        <f t="shared" si="20"/>
        <v>26059</v>
      </c>
      <c r="AR8" s="5">
        <f t="shared" si="21"/>
        <v>0</v>
      </c>
      <c r="AS8" s="5">
        <f>VLOOKUP($AF8,'251016'!$A$1:$M$200,4,FALSE)</f>
        <v>1076326</v>
      </c>
      <c r="AT8" s="5">
        <f>VLOOKUP($AF8,'251016'!$A$1:$M$200,5,FALSE)</f>
        <v>0</v>
      </c>
      <c r="AU8" s="5">
        <f t="shared" si="22"/>
        <v>244497</v>
      </c>
      <c r="AV8" s="5">
        <f t="shared" si="23"/>
        <v>-61467</v>
      </c>
      <c r="AW8" s="5">
        <f t="shared" si="24"/>
        <v>0</v>
      </c>
      <c r="AX8" s="5">
        <f>VLOOKUP($AF8,'251017'!$A$1:$M$200,4,FALSE)</f>
        <v>1321299</v>
      </c>
      <c r="AY8" s="5">
        <f>VLOOKUP($AF8,'251017'!$A$1:$M$200,5,FALSE)</f>
        <v>0</v>
      </c>
      <c r="AZ8" s="5">
        <f t="shared" si="25"/>
        <v>244973</v>
      </c>
      <c r="BA8" s="5">
        <f t="shared" si="26"/>
        <v>476</v>
      </c>
      <c r="BB8" s="5">
        <f t="shared" si="27"/>
        <v>0</v>
      </c>
      <c r="BC8" s="5">
        <f>VLOOKUP($AF8,'251018'!$A$1:$M$200,4,FALSE)</f>
        <v>1635689</v>
      </c>
      <c r="BD8" s="5">
        <f>VLOOKUP($AF8,'251018'!$A$1:$M$200,5,FALSE)</f>
        <v>0</v>
      </c>
      <c r="BE8" s="5">
        <f t="shared" si="28"/>
        <v>314390</v>
      </c>
      <c r="BF8" s="5">
        <f t="shared" si="29"/>
        <v>69417</v>
      </c>
      <c r="BG8" s="5">
        <f t="shared" si="30"/>
        <v>0</v>
      </c>
      <c r="BH8" s="5">
        <f>VLOOKUP($AF8,'251018'!$A$1:$M$200,4,FALSE)</f>
        <v>1635689</v>
      </c>
    </row>
    <row r="9" spans="1:60" x14ac:dyDescent="0.3">
      <c r="B9" s="5" t="s">
        <v>743</v>
      </c>
      <c r="C9" s="5">
        <f>VLOOKUP($B9,'251008_0시'!$A$1:$M$200,4,FALSE)</f>
        <v>555036</v>
      </c>
      <c r="D9" s="5">
        <f>VLOOKUP($B9,'251008_0시'!$A$1:$M$200,5,FALSE)</f>
        <v>0</v>
      </c>
      <c r="E9" s="5">
        <f>VLOOKUP($B9,'251009_0시'!$A$1:$M$200,4,FALSE)</f>
        <v>767622</v>
      </c>
      <c r="F9" s="5">
        <f>VLOOKUP($B9,'251009_0시'!$A$1:$M$200,5,FALSE)</f>
        <v>0</v>
      </c>
      <c r="G9" s="5">
        <f t="shared" si="1"/>
        <v>212586</v>
      </c>
      <c r="H9" s="5">
        <f t="shared" si="2"/>
        <v>-64932</v>
      </c>
      <c r="I9" s="5">
        <f t="shared" si="3"/>
        <v>0</v>
      </c>
      <c r="J9" s="5">
        <f>VLOOKUP($B9,'251010_0시'!$A$1:$M$200,4,FALSE)</f>
        <v>1030367</v>
      </c>
      <c r="K9" s="5">
        <f>VLOOKUP($B9,'251010_0시'!$A$1:$M$200,5,FALSE)</f>
        <v>394</v>
      </c>
      <c r="L9" s="5">
        <f t="shared" si="4"/>
        <v>262745</v>
      </c>
      <c r="M9" s="5">
        <f t="shared" si="5"/>
        <v>50159</v>
      </c>
      <c r="N9" s="5">
        <f t="shared" si="6"/>
        <v>394</v>
      </c>
      <c r="O9" s="5">
        <f>VLOOKUP($B9,'251011_0시'!$A$1:$M$200,4,FALSE)</f>
        <v>1268708</v>
      </c>
      <c r="P9" s="5">
        <f>VLOOKUP($B9,'251011_0시'!$A$1:$M$200,5,FALSE)</f>
        <v>394</v>
      </c>
      <c r="Q9" s="5">
        <f t="shared" si="7"/>
        <v>238341</v>
      </c>
      <c r="R9" s="5">
        <f t="shared" si="8"/>
        <v>-24404</v>
      </c>
      <c r="S9" s="5">
        <f t="shared" si="9"/>
        <v>0</v>
      </c>
      <c r="T9" s="5">
        <f>VLOOKUP($B9,'251012_0시'!$A$1:$M$200,4,FALSE)</f>
        <v>1524791</v>
      </c>
      <c r="U9" s="5">
        <f>VLOOKUP($B9,'251012_0시'!$A$1:$M$200,5,FALSE)</f>
        <v>1144</v>
      </c>
      <c r="V9" s="5">
        <f t="shared" si="10"/>
        <v>256083</v>
      </c>
      <c r="W9" s="5">
        <f t="shared" si="11"/>
        <v>17742</v>
      </c>
      <c r="X9" s="5">
        <f t="shared" si="12"/>
        <v>750</v>
      </c>
      <c r="Y9" s="5">
        <f>VLOOKUP($B9,'251013_0시'!$A$1:$M$200,4,FALSE)</f>
        <v>1811691</v>
      </c>
      <c r="Z9" s="5">
        <f>VLOOKUP($B9,'251013_0시'!$A$1:$M$200,5,FALSE)</f>
        <v>1144</v>
      </c>
      <c r="AA9" s="5">
        <f t="shared" si="13"/>
        <v>286900</v>
      </c>
      <c r="AB9" s="5">
        <f t="shared" si="14"/>
        <v>30817</v>
      </c>
      <c r="AC9" s="5">
        <f t="shared" si="15"/>
        <v>0</v>
      </c>
      <c r="AD9" s="5">
        <f>VLOOKUP($B9,'251013_0시'!$A$1:$M$200,4,FALSE)</f>
        <v>1811691</v>
      </c>
      <c r="AF9" s="5" t="s">
        <v>938</v>
      </c>
      <c r="AG9" s="5">
        <f>VLOOKUP($AF9,'251013'!$A$1:$M$200,4,FALSE)</f>
        <v>209816</v>
      </c>
      <c r="AH9" s="5">
        <f>VLOOKUP($AF9,'251013'!$A$1:$M$200,5,FALSE)</f>
        <v>50</v>
      </c>
      <c r="AI9" s="5">
        <f>VLOOKUP($AF9,'251014'!$A$1:$M$200,4,FALSE)</f>
        <v>476059</v>
      </c>
      <c r="AJ9" s="5">
        <f>VLOOKUP($AF9,'251014'!$A$1:$M$200,5,FALSE)</f>
        <v>400</v>
      </c>
      <c r="AK9" s="5">
        <f t="shared" si="16"/>
        <v>266243</v>
      </c>
      <c r="AL9" s="5">
        <f t="shared" si="17"/>
        <v>56427</v>
      </c>
      <c r="AM9" s="5">
        <f t="shared" si="18"/>
        <v>350</v>
      </c>
      <c r="AN9" s="5">
        <f>VLOOKUP($AF9,'251015'!$A$1:$M$200,4,FALSE)</f>
        <v>739251</v>
      </c>
      <c r="AO9" s="5">
        <f>VLOOKUP($AF9,'251015'!$A$1:$M$200,5,FALSE)</f>
        <v>400</v>
      </c>
      <c r="AP9" s="5">
        <f t="shared" si="19"/>
        <v>263192</v>
      </c>
      <c r="AQ9" s="5">
        <f t="shared" si="20"/>
        <v>-3051</v>
      </c>
      <c r="AR9" s="5">
        <f t="shared" si="21"/>
        <v>0</v>
      </c>
      <c r="AS9" s="5">
        <f>VLOOKUP($AF9,'251016'!$A$1:$M$200,4,FALSE)</f>
        <v>944140</v>
      </c>
      <c r="AT9" s="5">
        <f>VLOOKUP($AF9,'251016'!$A$1:$M$200,5,FALSE)</f>
        <v>400</v>
      </c>
      <c r="AU9" s="5">
        <f t="shared" si="22"/>
        <v>204889</v>
      </c>
      <c r="AV9" s="5">
        <f t="shared" si="23"/>
        <v>-58303</v>
      </c>
      <c r="AW9" s="5">
        <f t="shared" si="24"/>
        <v>0</v>
      </c>
      <c r="AX9" s="5">
        <f>VLOOKUP($AF9,'251017'!$A$1:$M$200,4,FALSE)</f>
        <v>1260665</v>
      </c>
      <c r="AY9" s="5">
        <f>VLOOKUP($AF9,'251017'!$A$1:$M$200,5,FALSE)</f>
        <v>703</v>
      </c>
      <c r="AZ9" s="5">
        <f t="shared" si="25"/>
        <v>316525</v>
      </c>
      <c r="BA9" s="5">
        <f t="shared" si="26"/>
        <v>111636</v>
      </c>
      <c r="BB9" s="5">
        <f t="shared" si="27"/>
        <v>303</v>
      </c>
      <c r="BC9" s="5">
        <f>VLOOKUP($AF9,'251018'!$A$1:$M$200,4,FALSE)</f>
        <v>1576790</v>
      </c>
      <c r="BD9" s="5">
        <f>VLOOKUP($AF9,'251018'!$A$1:$M$200,5,FALSE)</f>
        <v>703</v>
      </c>
      <c r="BE9" s="5">
        <f t="shared" si="28"/>
        <v>316125</v>
      </c>
      <c r="BF9" s="5">
        <f t="shared" si="29"/>
        <v>-400</v>
      </c>
      <c r="BG9" s="5">
        <f t="shared" si="30"/>
        <v>0</v>
      </c>
      <c r="BH9" s="5">
        <f>VLOOKUP($AF9,'251018'!$A$1:$M$200,4,FALSE)</f>
        <v>1576790</v>
      </c>
    </row>
    <row r="10" spans="1:60" x14ac:dyDescent="0.3">
      <c r="B10" s="5" t="s">
        <v>938</v>
      </c>
      <c r="C10" s="5">
        <f>VLOOKUP($B10,'251008_0시'!$A$1:$M$200,4,FALSE)</f>
        <v>555403</v>
      </c>
      <c r="D10" s="5">
        <f>VLOOKUP($B10,'251008_0시'!$A$1:$M$200,5,FALSE)</f>
        <v>138</v>
      </c>
      <c r="E10" s="5">
        <f>VLOOKUP($B10,'251009_0시'!$A$1:$M$200,4,FALSE)</f>
        <v>830233</v>
      </c>
      <c r="F10" s="5">
        <f>VLOOKUP($B10,'251009_0시'!$A$1:$M$200,5,FALSE)</f>
        <v>138</v>
      </c>
      <c r="G10" s="5">
        <f t="shared" si="1"/>
        <v>274830</v>
      </c>
      <c r="H10" s="5">
        <f t="shared" si="2"/>
        <v>-2871.5</v>
      </c>
      <c r="I10" s="5">
        <f t="shared" si="3"/>
        <v>0</v>
      </c>
      <c r="J10" s="5">
        <f>VLOOKUP($B10,'251010_0시'!$A$1:$M$200,4,FALSE)</f>
        <v>1108677</v>
      </c>
      <c r="K10" s="5">
        <f>VLOOKUP($B10,'251010_0시'!$A$1:$M$200,5,FALSE)</f>
        <v>777</v>
      </c>
      <c r="L10" s="5">
        <f t="shared" si="4"/>
        <v>278444</v>
      </c>
      <c r="M10" s="5">
        <f t="shared" si="5"/>
        <v>3614</v>
      </c>
      <c r="N10" s="5">
        <f t="shared" si="6"/>
        <v>639</v>
      </c>
      <c r="O10" s="5">
        <f>VLOOKUP($B10,'251011_0시'!$A$1:$M$200,4,FALSE)</f>
        <v>1375719</v>
      </c>
      <c r="P10" s="5">
        <f>VLOOKUP($B10,'251011_0시'!$A$1:$M$200,5,FALSE)</f>
        <v>777</v>
      </c>
      <c r="Q10" s="5">
        <f t="shared" si="7"/>
        <v>267042</v>
      </c>
      <c r="R10" s="5">
        <f t="shared" si="8"/>
        <v>-11402</v>
      </c>
      <c r="S10" s="5">
        <f t="shared" si="9"/>
        <v>0</v>
      </c>
      <c r="T10" s="5">
        <f>VLOOKUP($B10,'251012_0시'!$A$1:$M$200,4,FALSE)</f>
        <v>1616138</v>
      </c>
      <c r="U10" s="5">
        <f>VLOOKUP($B10,'251012_0시'!$A$1:$M$200,5,FALSE)</f>
        <v>777</v>
      </c>
      <c r="V10" s="5">
        <f t="shared" si="10"/>
        <v>240419</v>
      </c>
      <c r="W10" s="5">
        <f t="shared" si="11"/>
        <v>-26623</v>
      </c>
      <c r="X10" s="5">
        <f t="shared" si="12"/>
        <v>0</v>
      </c>
      <c r="Y10" s="5">
        <f>VLOOKUP($B10,'251013_0시'!$A$1:$M$200,4,FALSE)</f>
        <v>1800174</v>
      </c>
      <c r="Z10" s="5">
        <f>VLOOKUP($B10,'251013_0시'!$A$1:$M$200,5,FALSE)</f>
        <v>777</v>
      </c>
      <c r="AA10" s="5">
        <f t="shared" si="13"/>
        <v>184036</v>
      </c>
      <c r="AB10" s="5">
        <f t="shared" si="14"/>
        <v>-56383</v>
      </c>
      <c r="AC10" s="5">
        <f t="shared" si="15"/>
        <v>0</v>
      </c>
      <c r="AD10" s="5">
        <f>VLOOKUP($B10,'251013_0시'!$A$1:$M$200,4,FALSE)</f>
        <v>1800174</v>
      </c>
      <c r="AF10" s="5" t="s">
        <v>804</v>
      </c>
      <c r="AG10" s="5">
        <f>VLOOKUP($AF10,'251013'!$A$1:$M$200,4,FALSE)</f>
        <v>228826</v>
      </c>
      <c r="AH10" s="5">
        <f>VLOOKUP($AF10,'251013'!$A$1:$M$200,5,FALSE)</f>
        <v>0</v>
      </c>
      <c r="AI10" s="5">
        <f>VLOOKUP($AF10,'251014'!$A$1:$M$200,4,FALSE)</f>
        <v>500805</v>
      </c>
      <c r="AJ10" s="5">
        <f>VLOOKUP($AF10,'251014'!$A$1:$M$200,5,FALSE)</f>
        <v>0</v>
      </c>
      <c r="AK10" s="5">
        <f t="shared" si="16"/>
        <v>271979</v>
      </c>
      <c r="AL10" s="5">
        <f t="shared" si="17"/>
        <v>43153</v>
      </c>
      <c r="AM10" s="5">
        <f t="shared" si="18"/>
        <v>0</v>
      </c>
      <c r="AN10" s="5">
        <f>VLOOKUP($AF10,'251015'!$A$1:$M$200,4,FALSE)</f>
        <v>731504</v>
      </c>
      <c r="AO10" s="5">
        <f>VLOOKUP($AF10,'251015'!$A$1:$M$200,5,FALSE)</f>
        <v>0</v>
      </c>
      <c r="AP10" s="5">
        <f t="shared" si="19"/>
        <v>230699</v>
      </c>
      <c r="AQ10" s="5">
        <f t="shared" si="20"/>
        <v>-41280</v>
      </c>
      <c r="AR10" s="5">
        <f t="shared" si="21"/>
        <v>0</v>
      </c>
      <c r="AS10" s="5">
        <f>VLOOKUP($AF10,'251016'!$A$1:$M$200,4,FALSE)</f>
        <v>950077</v>
      </c>
      <c r="AT10" s="5">
        <f>VLOOKUP($AF10,'251016'!$A$1:$M$200,5,FALSE)</f>
        <v>0</v>
      </c>
      <c r="AU10" s="5">
        <f t="shared" si="22"/>
        <v>218573</v>
      </c>
      <c r="AV10" s="5">
        <f t="shared" si="23"/>
        <v>-12126</v>
      </c>
      <c r="AW10" s="5">
        <f t="shared" si="24"/>
        <v>0</v>
      </c>
      <c r="AX10" s="5">
        <f>VLOOKUP($AF10,'251017'!$A$1:$M$200,4,FALSE)</f>
        <v>1260681</v>
      </c>
      <c r="AY10" s="5">
        <f>VLOOKUP($AF10,'251017'!$A$1:$M$200,5,FALSE)</f>
        <v>96</v>
      </c>
      <c r="AZ10" s="5">
        <f t="shared" si="25"/>
        <v>310604</v>
      </c>
      <c r="BA10" s="5">
        <f t="shared" si="26"/>
        <v>92031</v>
      </c>
      <c r="BB10" s="5">
        <f t="shared" si="27"/>
        <v>96</v>
      </c>
      <c r="BC10" s="5">
        <f>VLOOKUP($AF10,'251018'!$A$1:$M$200,4,FALSE)</f>
        <v>1535535</v>
      </c>
      <c r="BD10" s="5">
        <f>VLOOKUP($AF10,'251018'!$A$1:$M$200,5,FALSE)</f>
        <v>96</v>
      </c>
      <c r="BE10" s="5">
        <f t="shared" si="28"/>
        <v>274854</v>
      </c>
      <c r="BF10" s="5">
        <f t="shared" si="29"/>
        <v>-35750</v>
      </c>
      <c r="BG10" s="5">
        <f t="shared" si="30"/>
        <v>0</v>
      </c>
      <c r="BH10" s="5">
        <f>VLOOKUP($AF10,'251018'!$A$1:$M$200,4,FALSE)</f>
        <v>1535535</v>
      </c>
    </row>
    <row r="11" spans="1:60" x14ac:dyDescent="0.3">
      <c r="B11" s="5" t="s">
        <v>941</v>
      </c>
      <c r="C11" s="5">
        <f>VLOOKUP($B11,'251008_0시'!$A$1:$M$200,4,FALSE)</f>
        <v>531460</v>
      </c>
      <c r="D11" s="5">
        <f>VLOOKUP($B11,'251008_0시'!$A$1:$M$200,5,FALSE)</f>
        <v>520</v>
      </c>
      <c r="E11" s="5">
        <f>VLOOKUP($B11,'251009_0시'!$A$1:$M$200,4,FALSE)</f>
        <v>789788</v>
      </c>
      <c r="F11" s="5">
        <f>VLOOKUP($B11,'251009_0시'!$A$1:$M$200,5,FALSE)</f>
        <v>520</v>
      </c>
      <c r="G11" s="5">
        <f t="shared" si="1"/>
        <v>258328</v>
      </c>
      <c r="H11" s="5">
        <f t="shared" si="2"/>
        <v>-7402</v>
      </c>
      <c r="I11" s="5">
        <f t="shared" si="3"/>
        <v>0</v>
      </c>
      <c r="J11" s="5">
        <f>VLOOKUP($B11,'251010_0시'!$A$1:$M$200,4,FALSE)</f>
        <v>1027354</v>
      </c>
      <c r="K11" s="5">
        <f>VLOOKUP($B11,'251010_0시'!$A$1:$M$200,5,FALSE)</f>
        <v>520</v>
      </c>
      <c r="L11" s="5">
        <f t="shared" si="4"/>
        <v>237566</v>
      </c>
      <c r="M11" s="5">
        <f t="shared" si="5"/>
        <v>-20762</v>
      </c>
      <c r="N11" s="5">
        <f t="shared" si="6"/>
        <v>0</v>
      </c>
      <c r="O11" s="5">
        <f>VLOOKUP($B11,'251011_0시'!$A$1:$M$200,4,FALSE)</f>
        <v>1226311</v>
      </c>
      <c r="P11" s="5">
        <f>VLOOKUP($B11,'251011_0시'!$A$1:$M$200,5,FALSE)</f>
        <v>520</v>
      </c>
      <c r="Q11" s="5">
        <f t="shared" si="7"/>
        <v>198957</v>
      </c>
      <c r="R11" s="5">
        <f t="shared" si="8"/>
        <v>-38609</v>
      </c>
      <c r="S11" s="5">
        <f t="shared" si="9"/>
        <v>0</v>
      </c>
      <c r="T11" s="5">
        <f>VLOOKUP($B11,'251012_0시'!$A$1:$M$200,4,FALSE)</f>
        <v>1486101</v>
      </c>
      <c r="U11" s="5">
        <f>VLOOKUP($B11,'251012_0시'!$A$1:$M$200,5,FALSE)</f>
        <v>520</v>
      </c>
      <c r="V11" s="5">
        <f t="shared" si="10"/>
        <v>259790</v>
      </c>
      <c r="W11" s="5">
        <f t="shared" si="11"/>
        <v>60833</v>
      </c>
      <c r="X11" s="5">
        <f t="shared" si="12"/>
        <v>0</v>
      </c>
      <c r="Y11" s="5">
        <f>VLOOKUP($B11,'251013_0시'!$A$1:$M$200,4,FALSE)</f>
        <v>1732790</v>
      </c>
      <c r="Z11" s="5">
        <f>VLOOKUP($B11,'251013_0시'!$A$1:$M$200,5,FALSE)</f>
        <v>1180</v>
      </c>
      <c r="AA11" s="5">
        <f t="shared" si="13"/>
        <v>246689</v>
      </c>
      <c r="AB11" s="5">
        <f t="shared" si="14"/>
        <v>-13101</v>
      </c>
      <c r="AC11" s="5">
        <f t="shared" si="15"/>
        <v>660</v>
      </c>
      <c r="AD11" s="5">
        <f>VLOOKUP($B11,'251013_0시'!$A$1:$M$200,4,FALSE)</f>
        <v>1732790</v>
      </c>
      <c r="AF11" s="5" t="s">
        <v>752</v>
      </c>
      <c r="AG11" s="5">
        <f>VLOOKUP($AF11,'251013'!$A$1:$M$200,4,FALSE)</f>
        <v>270842</v>
      </c>
      <c r="AH11" s="5">
        <f>VLOOKUP($AF11,'251013'!$A$1:$M$200,5,FALSE)</f>
        <v>900</v>
      </c>
      <c r="AI11" s="5">
        <f>VLOOKUP($AF11,'251014'!$A$1:$M$200,4,FALSE)</f>
        <v>530177</v>
      </c>
      <c r="AJ11" s="5">
        <f>VLOOKUP($AF11,'251014'!$A$1:$M$200,5,FALSE)</f>
        <v>3150</v>
      </c>
      <c r="AK11" s="5">
        <f t="shared" si="16"/>
        <v>259335</v>
      </c>
      <c r="AL11" s="5">
        <f t="shared" si="17"/>
        <v>-11507</v>
      </c>
      <c r="AM11" s="5">
        <f t="shared" si="18"/>
        <v>2250</v>
      </c>
      <c r="AN11" s="5">
        <f>VLOOKUP($AF11,'251015'!$A$1:$M$200,4,FALSE)</f>
        <v>784748</v>
      </c>
      <c r="AO11" s="5">
        <f>VLOOKUP($AF11,'251015'!$A$1:$M$200,5,FALSE)</f>
        <v>3600</v>
      </c>
      <c r="AP11" s="5">
        <f t="shared" si="19"/>
        <v>254571</v>
      </c>
      <c r="AQ11" s="5">
        <f t="shared" si="20"/>
        <v>-4764</v>
      </c>
      <c r="AR11" s="5">
        <f t="shared" si="21"/>
        <v>450</v>
      </c>
      <c r="AS11" s="5">
        <f>VLOOKUP($AF11,'251016'!$A$1:$M$200,4,FALSE)</f>
        <v>1034539</v>
      </c>
      <c r="AT11" s="5">
        <f>VLOOKUP($AF11,'251016'!$A$1:$M$200,5,FALSE)</f>
        <v>4500</v>
      </c>
      <c r="AU11" s="5">
        <f t="shared" si="22"/>
        <v>249791</v>
      </c>
      <c r="AV11" s="5">
        <f t="shared" si="23"/>
        <v>-4780</v>
      </c>
      <c r="AW11" s="5">
        <f t="shared" si="24"/>
        <v>900</v>
      </c>
      <c r="AX11" s="5">
        <f>VLOOKUP($AF11,'251017'!$A$1:$M$200,4,FALSE)</f>
        <v>1244290</v>
      </c>
      <c r="AY11" s="5">
        <f>VLOOKUP($AF11,'251017'!$A$1:$M$200,5,FALSE)</f>
        <v>5400</v>
      </c>
      <c r="AZ11" s="5">
        <f t="shared" si="25"/>
        <v>209751</v>
      </c>
      <c r="BA11" s="5">
        <f t="shared" si="26"/>
        <v>-40040</v>
      </c>
      <c r="BB11" s="5">
        <f t="shared" si="27"/>
        <v>900</v>
      </c>
      <c r="BC11" s="5">
        <f>VLOOKUP($AF11,'251018'!$A$1:$M$200,4,FALSE)</f>
        <v>1533455</v>
      </c>
      <c r="BD11" s="5">
        <f>VLOOKUP($AF11,'251018'!$A$1:$M$200,5,FALSE)</f>
        <v>5850</v>
      </c>
      <c r="BE11" s="5">
        <f t="shared" si="28"/>
        <v>289165</v>
      </c>
      <c r="BF11" s="5">
        <f t="shared" si="29"/>
        <v>79414</v>
      </c>
      <c r="BG11" s="5">
        <f t="shared" si="30"/>
        <v>450</v>
      </c>
      <c r="BH11" s="5">
        <f>VLOOKUP($AF11,'251018'!$A$1:$M$200,4,FALSE)</f>
        <v>1533455</v>
      </c>
    </row>
    <row r="12" spans="1:60" x14ac:dyDescent="0.3">
      <c r="B12" s="5" t="s">
        <v>746</v>
      </c>
      <c r="C12" s="5">
        <f>VLOOKUP($B12,'251008_0시'!$A$1:$M$200,4,FALSE)</f>
        <v>514814</v>
      </c>
      <c r="D12" s="5">
        <f>VLOOKUP($B12,'251008_0시'!$A$1:$M$200,5,FALSE)</f>
        <v>470</v>
      </c>
      <c r="E12" s="5">
        <f>VLOOKUP($B12,'251009_0시'!$A$1:$M$200,4,FALSE)</f>
        <v>790157</v>
      </c>
      <c r="F12" s="5">
        <f>VLOOKUP($B12,'251009_0시'!$A$1:$M$200,5,FALSE)</f>
        <v>625</v>
      </c>
      <c r="G12" s="5">
        <f t="shared" si="1"/>
        <v>275343</v>
      </c>
      <c r="H12" s="5">
        <f t="shared" si="2"/>
        <v>17936</v>
      </c>
      <c r="I12" s="5">
        <f t="shared" si="3"/>
        <v>155</v>
      </c>
      <c r="J12" s="5">
        <f>VLOOKUP($B12,'251010_0시'!$A$1:$M$200,4,FALSE)</f>
        <v>992565</v>
      </c>
      <c r="K12" s="5">
        <f>VLOOKUP($B12,'251010_0시'!$A$1:$M$200,5,FALSE)</f>
        <v>3173</v>
      </c>
      <c r="L12" s="5">
        <f t="shared" si="4"/>
        <v>202408</v>
      </c>
      <c r="M12" s="5">
        <f t="shared" si="5"/>
        <v>-72935</v>
      </c>
      <c r="N12" s="5">
        <f t="shared" si="6"/>
        <v>2548</v>
      </c>
      <c r="O12" s="5">
        <f>VLOOKUP($B12,'251011_0시'!$A$1:$M$200,4,FALSE)</f>
        <v>1236123</v>
      </c>
      <c r="P12" s="5">
        <f>VLOOKUP($B12,'251011_0시'!$A$1:$M$200,5,FALSE)</f>
        <v>5473</v>
      </c>
      <c r="Q12" s="5">
        <f t="shared" si="7"/>
        <v>243558</v>
      </c>
      <c r="R12" s="5">
        <f t="shared" si="8"/>
        <v>41150</v>
      </c>
      <c r="S12" s="5">
        <f t="shared" si="9"/>
        <v>2300</v>
      </c>
      <c r="T12" s="5">
        <f>VLOOKUP($B12,'251012_0시'!$A$1:$M$200,4,FALSE)</f>
        <v>1457313</v>
      </c>
      <c r="U12" s="5">
        <f>VLOOKUP($B12,'251012_0시'!$A$1:$M$200,5,FALSE)</f>
        <v>8223</v>
      </c>
      <c r="V12" s="5">
        <f t="shared" si="10"/>
        <v>221190</v>
      </c>
      <c r="W12" s="5">
        <f t="shared" si="11"/>
        <v>-22368</v>
      </c>
      <c r="X12" s="5">
        <f t="shared" si="12"/>
        <v>2750</v>
      </c>
      <c r="Y12" s="5">
        <f>VLOOKUP($B12,'251013_0시'!$A$1:$M$200,4,FALSE)</f>
        <v>1692915</v>
      </c>
      <c r="Z12" s="5">
        <f>VLOOKUP($B12,'251013_0시'!$A$1:$M$200,5,FALSE)</f>
        <v>8223</v>
      </c>
      <c r="AA12" s="5">
        <f t="shared" si="13"/>
        <v>235602</v>
      </c>
      <c r="AB12" s="5">
        <f t="shared" si="14"/>
        <v>14412</v>
      </c>
      <c r="AC12" s="5">
        <f t="shared" si="15"/>
        <v>0</v>
      </c>
      <c r="AD12" s="5">
        <f>VLOOKUP($B12,'251013_0시'!$A$1:$M$200,4,FALSE)</f>
        <v>1692915</v>
      </c>
      <c r="AF12" s="5" t="s">
        <v>753</v>
      </c>
      <c r="AG12" s="5">
        <f>VLOOKUP($AF12,'251013'!$A$1:$M$200,4,FALSE)</f>
        <v>226184</v>
      </c>
      <c r="AH12" s="5">
        <f>VLOOKUP($AF12,'251013'!$A$1:$M$200,5,FALSE)</f>
        <v>0</v>
      </c>
      <c r="AI12" s="5">
        <f>VLOOKUP($AF12,'251014'!$A$1:$M$200,4,FALSE)</f>
        <v>444448</v>
      </c>
      <c r="AJ12" s="5">
        <f>VLOOKUP($AF12,'251014'!$A$1:$M$200,5,FALSE)</f>
        <v>0</v>
      </c>
      <c r="AK12" s="5">
        <f t="shared" si="16"/>
        <v>218264</v>
      </c>
      <c r="AL12" s="5">
        <f t="shared" si="17"/>
        <v>-7920</v>
      </c>
      <c r="AM12" s="5">
        <f t="shared" si="18"/>
        <v>0</v>
      </c>
      <c r="AN12" s="5">
        <f>VLOOKUP($AF12,'251015'!$A$1:$M$200,4,FALSE)</f>
        <v>657901</v>
      </c>
      <c r="AO12" s="5">
        <f>VLOOKUP($AF12,'251015'!$A$1:$M$200,5,FALSE)</f>
        <v>0</v>
      </c>
      <c r="AP12" s="5">
        <f t="shared" si="19"/>
        <v>213453</v>
      </c>
      <c r="AQ12" s="5">
        <f t="shared" si="20"/>
        <v>-4811</v>
      </c>
      <c r="AR12" s="5">
        <f t="shared" si="21"/>
        <v>0</v>
      </c>
      <c r="AS12" s="5">
        <f>VLOOKUP($AF12,'251016'!$A$1:$M$200,4,FALSE)</f>
        <v>890726</v>
      </c>
      <c r="AT12" s="5">
        <f>VLOOKUP($AF12,'251016'!$A$1:$M$200,5,FALSE)</f>
        <v>0</v>
      </c>
      <c r="AU12" s="5">
        <f t="shared" si="22"/>
        <v>232825</v>
      </c>
      <c r="AV12" s="5">
        <f t="shared" si="23"/>
        <v>19372</v>
      </c>
      <c r="AW12" s="5">
        <f t="shared" si="24"/>
        <v>0</v>
      </c>
      <c r="AX12" s="5">
        <f>VLOOKUP($AF12,'251017'!$A$1:$M$200,4,FALSE)</f>
        <v>1222428</v>
      </c>
      <c r="AY12" s="5">
        <f>VLOOKUP($AF12,'251017'!$A$1:$M$200,5,FALSE)</f>
        <v>0</v>
      </c>
      <c r="AZ12" s="5">
        <f t="shared" si="25"/>
        <v>331702</v>
      </c>
      <c r="BA12" s="5">
        <f t="shared" si="26"/>
        <v>98877</v>
      </c>
      <c r="BB12" s="5">
        <f t="shared" si="27"/>
        <v>0</v>
      </c>
      <c r="BC12" s="5">
        <f>VLOOKUP($AF12,'251018'!$A$1:$M$200,4,FALSE)</f>
        <v>1518890</v>
      </c>
      <c r="BD12" s="5">
        <f>VLOOKUP($AF12,'251018'!$A$1:$M$200,5,FALSE)</f>
        <v>0</v>
      </c>
      <c r="BE12" s="5">
        <f t="shared" si="28"/>
        <v>296462</v>
      </c>
      <c r="BF12" s="5">
        <f t="shared" si="29"/>
        <v>-35240</v>
      </c>
      <c r="BG12" s="5">
        <f t="shared" si="30"/>
        <v>0</v>
      </c>
      <c r="BH12" s="5">
        <f>VLOOKUP($AF12,'251018'!$A$1:$M$200,4,FALSE)</f>
        <v>1518890</v>
      </c>
    </row>
    <row r="13" spans="1:60" x14ac:dyDescent="0.3">
      <c r="B13" s="5" t="s">
        <v>598</v>
      </c>
      <c r="C13" s="5">
        <f>VLOOKUP($B13,'251008_0시'!$A$1:$M$200,4,FALSE)</f>
        <v>457051</v>
      </c>
      <c r="D13" s="5">
        <f>VLOOKUP($B13,'251008_0시'!$A$1:$M$200,5,FALSE)</f>
        <v>3500</v>
      </c>
      <c r="E13" s="5">
        <f>VLOOKUP($B13,'251009_0시'!$A$1:$M$200,4,FALSE)</f>
        <v>687373</v>
      </c>
      <c r="F13" s="5">
        <f>VLOOKUP($B13,'251009_0시'!$A$1:$M$200,5,FALSE)</f>
        <v>3640</v>
      </c>
      <c r="G13" s="5">
        <f t="shared" si="1"/>
        <v>230322</v>
      </c>
      <c r="H13" s="5">
        <f t="shared" si="2"/>
        <v>1796.5</v>
      </c>
      <c r="I13" s="5">
        <f t="shared" si="3"/>
        <v>140</v>
      </c>
      <c r="J13" s="5">
        <f>VLOOKUP($B13,'251010_0시'!$A$1:$M$200,4,FALSE)</f>
        <v>920962</v>
      </c>
      <c r="K13" s="5">
        <f>VLOOKUP($B13,'251010_0시'!$A$1:$M$200,5,FALSE)</f>
        <v>4448</v>
      </c>
      <c r="L13" s="5">
        <f t="shared" si="4"/>
        <v>233589</v>
      </c>
      <c r="M13" s="5">
        <f t="shared" si="5"/>
        <v>3267</v>
      </c>
      <c r="N13" s="5">
        <f t="shared" si="6"/>
        <v>808</v>
      </c>
      <c r="O13" s="5">
        <f>VLOOKUP($B13,'251011_0시'!$A$1:$M$200,4,FALSE)</f>
        <v>1172448</v>
      </c>
      <c r="P13" s="5">
        <f>VLOOKUP($B13,'251011_0시'!$A$1:$M$200,5,FALSE)</f>
        <v>4448</v>
      </c>
      <c r="Q13" s="5">
        <f t="shared" si="7"/>
        <v>251486</v>
      </c>
      <c r="R13" s="5">
        <f t="shared" si="8"/>
        <v>17897</v>
      </c>
      <c r="S13" s="5">
        <f t="shared" si="9"/>
        <v>0</v>
      </c>
      <c r="T13" s="5">
        <f>VLOOKUP($B13,'251012_0시'!$A$1:$M$200,4,FALSE)</f>
        <v>1422270</v>
      </c>
      <c r="U13" s="5">
        <f>VLOOKUP($B13,'251012_0시'!$A$1:$M$200,5,FALSE)</f>
        <v>4448</v>
      </c>
      <c r="V13" s="5">
        <f t="shared" si="10"/>
        <v>249822</v>
      </c>
      <c r="W13" s="5">
        <f t="shared" si="11"/>
        <v>-1664</v>
      </c>
      <c r="X13" s="5">
        <f t="shared" si="12"/>
        <v>0</v>
      </c>
      <c r="Y13" s="5">
        <f>VLOOKUP($B13,'251013_0시'!$A$1:$M$200,4,FALSE)</f>
        <v>1655021</v>
      </c>
      <c r="Z13" s="5">
        <f>VLOOKUP($B13,'251013_0시'!$A$1:$M$200,5,FALSE)</f>
        <v>4448</v>
      </c>
      <c r="AA13" s="5">
        <f t="shared" si="13"/>
        <v>232751</v>
      </c>
      <c r="AB13" s="5">
        <f t="shared" si="14"/>
        <v>-17071</v>
      </c>
      <c r="AC13" s="5">
        <f t="shared" si="15"/>
        <v>0</v>
      </c>
      <c r="AD13" s="5">
        <f>VLOOKUP($B13,'251013_0시'!$A$1:$M$200,4,FALSE)</f>
        <v>1655021</v>
      </c>
      <c r="AF13" s="5" t="s">
        <v>746</v>
      </c>
      <c r="AG13" s="5">
        <f>VLOOKUP($AF13,'251013'!$A$1:$M$200,4,FALSE)</f>
        <v>240761</v>
      </c>
      <c r="AH13" s="5">
        <f>VLOOKUP($AF13,'251013'!$A$1:$M$200,5,FALSE)</f>
        <v>958</v>
      </c>
      <c r="AI13" s="5">
        <f>VLOOKUP($AF13,'251014'!$A$1:$M$200,4,FALSE)</f>
        <v>488489</v>
      </c>
      <c r="AJ13" s="5">
        <f>VLOOKUP($AF13,'251014'!$A$1:$M$200,5,FALSE)</f>
        <v>958</v>
      </c>
      <c r="AK13" s="5">
        <f t="shared" si="16"/>
        <v>247728</v>
      </c>
      <c r="AL13" s="5">
        <f t="shared" si="17"/>
        <v>6967</v>
      </c>
      <c r="AM13" s="5">
        <f t="shared" si="18"/>
        <v>0</v>
      </c>
      <c r="AN13" s="5">
        <f>VLOOKUP($AF13,'251015'!$A$1:$M$200,4,FALSE)</f>
        <v>731367</v>
      </c>
      <c r="AO13" s="5">
        <f>VLOOKUP($AF13,'251015'!$A$1:$M$200,5,FALSE)</f>
        <v>1078</v>
      </c>
      <c r="AP13" s="5">
        <f t="shared" si="19"/>
        <v>242878</v>
      </c>
      <c r="AQ13" s="5">
        <f t="shared" si="20"/>
        <v>-4850</v>
      </c>
      <c r="AR13" s="5">
        <f t="shared" si="21"/>
        <v>120</v>
      </c>
      <c r="AS13" s="5">
        <f>VLOOKUP($AF13,'251016'!$A$1:$M$200,4,FALSE)</f>
        <v>938663</v>
      </c>
      <c r="AT13" s="5">
        <f>VLOOKUP($AF13,'251016'!$A$1:$M$200,5,FALSE)</f>
        <v>1078</v>
      </c>
      <c r="AU13" s="5">
        <f t="shared" si="22"/>
        <v>207296</v>
      </c>
      <c r="AV13" s="5">
        <f t="shared" si="23"/>
        <v>-35582</v>
      </c>
      <c r="AW13" s="5">
        <f t="shared" si="24"/>
        <v>0</v>
      </c>
      <c r="AX13" s="5">
        <f>VLOOKUP($AF13,'251017'!$A$1:$M$200,4,FALSE)</f>
        <v>1239641</v>
      </c>
      <c r="AY13" s="5">
        <f>VLOOKUP($AF13,'251017'!$A$1:$M$200,5,FALSE)</f>
        <v>1536</v>
      </c>
      <c r="AZ13" s="5">
        <f t="shared" si="25"/>
        <v>300978</v>
      </c>
      <c r="BA13" s="5">
        <f t="shared" si="26"/>
        <v>93682</v>
      </c>
      <c r="BB13" s="5">
        <f t="shared" si="27"/>
        <v>458</v>
      </c>
      <c r="BC13" s="5">
        <f>VLOOKUP($AF13,'251018'!$A$1:$M$200,4,FALSE)</f>
        <v>1485624</v>
      </c>
      <c r="BD13" s="5">
        <f>VLOOKUP($AF13,'251018'!$A$1:$M$200,5,FALSE)</f>
        <v>1536</v>
      </c>
      <c r="BE13" s="5">
        <f t="shared" si="28"/>
        <v>245983</v>
      </c>
      <c r="BF13" s="5">
        <f t="shared" si="29"/>
        <v>-54995</v>
      </c>
      <c r="BG13" s="5">
        <f t="shared" si="30"/>
        <v>0</v>
      </c>
      <c r="BH13" s="5">
        <f>VLOOKUP($AF13,'251018'!$A$1:$M$200,4,FALSE)</f>
        <v>1485624</v>
      </c>
    </row>
    <row r="14" spans="1:60" x14ac:dyDescent="0.3">
      <c r="B14" s="5" t="s">
        <v>745</v>
      </c>
      <c r="C14" s="5">
        <f>VLOOKUP($B14,'251008_0시'!$A$1:$M$200,4,FALSE)</f>
        <v>409228</v>
      </c>
      <c r="D14" s="5">
        <f>VLOOKUP($B14,'251008_0시'!$A$1:$M$200,5,FALSE)</f>
        <v>350</v>
      </c>
      <c r="E14" s="5">
        <f>VLOOKUP($B14,'251009_0시'!$A$1:$M$200,4,FALSE)</f>
        <v>637483</v>
      </c>
      <c r="F14" s="5">
        <f>VLOOKUP($B14,'251009_0시'!$A$1:$M$200,5,FALSE)</f>
        <v>700</v>
      </c>
      <c r="G14" s="5">
        <f t="shared" si="1"/>
        <v>228255</v>
      </c>
      <c r="H14" s="5">
        <f t="shared" si="2"/>
        <v>23641</v>
      </c>
      <c r="I14" s="5">
        <f t="shared" si="3"/>
        <v>350</v>
      </c>
      <c r="J14" s="5">
        <f>VLOOKUP($B14,'251010_0시'!$A$1:$M$200,4,FALSE)</f>
        <v>887843</v>
      </c>
      <c r="K14" s="5">
        <f>VLOOKUP($B14,'251010_0시'!$A$1:$M$200,5,FALSE)</f>
        <v>1301</v>
      </c>
      <c r="L14" s="5">
        <f t="shared" si="4"/>
        <v>250360</v>
      </c>
      <c r="M14" s="5">
        <f t="shared" si="5"/>
        <v>22105</v>
      </c>
      <c r="N14" s="5">
        <f t="shared" si="6"/>
        <v>601</v>
      </c>
      <c r="O14" s="5">
        <f>VLOOKUP($B14,'251011_0시'!$A$1:$M$200,4,FALSE)</f>
        <v>1113946</v>
      </c>
      <c r="P14" s="5">
        <f>VLOOKUP($B14,'251011_0시'!$A$1:$M$200,5,FALSE)</f>
        <v>1301</v>
      </c>
      <c r="Q14" s="5">
        <f t="shared" si="7"/>
        <v>226103</v>
      </c>
      <c r="R14" s="5">
        <f t="shared" si="8"/>
        <v>-24257</v>
      </c>
      <c r="S14" s="5">
        <f t="shared" si="9"/>
        <v>0</v>
      </c>
      <c r="T14" s="5">
        <f>VLOOKUP($B14,'251012_0시'!$A$1:$M$200,4,FALSE)</f>
        <v>1338358</v>
      </c>
      <c r="U14" s="5">
        <f>VLOOKUP($B14,'251012_0시'!$A$1:$M$200,5,FALSE)</f>
        <v>1483</v>
      </c>
      <c r="V14" s="5">
        <f t="shared" si="10"/>
        <v>224412</v>
      </c>
      <c r="W14" s="5">
        <f t="shared" si="11"/>
        <v>-1691</v>
      </c>
      <c r="X14" s="5">
        <f t="shared" si="12"/>
        <v>182</v>
      </c>
      <c r="Y14" s="5">
        <f>VLOOKUP($B14,'251013_0시'!$A$1:$M$200,4,FALSE)</f>
        <v>1582668</v>
      </c>
      <c r="Z14" s="5">
        <f>VLOOKUP($B14,'251013_0시'!$A$1:$M$200,5,FALSE)</f>
        <v>1579</v>
      </c>
      <c r="AA14" s="5">
        <f t="shared" si="13"/>
        <v>244310</v>
      </c>
      <c r="AB14" s="5">
        <f t="shared" si="14"/>
        <v>19898</v>
      </c>
      <c r="AC14" s="5">
        <f t="shared" si="15"/>
        <v>96</v>
      </c>
      <c r="AD14" s="5">
        <f>VLOOKUP($B14,'251013_0시'!$A$1:$M$200,4,FALSE)</f>
        <v>1582668</v>
      </c>
      <c r="AF14" s="5" t="s">
        <v>598</v>
      </c>
      <c r="AG14" s="5">
        <f>VLOOKUP($AF14,'251013'!$A$1:$M$200,4,FALSE)</f>
        <v>236758</v>
      </c>
      <c r="AH14" s="5">
        <f>VLOOKUP($AF14,'251013'!$A$1:$M$200,5,FALSE)</f>
        <v>700</v>
      </c>
      <c r="AI14" s="5">
        <f>VLOOKUP($AF14,'251014'!$A$1:$M$200,4,FALSE)</f>
        <v>495420</v>
      </c>
      <c r="AJ14" s="5">
        <f>VLOOKUP($AF14,'251014'!$A$1:$M$200,5,FALSE)</f>
        <v>700</v>
      </c>
      <c r="AK14" s="5">
        <f t="shared" si="16"/>
        <v>258662</v>
      </c>
      <c r="AL14" s="5">
        <f t="shared" si="17"/>
        <v>21904</v>
      </c>
      <c r="AM14" s="5">
        <f t="shared" si="18"/>
        <v>0</v>
      </c>
      <c r="AN14" s="5">
        <f>VLOOKUP($AF14,'251015'!$A$1:$M$200,4,FALSE)</f>
        <v>728959</v>
      </c>
      <c r="AO14" s="5">
        <f>VLOOKUP($AF14,'251015'!$A$1:$M$200,5,FALSE)</f>
        <v>1104</v>
      </c>
      <c r="AP14" s="5">
        <f t="shared" si="19"/>
        <v>233539</v>
      </c>
      <c r="AQ14" s="5">
        <f t="shared" si="20"/>
        <v>-25123</v>
      </c>
      <c r="AR14" s="5">
        <f t="shared" si="21"/>
        <v>404</v>
      </c>
      <c r="AS14" s="5">
        <f>VLOOKUP($AF14,'251016'!$A$1:$M$200,4,FALSE)</f>
        <v>984227</v>
      </c>
      <c r="AT14" s="5">
        <f>VLOOKUP($AF14,'251016'!$A$1:$M$200,5,FALSE)</f>
        <v>1104</v>
      </c>
      <c r="AU14" s="5">
        <f t="shared" si="22"/>
        <v>255268</v>
      </c>
      <c r="AV14" s="5">
        <f t="shared" si="23"/>
        <v>21729</v>
      </c>
      <c r="AW14" s="5">
        <f t="shared" si="24"/>
        <v>0</v>
      </c>
      <c r="AX14" s="5">
        <f>VLOOKUP($AF14,'251017'!$A$1:$M$200,4,FALSE)</f>
        <v>1230210</v>
      </c>
      <c r="AY14" s="5">
        <f>VLOOKUP($AF14,'251017'!$A$1:$M$200,5,FALSE)</f>
        <v>1205</v>
      </c>
      <c r="AZ14" s="5">
        <f t="shared" si="25"/>
        <v>245983</v>
      </c>
      <c r="BA14" s="5">
        <f t="shared" si="26"/>
        <v>-9285</v>
      </c>
      <c r="BB14" s="5">
        <f t="shared" si="27"/>
        <v>101</v>
      </c>
      <c r="BC14" s="5">
        <f>VLOOKUP($AF14,'251018'!$A$1:$M$200,4,FALSE)</f>
        <v>1477503</v>
      </c>
      <c r="BD14" s="5">
        <f>VLOOKUP($AF14,'251018'!$A$1:$M$200,5,FALSE)</f>
        <v>1205</v>
      </c>
      <c r="BE14" s="5">
        <f t="shared" si="28"/>
        <v>247293</v>
      </c>
      <c r="BF14" s="5">
        <f t="shared" si="29"/>
        <v>1310</v>
      </c>
      <c r="BG14" s="5">
        <f t="shared" si="30"/>
        <v>0</v>
      </c>
      <c r="BH14" s="5">
        <f>VLOOKUP($AF14,'251018'!$A$1:$M$200,4,FALSE)</f>
        <v>1477503</v>
      </c>
    </row>
    <row r="15" spans="1:60" x14ac:dyDescent="0.3">
      <c r="B15" s="5" t="s">
        <v>741</v>
      </c>
      <c r="C15" s="5">
        <f>VLOOKUP($B15,'251008_0시'!$A$1:$M$200,4,FALSE)</f>
        <v>440239</v>
      </c>
      <c r="D15" s="5">
        <f>VLOOKUP($B15,'251008_0시'!$A$1:$M$200,5,FALSE)</f>
        <v>0</v>
      </c>
      <c r="E15" s="5">
        <f>VLOOKUP($B15,'251009_0시'!$A$1:$M$200,4,FALSE)</f>
        <v>548384</v>
      </c>
      <c r="F15" s="5">
        <f>VLOOKUP($B15,'251009_0시'!$A$1:$M$200,5,FALSE)</f>
        <v>0</v>
      </c>
      <c r="G15" s="5">
        <f t="shared" si="1"/>
        <v>108145</v>
      </c>
      <c r="H15" s="5">
        <f t="shared" si="2"/>
        <v>-111974.5</v>
      </c>
      <c r="I15" s="5">
        <f t="shared" si="3"/>
        <v>0</v>
      </c>
      <c r="J15" s="5">
        <f>VLOOKUP($B15,'251010_0시'!$A$1:$M$200,4,FALSE)</f>
        <v>845354</v>
      </c>
      <c r="K15" s="5">
        <f>VLOOKUP($B15,'251010_0시'!$A$1:$M$200,5,FALSE)</f>
        <v>0</v>
      </c>
      <c r="L15" s="5">
        <f t="shared" si="4"/>
        <v>296970</v>
      </c>
      <c r="M15" s="5">
        <f t="shared" si="5"/>
        <v>188825</v>
      </c>
      <c r="N15" s="5">
        <f t="shared" si="6"/>
        <v>0</v>
      </c>
      <c r="O15" s="5">
        <f>VLOOKUP($B15,'251011_0시'!$A$1:$M$200,4,FALSE)</f>
        <v>1067955</v>
      </c>
      <c r="P15" s="5">
        <f>VLOOKUP($B15,'251011_0시'!$A$1:$M$200,5,FALSE)</f>
        <v>350</v>
      </c>
      <c r="Q15" s="5">
        <f t="shared" si="7"/>
        <v>222601</v>
      </c>
      <c r="R15" s="5">
        <f t="shared" si="8"/>
        <v>-74369</v>
      </c>
      <c r="S15" s="5">
        <f t="shared" si="9"/>
        <v>350</v>
      </c>
      <c r="T15" s="5">
        <f>VLOOKUP($B15,'251012_0시'!$A$1:$M$200,4,FALSE)</f>
        <v>1300582</v>
      </c>
      <c r="U15" s="5">
        <f>VLOOKUP($B15,'251012_0시'!$A$1:$M$200,5,FALSE)</f>
        <v>350</v>
      </c>
      <c r="V15" s="5">
        <f t="shared" si="10"/>
        <v>232627</v>
      </c>
      <c r="W15" s="5">
        <f t="shared" si="11"/>
        <v>10026</v>
      </c>
      <c r="X15" s="5">
        <f t="shared" si="12"/>
        <v>0</v>
      </c>
      <c r="Y15" s="5">
        <f>VLOOKUP($B15,'251013_0시'!$A$1:$M$200,4,FALSE)</f>
        <v>1533140</v>
      </c>
      <c r="Z15" s="5">
        <f>VLOOKUP($B15,'251013_0시'!$A$1:$M$200,5,FALSE)</f>
        <v>350</v>
      </c>
      <c r="AA15" s="5">
        <f t="shared" si="13"/>
        <v>232558</v>
      </c>
      <c r="AB15" s="5">
        <f t="shared" si="14"/>
        <v>-69</v>
      </c>
      <c r="AC15" s="5">
        <f t="shared" si="15"/>
        <v>0</v>
      </c>
      <c r="AD15" s="5">
        <f>VLOOKUP($B15,'251013_0시'!$A$1:$M$200,4,FALSE)</f>
        <v>1533140</v>
      </c>
      <c r="AF15" s="5" t="s">
        <v>741</v>
      </c>
      <c r="AG15" s="5">
        <f>VLOOKUP($AF15,'251013'!$A$1:$M$200,4,FALSE)</f>
        <v>205283</v>
      </c>
      <c r="AH15" s="5">
        <f>VLOOKUP($AF15,'251013'!$A$1:$M$200,5,FALSE)</f>
        <v>0</v>
      </c>
      <c r="AI15" s="5">
        <f>VLOOKUP($AF15,'251014'!$A$1:$M$200,4,FALSE)</f>
        <v>423932</v>
      </c>
      <c r="AJ15" s="5">
        <f>VLOOKUP($AF15,'251014'!$A$1:$M$200,5,FALSE)</f>
        <v>350</v>
      </c>
      <c r="AK15" s="5">
        <f t="shared" si="16"/>
        <v>218649</v>
      </c>
      <c r="AL15" s="5">
        <f t="shared" si="17"/>
        <v>13366</v>
      </c>
      <c r="AM15" s="5">
        <f t="shared" si="18"/>
        <v>350</v>
      </c>
      <c r="AN15" s="5">
        <f>VLOOKUP($AF15,'251015'!$A$1:$M$200,4,FALSE)</f>
        <v>659101</v>
      </c>
      <c r="AO15" s="5">
        <f>VLOOKUP($AF15,'251015'!$A$1:$M$200,5,FALSE)</f>
        <v>350</v>
      </c>
      <c r="AP15" s="5">
        <f t="shared" si="19"/>
        <v>235169</v>
      </c>
      <c r="AQ15" s="5">
        <f t="shared" si="20"/>
        <v>16520</v>
      </c>
      <c r="AR15" s="5">
        <f t="shared" si="21"/>
        <v>0</v>
      </c>
      <c r="AS15" s="5">
        <f>VLOOKUP($AF15,'251016'!$A$1:$M$200,4,FALSE)</f>
        <v>872104</v>
      </c>
      <c r="AT15" s="5">
        <f>VLOOKUP($AF15,'251016'!$A$1:$M$200,5,FALSE)</f>
        <v>350</v>
      </c>
      <c r="AU15" s="5">
        <f t="shared" si="22"/>
        <v>213003</v>
      </c>
      <c r="AV15" s="5">
        <f t="shared" si="23"/>
        <v>-22166</v>
      </c>
      <c r="AW15" s="5">
        <f t="shared" si="24"/>
        <v>0</v>
      </c>
      <c r="AX15" s="5">
        <f>VLOOKUP($AF15,'251017'!$A$1:$M$200,4,FALSE)</f>
        <v>1183489</v>
      </c>
      <c r="AY15" s="5">
        <f>VLOOKUP($AF15,'251017'!$A$1:$M$200,5,FALSE)</f>
        <v>350</v>
      </c>
      <c r="AZ15" s="5">
        <f t="shared" si="25"/>
        <v>311385</v>
      </c>
      <c r="BA15" s="5">
        <f t="shared" si="26"/>
        <v>98382</v>
      </c>
      <c r="BB15" s="5">
        <f t="shared" si="27"/>
        <v>0</v>
      </c>
      <c r="BC15" s="5">
        <f>VLOOKUP($AF15,'251018'!$A$1:$M$200,4,FALSE)</f>
        <v>1414973</v>
      </c>
      <c r="BD15" s="5">
        <f>VLOOKUP($AF15,'251018'!$A$1:$M$200,5,FALSE)</f>
        <v>350</v>
      </c>
      <c r="BE15" s="5">
        <f t="shared" si="28"/>
        <v>231484</v>
      </c>
      <c r="BF15" s="5">
        <f t="shared" si="29"/>
        <v>-79901</v>
      </c>
      <c r="BG15" s="5">
        <f t="shared" si="30"/>
        <v>0</v>
      </c>
      <c r="BH15" s="5">
        <f>VLOOKUP($AF15,'251018'!$A$1:$M$200,4,FALSE)</f>
        <v>1414973</v>
      </c>
    </row>
    <row r="16" spans="1:60" x14ac:dyDescent="0.3">
      <c r="B16" s="5" t="s">
        <v>804</v>
      </c>
      <c r="C16" s="5">
        <f>VLOOKUP($B16,'251008_0시'!$A$1:$M$200,4,FALSE)</f>
        <v>426077</v>
      </c>
      <c r="D16" s="5">
        <f>VLOOKUP($B16,'251008_0시'!$A$1:$M$200,5,FALSE)</f>
        <v>0</v>
      </c>
      <c r="E16" s="5">
        <f>VLOOKUP($B16,'251009_0시'!$A$1:$M$200,4,FALSE)</f>
        <v>645839</v>
      </c>
      <c r="F16" s="5">
        <f>VLOOKUP($B16,'251009_0시'!$A$1:$M$200,5,FALSE)</f>
        <v>350</v>
      </c>
      <c r="G16" s="5">
        <f t="shared" si="1"/>
        <v>219762</v>
      </c>
      <c r="H16" s="5">
        <f t="shared" si="2"/>
        <v>6723.5</v>
      </c>
      <c r="I16" s="5">
        <f t="shared" si="3"/>
        <v>350</v>
      </c>
      <c r="J16" s="5">
        <f>VLOOKUP($B16,'251010_0시'!$A$1:$M$200,4,FALSE)</f>
        <v>840484</v>
      </c>
      <c r="K16" s="5">
        <f>VLOOKUP($B16,'251010_0시'!$A$1:$M$200,5,FALSE)</f>
        <v>350</v>
      </c>
      <c r="L16" s="5">
        <f t="shared" si="4"/>
        <v>194645</v>
      </c>
      <c r="M16" s="5">
        <f t="shared" si="5"/>
        <v>-25117</v>
      </c>
      <c r="N16" s="5">
        <f t="shared" si="6"/>
        <v>0</v>
      </c>
      <c r="O16" s="5">
        <f>VLOOKUP($B16,'251011_0시'!$A$1:$M$200,4,FALSE)</f>
        <v>1049062</v>
      </c>
      <c r="P16" s="5">
        <f>VLOOKUP($B16,'251011_0시'!$A$1:$M$200,5,FALSE)</f>
        <v>350</v>
      </c>
      <c r="Q16" s="5">
        <f t="shared" si="7"/>
        <v>208578</v>
      </c>
      <c r="R16" s="5">
        <f t="shared" si="8"/>
        <v>13933</v>
      </c>
      <c r="S16" s="5">
        <f t="shared" si="9"/>
        <v>0</v>
      </c>
      <c r="T16" s="5">
        <f>VLOOKUP($B16,'251012_0시'!$A$1:$M$200,4,FALSE)</f>
        <v>1315742</v>
      </c>
      <c r="U16" s="5">
        <f>VLOOKUP($B16,'251012_0시'!$A$1:$M$200,5,FALSE)</f>
        <v>350</v>
      </c>
      <c r="V16" s="5">
        <f t="shared" si="10"/>
        <v>266680</v>
      </c>
      <c r="W16" s="5">
        <f t="shared" si="11"/>
        <v>58102</v>
      </c>
      <c r="X16" s="5">
        <f t="shared" si="12"/>
        <v>0</v>
      </c>
      <c r="Y16" s="5">
        <f>VLOOKUP($B16,'251013_0시'!$A$1:$M$200,4,FALSE)</f>
        <v>1518801</v>
      </c>
      <c r="Z16" s="5">
        <f>VLOOKUP($B16,'251013_0시'!$A$1:$M$200,5,FALSE)</f>
        <v>400</v>
      </c>
      <c r="AA16" s="5">
        <f t="shared" si="13"/>
        <v>203059</v>
      </c>
      <c r="AB16" s="5">
        <f t="shared" si="14"/>
        <v>-63621</v>
      </c>
      <c r="AC16" s="5">
        <f t="shared" si="15"/>
        <v>50</v>
      </c>
      <c r="AD16" s="5">
        <f>VLOOKUP($B16,'251013_0시'!$A$1:$M$200,4,FALSE)</f>
        <v>1518801</v>
      </c>
      <c r="AF16" s="5" t="s">
        <v>747</v>
      </c>
      <c r="AG16" s="5">
        <f>VLOOKUP($AF16,'251013'!$A$1:$M$200,4,FALSE)</f>
        <v>222477</v>
      </c>
      <c r="AH16" s="5">
        <f>VLOOKUP($AF16,'251013'!$A$1:$M$200,5,FALSE)</f>
        <v>4106</v>
      </c>
      <c r="AI16" s="5">
        <f>VLOOKUP($AF16,'251014'!$A$1:$M$200,4,FALSE)</f>
        <v>451678</v>
      </c>
      <c r="AJ16" s="5">
        <f>VLOOKUP($AF16,'251014'!$A$1:$M$200,5,FALSE)</f>
        <v>6356</v>
      </c>
      <c r="AK16" s="5">
        <f t="shared" si="16"/>
        <v>229201</v>
      </c>
      <c r="AL16" s="5">
        <f t="shared" si="17"/>
        <v>6724</v>
      </c>
      <c r="AM16" s="5">
        <f t="shared" si="18"/>
        <v>2250</v>
      </c>
      <c r="AN16" s="5">
        <f>VLOOKUP($AF16,'251015'!$A$1:$M$200,4,FALSE)</f>
        <v>670902</v>
      </c>
      <c r="AO16" s="5">
        <f>VLOOKUP($AF16,'251015'!$A$1:$M$200,5,FALSE)</f>
        <v>9506</v>
      </c>
      <c r="AP16" s="5">
        <f t="shared" si="19"/>
        <v>219224</v>
      </c>
      <c r="AQ16" s="5">
        <f t="shared" si="20"/>
        <v>-9977</v>
      </c>
      <c r="AR16" s="5">
        <f t="shared" si="21"/>
        <v>3150</v>
      </c>
      <c r="AS16" s="5">
        <f>VLOOKUP($AF16,'251016'!$A$1:$M$200,4,FALSE)</f>
        <v>914654</v>
      </c>
      <c r="AT16" s="5">
        <f>VLOOKUP($AF16,'251016'!$A$1:$M$200,5,FALSE)</f>
        <v>13106</v>
      </c>
      <c r="AU16" s="5">
        <f t="shared" si="22"/>
        <v>243752</v>
      </c>
      <c r="AV16" s="5">
        <f t="shared" si="23"/>
        <v>24528</v>
      </c>
      <c r="AW16" s="5">
        <f t="shared" si="24"/>
        <v>3600</v>
      </c>
      <c r="AX16" s="5">
        <f>VLOOKUP($AF16,'251017'!$A$1:$M$200,4,FALSE)</f>
        <v>1171251</v>
      </c>
      <c r="AY16" s="5">
        <f>VLOOKUP($AF16,'251017'!$A$1:$M$200,5,FALSE)</f>
        <v>15108</v>
      </c>
      <c r="AZ16" s="5">
        <f t="shared" si="25"/>
        <v>256597</v>
      </c>
      <c r="BA16" s="5">
        <f t="shared" si="26"/>
        <v>12845</v>
      </c>
      <c r="BB16" s="5">
        <f t="shared" si="27"/>
        <v>2002</v>
      </c>
      <c r="BC16" s="5">
        <f>VLOOKUP($AF16,'251018'!$A$1:$M$200,4,FALSE)</f>
        <v>1413994</v>
      </c>
      <c r="BD16" s="5">
        <f>VLOOKUP($AF16,'251018'!$A$1:$M$200,5,FALSE)</f>
        <v>16908</v>
      </c>
      <c r="BE16" s="5">
        <f t="shared" si="28"/>
        <v>242743</v>
      </c>
      <c r="BF16" s="5">
        <f t="shared" si="29"/>
        <v>-13854</v>
      </c>
      <c r="BG16" s="5">
        <f t="shared" si="30"/>
        <v>1800</v>
      </c>
      <c r="BH16" s="5">
        <f>VLOOKUP($AF16,'251018'!$A$1:$M$200,4,FALSE)</f>
        <v>1413994</v>
      </c>
    </row>
    <row r="17" spans="1:60" x14ac:dyDescent="0.3">
      <c r="A17" t="s">
        <v>700</v>
      </c>
      <c r="B17" s="5" t="s">
        <v>755</v>
      </c>
      <c r="C17" s="5">
        <f>VLOOKUP($B17,'251008_0시'!$A$1:$M$200,4,FALSE)</f>
        <v>419817</v>
      </c>
      <c r="D17" s="5">
        <f>VLOOKUP($B17,'251008_0시'!$A$1:$M$200,5,FALSE)</f>
        <v>5591</v>
      </c>
      <c r="E17" s="5">
        <f>VLOOKUP($B17,'251009_0시'!$A$1:$M$200,4,FALSE)</f>
        <v>663717</v>
      </c>
      <c r="F17" s="5">
        <f>VLOOKUP($B17,'251009_0시'!$A$1:$M$200,5,FALSE)</f>
        <v>8568</v>
      </c>
      <c r="G17" s="5">
        <f t="shared" si="1"/>
        <v>243900</v>
      </c>
      <c r="H17" s="5">
        <f t="shared" si="2"/>
        <v>33991.5</v>
      </c>
      <c r="I17" s="5">
        <f t="shared" si="3"/>
        <v>2977</v>
      </c>
      <c r="J17" s="5">
        <f>VLOOKUP($B17,'251010_0시'!$A$1:$M$200,4,FALSE)</f>
        <v>909199</v>
      </c>
      <c r="K17" s="5">
        <f>VLOOKUP($B17,'251010_0시'!$A$1:$M$200,5,FALSE)</f>
        <v>10403</v>
      </c>
      <c r="L17" s="5">
        <f t="shared" si="4"/>
        <v>245482</v>
      </c>
      <c r="M17" s="5">
        <f t="shared" si="5"/>
        <v>1582</v>
      </c>
      <c r="N17" s="5">
        <f t="shared" si="6"/>
        <v>1835</v>
      </c>
      <c r="O17" s="5">
        <f>VLOOKUP($B17,'251011_0시'!$A$1:$M$200,4,FALSE)</f>
        <v>1091850</v>
      </c>
      <c r="P17" s="5">
        <f>VLOOKUP($B17,'251011_0시'!$A$1:$M$200,5,FALSE)</f>
        <v>13103</v>
      </c>
      <c r="Q17" s="5">
        <f t="shared" si="7"/>
        <v>182651</v>
      </c>
      <c r="R17" s="5">
        <f t="shared" si="8"/>
        <v>-62831</v>
      </c>
      <c r="S17" s="5">
        <f t="shared" si="9"/>
        <v>2700</v>
      </c>
      <c r="T17" s="5">
        <f>VLOOKUP($B17,'251012_0시'!$A$1:$M$200,4,FALSE)</f>
        <v>1300255</v>
      </c>
      <c r="U17" s="5">
        <f>VLOOKUP($B17,'251012_0시'!$A$1:$M$200,5,FALSE)</f>
        <v>15353</v>
      </c>
      <c r="V17" s="5">
        <f t="shared" si="10"/>
        <v>208405</v>
      </c>
      <c r="W17" s="5">
        <f t="shared" si="11"/>
        <v>25754</v>
      </c>
      <c r="X17" s="5">
        <f t="shared" si="12"/>
        <v>2250</v>
      </c>
      <c r="Y17" s="5">
        <f>VLOOKUP($B17,'251013_0시'!$A$1:$M$200,4,FALSE)</f>
        <v>1509806</v>
      </c>
      <c r="Z17" s="5">
        <f>VLOOKUP($B17,'251013_0시'!$A$1:$M$200,5,FALSE)</f>
        <v>18503</v>
      </c>
      <c r="AA17" s="5">
        <f t="shared" si="13"/>
        <v>209551</v>
      </c>
      <c r="AB17" s="5">
        <f t="shared" si="14"/>
        <v>1146</v>
      </c>
      <c r="AC17" s="5">
        <f t="shared" si="15"/>
        <v>3150</v>
      </c>
      <c r="AD17" s="5">
        <f>VLOOKUP($B17,'251013_0시'!$A$1:$M$200,4,FALSE)</f>
        <v>1509806</v>
      </c>
      <c r="AF17" s="5" t="s">
        <v>745</v>
      </c>
      <c r="AG17" s="5">
        <f>VLOOKUP($AF17,'251013'!$A$1:$M$200,4,FALSE)</f>
        <v>212143</v>
      </c>
      <c r="AH17" s="5">
        <f>VLOOKUP($AF17,'251013'!$A$1:$M$200,5,FALSE)</f>
        <v>531</v>
      </c>
      <c r="AI17" s="5">
        <f>VLOOKUP($AF17,'251014'!$A$1:$M$200,4,FALSE)</f>
        <v>428909</v>
      </c>
      <c r="AJ17" s="5">
        <f>VLOOKUP($AF17,'251014'!$A$1:$M$200,5,FALSE)</f>
        <v>531</v>
      </c>
      <c r="AK17" s="5">
        <f t="shared" si="16"/>
        <v>216766</v>
      </c>
      <c r="AL17" s="5">
        <f t="shared" si="17"/>
        <v>4623</v>
      </c>
      <c r="AM17" s="5">
        <f t="shared" si="18"/>
        <v>0</v>
      </c>
      <c r="AN17" s="5">
        <f>VLOOKUP($AF17,'251015'!$A$1:$M$200,4,FALSE)</f>
        <v>628447</v>
      </c>
      <c r="AO17" s="5">
        <f>VLOOKUP($AF17,'251015'!$A$1:$M$200,5,FALSE)</f>
        <v>531</v>
      </c>
      <c r="AP17" s="5">
        <f t="shared" si="19"/>
        <v>199538</v>
      </c>
      <c r="AQ17" s="5">
        <f t="shared" si="20"/>
        <v>-17228</v>
      </c>
      <c r="AR17" s="5">
        <f t="shared" si="21"/>
        <v>0</v>
      </c>
      <c r="AS17" s="5">
        <f>VLOOKUP($AF17,'251016'!$A$1:$M$200,4,FALSE)</f>
        <v>832213</v>
      </c>
      <c r="AT17" s="5">
        <f>VLOOKUP($AF17,'251016'!$A$1:$M$200,5,FALSE)</f>
        <v>531</v>
      </c>
      <c r="AU17" s="5">
        <f t="shared" si="22"/>
        <v>203766</v>
      </c>
      <c r="AV17" s="5">
        <f t="shared" si="23"/>
        <v>4228</v>
      </c>
      <c r="AW17" s="5">
        <f t="shared" si="24"/>
        <v>0</v>
      </c>
      <c r="AX17" s="5">
        <f>VLOOKUP($AF17,'251017'!$A$1:$M$200,4,FALSE)</f>
        <v>1087080</v>
      </c>
      <c r="AY17" s="5">
        <f>VLOOKUP($AF17,'251017'!$A$1:$M$200,5,FALSE)</f>
        <v>531</v>
      </c>
      <c r="AZ17" s="5">
        <f t="shared" si="25"/>
        <v>254867</v>
      </c>
      <c r="BA17" s="5">
        <f t="shared" si="26"/>
        <v>51101</v>
      </c>
      <c r="BB17" s="5">
        <f t="shared" si="27"/>
        <v>0</v>
      </c>
      <c r="BC17" s="5">
        <f>VLOOKUP($AF17,'251018'!$A$1:$M$200,4,FALSE)</f>
        <v>1353348</v>
      </c>
      <c r="BD17" s="5">
        <f>VLOOKUP($AF17,'251018'!$A$1:$M$200,5,FALSE)</f>
        <v>531</v>
      </c>
      <c r="BE17" s="5">
        <f t="shared" si="28"/>
        <v>266268</v>
      </c>
      <c r="BF17" s="5">
        <f t="shared" si="29"/>
        <v>11401</v>
      </c>
      <c r="BG17" s="5">
        <f t="shared" si="30"/>
        <v>0</v>
      </c>
      <c r="BH17" s="5">
        <f>VLOOKUP($AF17,'251018'!$A$1:$M$200,4,FALSE)</f>
        <v>1353348</v>
      </c>
    </row>
    <row r="18" spans="1:60" x14ac:dyDescent="0.3">
      <c r="B18" s="5" t="s">
        <v>752</v>
      </c>
      <c r="C18" s="5">
        <f>VLOOKUP($B18,'251008_0시'!$A$1:$M$200,4,FALSE)</f>
        <v>433183</v>
      </c>
      <c r="D18" s="5">
        <f>VLOOKUP($B18,'251008_0시'!$A$1:$M$200,5,FALSE)</f>
        <v>1920</v>
      </c>
      <c r="E18" s="5">
        <f>VLOOKUP($B18,'251009_0시'!$A$1:$M$200,4,FALSE)</f>
        <v>634083</v>
      </c>
      <c r="F18" s="5">
        <f>VLOOKUP($B18,'251009_0시'!$A$1:$M$200,5,FALSE)</f>
        <v>2640</v>
      </c>
      <c r="G18" s="5">
        <f t="shared" si="1"/>
        <v>200900</v>
      </c>
      <c r="H18" s="5">
        <f t="shared" si="2"/>
        <v>-15691.5</v>
      </c>
      <c r="I18" s="5">
        <f t="shared" si="3"/>
        <v>720</v>
      </c>
      <c r="J18" s="5">
        <f>VLOOKUP($B18,'251010_0시'!$A$1:$M$200,4,FALSE)</f>
        <v>843871</v>
      </c>
      <c r="K18" s="5">
        <f>VLOOKUP($B18,'251010_0시'!$A$1:$M$200,5,FALSE)</f>
        <v>2962</v>
      </c>
      <c r="L18" s="5">
        <f t="shared" si="4"/>
        <v>209788</v>
      </c>
      <c r="M18" s="5">
        <f t="shared" si="5"/>
        <v>8888</v>
      </c>
      <c r="N18" s="5">
        <f t="shared" si="6"/>
        <v>322</v>
      </c>
      <c r="O18" s="5">
        <f>VLOOKUP($B18,'251011_0시'!$A$1:$M$200,4,FALSE)</f>
        <v>1062980</v>
      </c>
      <c r="P18" s="5">
        <f>VLOOKUP($B18,'251011_0시'!$A$1:$M$200,5,FALSE)</f>
        <v>2962</v>
      </c>
      <c r="Q18" s="5">
        <f t="shared" si="7"/>
        <v>219109</v>
      </c>
      <c r="R18" s="5">
        <f t="shared" si="8"/>
        <v>9321</v>
      </c>
      <c r="S18" s="5">
        <f t="shared" si="9"/>
        <v>0</v>
      </c>
      <c r="T18" s="5">
        <f>VLOOKUP($B18,'251012_0시'!$A$1:$M$200,4,FALSE)</f>
        <v>1273253</v>
      </c>
      <c r="U18" s="5">
        <f>VLOOKUP($B18,'251012_0시'!$A$1:$M$200,5,FALSE)</f>
        <v>3862</v>
      </c>
      <c r="V18" s="5">
        <f t="shared" si="10"/>
        <v>210273</v>
      </c>
      <c r="W18" s="5">
        <f t="shared" si="11"/>
        <v>-8836</v>
      </c>
      <c r="X18" s="5">
        <f t="shared" si="12"/>
        <v>900</v>
      </c>
      <c r="Y18" s="5">
        <f>VLOOKUP($B18,'251013_0시'!$A$1:$M$200,4,FALSE)</f>
        <v>1480984</v>
      </c>
      <c r="Z18" s="5">
        <f>VLOOKUP($B18,'251013_0시'!$A$1:$M$200,5,FALSE)</f>
        <v>4762</v>
      </c>
      <c r="AA18" s="5">
        <f t="shared" si="13"/>
        <v>207731</v>
      </c>
      <c r="AB18" s="5">
        <f t="shared" si="14"/>
        <v>-2542</v>
      </c>
      <c r="AC18" s="5">
        <f t="shared" si="15"/>
        <v>900</v>
      </c>
      <c r="AD18" s="5">
        <f>VLOOKUP($B18,'251013_0시'!$A$1:$M$200,4,FALSE)</f>
        <v>1480984</v>
      </c>
      <c r="AF18" s="5" t="s">
        <v>600</v>
      </c>
      <c r="AG18" s="5">
        <f>VLOOKUP($AF18,'251013'!$A$1:$M$200,4,FALSE)</f>
        <v>113875</v>
      </c>
      <c r="AH18" s="5">
        <f>VLOOKUP($AF18,'251013'!$A$1:$M$200,5,FALSE)</f>
        <v>0</v>
      </c>
      <c r="AI18" s="5">
        <f>VLOOKUP($AF18,'251014'!$A$1:$M$200,4,FALSE)</f>
        <v>316972</v>
      </c>
      <c r="AJ18" s="5">
        <f>VLOOKUP($AF18,'251014'!$A$1:$M$200,5,FALSE)</f>
        <v>0</v>
      </c>
      <c r="AK18" s="5">
        <f t="shared" si="16"/>
        <v>203097</v>
      </c>
      <c r="AL18" s="5">
        <f t="shared" si="17"/>
        <v>89222</v>
      </c>
      <c r="AM18" s="5">
        <f t="shared" si="18"/>
        <v>0</v>
      </c>
      <c r="AN18" s="5">
        <f>VLOOKUP($AF18,'251015'!$A$1:$M$200,4,FALSE)</f>
        <v>575131</v>
      </c>
      <c r="AO18" s="5">
        <f>VLOOKUP($AF18,'251015'!$A$1:$M$200,5,FALSE)</f>
        <v>50</v>
      </c>
      <c r="AP18" s="5">
        <f t="shared" si="19"/>
        <v>258159</v>
      </c>
      <c r="AQ18" s="5">
        <f t="shared" si="20"/>
        <v>55062</v>
      </c>
      <c r="AR18" s="5">
        <f t="shared" si="21"/>
        <v>50</v>
      </c>
      <c r="AS18" s="5">
        <f>VLOOKUP($AF18,'251016'!$A$1:$M$200,4,FALSE)</f>
        <v>784311</v>
      </c>
      <c r="AT18" s="5">
        <f>VLOOKUP($AF18,'251016'!$A$1:$M$200,5,FALSE)</f>
        <v>50</v>
      </c>
      <c r="AU18" s="5">
        <f t="shared" si="22"/>
        <v>209180</v>
      </c>
      <c r="AV18" s="5">
        <f t="shared" si="23"/>
        <v>-48979</v>
      </c>
      <c r="AW18" s="5">
        <f t="shared" si="24"/>
        <v>0</v>
      </c>
      <c r="AX18" s="5">
        <f>VLOOKUP($AF18,'251017'!$A$1:$M$200,4,FALSE)</f>
        <v>1075548</v>
      </c>
      <c r="AY18" s="5">
        <f>VLOOKUP($AF18,'251017'!$A$1:$M$200,5,FALSE)</f>
        <v>50</v>
      </c>
      <c r="AZ18" s="5">
        <f t="shared" si="25"/>
        <v>291237</v>
      </c>
      <c r="BA18" s="5">
        <f t="shared" si="26"/>
        <v>82057</v>
      </c>
      <c r="BB18" s="5">
        <f t="shared" si="27"/>
        <v>0</v>
      </c>
      <c r="BC18" s="5">
        <f>VLOOKUP($AF18,'251018'!$A$1:$M$200,4,FALSE)</f>
        <v>1339632</v>
      </c>
      <c r="BD18" s="5">
        <f>VLOOKUP($AF18,'251018'!$A$1:$M$200,5,FALSE)</f>
        <v>50</v>
      </c>
      <c r="BE18" s="5">
        <f t="shared" si="28"/>
        <v>264084</v>
      </c>
      <c r="BF18" s="5">
        <f t="shared" si="29"/>
        <v>-27153</v>
      </c>
      <c r="BG18" s="5">
        <f t="shared" si="30"/>
        <v>0</v>
      </c>
      <c r="BH18" s="5">
        <f>VLOOKUP($AF18,'251018'!$A$1:$M$200,4,FALSE)</f>
        <v>1339632</v>
      </c>
    </row>
    <row r="19" spans="1:60" x14ac:dyDescent="0.3">
      <c r="B19" s="5" t="s">
        <v>747</v>
      </c>
      <c r="C19" s="5">
        <f>VLOOKUP($B19,'251008_0시'!$A$1:$M$200,4,FALSE)</f>
        <v>331803</v>
      </c>
      <c r="D19" s="5">
        <f>VLOOKUP($B19,'251008_0시'!$A$1:$M$200,5,FALSE)</f>
        <v>6300</v>
      </c>
      <c r="E19" s="5">
        <f>VLOOKUP($B19,'251009_0시'!$A$1:$M$200,4,FALSE)</f>
        <v>609158</v>
      </c>
      <c r="F19" s="5">
        <f>VLOOKUP($B19,'251009_0시'!$A$1:$M$200,5,FALSE)</f>
        <v>9000</v>
      </c>
      <c r="G19" s="5">
        <f t="shared" si="1"/>
        <v>277355</v>
      </c>
      <c r="H19" s="5">
        <f t="shared" si="2"/>
        <v>111453.5</v>
      </c>
      <c r="I19" s="5">
        <f t="shared" si="3"/>
        <v>2700</v>
      </c>
      <c r="J19" s="5">
        <f>VLOOKUP($B19,'251010_0시'!$A$1:$M$200,4,FALSE)</f>
        <v>840790</v>
      </c>
      <c r="K19" s="5">
        <f>VLOOKUP($B19,'251010_0시'!$A$1:$M$200,5,FALSE)</f>
        <v>10901</v>
      </c>
      <c r="L19" s="5">
        <f t="shared" si="4"/>
        <v>231632</v>
      </c>
      <c r="M19" s="5">
        <f t="shared" si="5"/>
        <v>-45723</v>
      </c>
      <c r="N19" s="5">
        <f t="shared" si="6"/>
        <v>1901</v>
      </c>
      <c r="O19" s="5">
        <f>VLOOKUP($B19,'251011_0시'!$A$1:$M$200,4,FALSE)</f>
        <v>1087776</v>
      </c>
      <c r="P19" s="5">
        <f>VLOOKUP($B19,'251011_0시'!$A$1:$M$200,5,FALSE)</f>
        <v>14501</v>
      </c>
      <c r="Q19" s="5">
        <f t="shared" si="7"/>
        <v>246986</v>
      </c>
      <c r="R19" s="5">
        <f t="shared" si="8"/>
        <v>15354</v>
      </c>
      <c r="S19" s="5">
        <f t="shared" si="9"/>
        <v>3600</v>
      </c>
      <c r="T19" s="5">
        <f>VLOOKUP($B19,'251012_0시'!$A$1:$M$200,4,FALSE)</f>
        <v>1270928</v>
      </c>
      <c r="U19" s="5">
        <f>VLOOKUP($B19,'251012_0시'!$A$1:$M$200,5,FALSE)</f>
        <v>19151</v>
      </c>
      <c r="V19" s="5">
        <f t="shared" si="10"/>
        <v>183152</v>
      </c>
      <c r="W19" s="5">
        <f t="shared" si="11"/>
        <v>-63834</v>
      </c>
      <c r="X19" s="5">
        <f t="shared" si="12"/>
        <v>4650</v>
      </c>
      <c r="Y19" s="5">
        <f>VLOOKUP($B19,'251013_0시'!$A$1:$M$200,4,FALSE)</f>
        <v>1466924</v>
      </c>
      <c r="Z19" s="5">
        <f>VLOOKUP($B19,'251013_0시'!$A$1:$M$200,5,FALSE)</f>
        <v>21901</v>
      </c>
      <c r="AA19" s="5">
        <f t="shared" si="13"/>
        <v>195996</v>
      </c>
      <c r="AB19" s="5">
        <f t="shared" si="14"/>
        <v>12844</v>
      </c>
      <c r="AC19" s="5">
        <f t="shared" si="15"/>
        <v>2750</v>
      </c>
      <c r="AD19" s="5">
        <f>VLOOKUP($B19,'251013_0시'!$A$1:$M$200,4,FALSE)</f>
        <v>1466924</v>
      </c>
      <c r="AF19" s="5" t="s">
        <v>761</v>
      </c>
      <c r="AG19" s="5">
        <f>VLOOKUP($AF19,'251013'!$A$1:$M$200,4,FALSE)</f>
        <v>219548</v>
      </c>
      <c r="AH19" s="5">
        <f>VLOOKUP($AF19,'251013'!$A$1:$M$200,5,FALSE)</f>
        <v>1053</v>
      </c>
      <c r="AI19" s="5">
        <f>VLOOKUP($AF19,'251014'!$A$1:$M$200,4,FALSE)</f>
        <v>406258</v>
      </c>
      <c r="AJ19" s="5">
        <f>VLOOKUP($AF19,'251014'!$A$1:$M$200,5,FALSE)</f>
        <v>1503</v>
      </c>
      <c r="AK19" s="5">
        <f t="shared" si="16"/>
        <v>186710</v>
      </c>
      <c r="AL19" s="5">
        <f t="shared" si="17"/>
        <v>-32838</v>
      </c>
      <c r="AM19" s="5">
        <f t="shared" si="18"/>
        <v>450</v>
      </c>
      <c r="AN19" s="5">
        <f>VLOOKUP($AF19,'251015'!$A$1:$M$200,4,FALSE)</f>
        <v>626451</v>
      </c>
      <c r="AO19" s="5">
        <f>VLOOKUP($AF19,'251015'!$A$1:$M$200,5,FALSE)</f>
        <v>2347</v>
      </c>
      <c r="AP19" s="5">
        <f t="shared" si="19"/>
        <v>220193</v>
      </c>
      <c r="AQ19" s="5">
        <f t="shared" si="20"/>
        <v>33483</v>
      </c>
      <c r="AR19" s="5">
        <f t="shared" si="21"/>
        <v>844</v>
      </c>
      <c r="AS19" s="5">
        <f>VLOOKUP($AF19,'251016'!$A$1:$M$200,4,FALSE)</f>
        <v>800567</v>
      </c>
      <c r="AT19" s="5">
        <f>VLOOKUP($AF19,'251016'!$A$1:$M$200,5,FALSE)</f>
        <v>4147</v>
      </c>
      <c r="AU19" s="5">
        <f t="shared" si="22"/>
        <v>174116</v>
      </c>
      <c r="AV19" s="5">
        <f t="shared" si="23"/>
        <v>-46077</v>
      </c>
      <c r="AW19" s="5">
        <f t="shared" si="24"/>
        <v>1800</v>
      </c>
      <c r="AX19" s="5">
        <f>VLOOKUP($AF19,'251017'!$A$1:$M$200,4,FALSE)</f>
        <v>1092369</v>
      </c>
      <c r="AY19" s="5">
        <f>VLOOKUP($AF19,'251017'!$A$1:$M$200,5,FALSE)</f>
        <v>5497</v>
      </c>
      <c r="AZ19" s="5">
        <f t="shared" si="25"/>
        <v>291802</v>
      </c>
      <c r="BA19" s="5">
        <f t="shared" si="26"/>
        <v>117686</v>
      </c>
      <c r="BB19" s="5">
        <f t="shared" si="27"/>
        <v>1350</v>
      </c>
      <c r="BC19" s="5">
        <f>VLOOKUP($AF19,'251018'!$A$1:$M$200,4,FALSE)</f>
        <v>1285011</v>
      </c>
      <c r="BD19" s="5">
        <f>VLOOKUP($AF19,'251018'!$A$1:$M$200,5,FALSE)</f>
        <v>5947</v>
      </c>
      <c r="BE19" s="5">
        <f t="shared" si="28"/>
        <v>192642</v>
      </c>
      <c r="BF19" s="5">
        <f t="shared" si="29"/>
        <v>-99160</v>
      </c>
      <c r="BG19" s="5">
        <f t="shared" si="30"/>
        <v>450</v>
      </c>
      <c r="BH19" s="5">
        <f>VLOOKUP($AF19,'251018'!$A$1:$M$200,4,FALSE)</f>
        <v>1285011</v>
      </c>
    </row>
    <row r="20" spans="1:60" x14ac:dyDescent="0.3">
      <c r="B20" s="5" t="s">
        <v>758</v>
      </c>
      <c r="C20" s="5">
        <f>VLOOKUP($B20,'251008_0시'!$A$1:$M$200,4,FALSE)</f>
        <v>392221</v>
      </c>
      <c r="D20" s="5">
        <f>VLOOKUP($B20,'251008_0시'!$A$1:$M$200,5,FALSE)</f>
        <v>350</v>
      </c>
      <c r="E20" s="5">
        <f>VLOOKUP($B20,'251009_0시'!$A$1:$M$200,4,FALSE)</f>
        <v>569152</v>
      </c>
      <c r="F20" s="5">
        <f>VLOOKUP($B20,'251009_0시'!$A$1:$M$200,5,FALSE)</f>
        <v>3050</v>
      </c>
      <c r="G20" s="5">
        <f t="shared" si="1"/>
        <v>176931</v>
      </c>
      <c r="H20" s="5">
        <f t="shared" si="2"/>
        <v>-19179.5</v>
      </c>
      <c r="I20" s="5">
        <f t="shared" si="3"/>
        <v>2700</v>
      </c>
      <c r="J20" s="5">
        <f>VLOOKUP($B20,'251010_0시'!$A$1:$M$200,4,FALSE)</f>
        <v>792652</v>
      </c>
      <c r="K20" s="5">
        <f>VLOOKUP($B20,'251010_0시'!$A$1:$M$200,5,FALSE)</f>
        <v>5300</v>
      </c>
      <c r="L20" s="5">
        <f t="shared" si="4"/>
        <v>223500</v>
      </c>
      <c r="M20" s="5">
        <f t="shared" si="5"/>
        <v>46569</v>
      </c>
      <c r="N20" s="5">
        <f t="shared" si="6"/>
        <v>2250</v>
      </c>
      <c r="O20" s="5">
        <f>VLOOKUP($B20,'251011_0시'!$A$1:$M$200,4,FALSE)</f>
        <v>997995</v>
      </c>
      <c r="P20" s="5">
        <f>VLOOKUP($B20,'251011_0시'!$A$1:$M$200,5,FALSE)</f>
        <v>5300</v>
      </c>
      <c r="Q20" s="5">
        <f t="shared" si="7"/>
        <v>205343</v>
      </c>
      <c r="R20" s="5">
        <f t="shared" si="8"/>
        <v>-18157</v>
      </c>
      <c r="S20" s="5">
        <f t="shared" si="9"/>
        <v>0</v>
      </c>
      <c r="T20" s="5">
        <f>VLOOKUP($B20,'251012_0시'!$A$1:$M$200,4,FALSE)</f>
        <v>1181434</v>
      </c>
      <c r="U20" s="5">
        <f>VLOOKUP($B20,'251012_0시'!$A$1:$M$200,5,FALSE)</f>
        <v>5300</v>
      </c>
      <c r="V20" s="5">
        <f t="shared" si="10"/>
        <v>183439</v>
      </c>
      <c r="W20" s="5">
        <f t="shared" si="11"/>
        <v>-21904</v>
      </c>
      <c r="X20" s="5">
        <f t="shared" si="12"/>
        <v>0</v>
      </c>
      <c r="Y20" s="5">
        <f>VLOOKUP($B20,'251013_0시'!$A$1:$M$200,4,FALSE)</f>
        <v>1376018</v>
      </c>
      <c r="Z20" s="5">
        <f>VLOOKUP($B20,'251013_0시'!$A$1:$M$200,5,FALSE)</f>
        <v>5300</v>
      </c>
      <c r="AA20" s="5">
        <f t="shared" si="13"/>
        <v>194584</v>
      </c>
      <c r="AB20" s="5">
        <f t="shared" si="14"/>
        <v>11145</v>
      </c>
      <c r="AC20" s="5">
        <f t="shared" si="15"/>
        <v>0</v>
      </c>
      <c r="AD20" s="5">
        <f>VLOOKUP($B20,'251013_0시'!$A$1:$M$200,4,FALSE)</f>
        <v>1376018</v>
      </c>
      <c r="AF20" s="5" t="s">
        <v>783</v>
      </c>
      <c r="AG20" s="5">
        <f>VLOOKUP($AF20,'251013'!$A$1:$M$200,4,FALSE)</f>
        <v>182849</v>
      </c>
      <c r="AH20" s="5">
        <f>VLOOKUP($AF20,'251013'!$A$1:$M$200,5,FALSE)</f>
        <v>2960</v>
      </c>
      <c r="AI20" s="5">
        <f>VLOOKUP($AF20,'251014'!$A$1:$M$200,4,FALSE)</f>
        <v>320299</v>
      </c>
      <c r="AJ20" s="5">
        <f>VLOOKUP($AF20,'251014'!$A$1:$M$200,5,FALSE)</f>
        <v>3710</v>
      </c>
      <c r="AK20" s="5">
        <f t="shared" si="16"/>
        <v>137450</v>
      </c>
      <c r="AL20" s="5">
        <f t="shared" si="17"/>
        <v>-45399</v>
      </c>
      <c r="AM20" s="5">
        <f t="shared" si="18"/>
        <v>750</v>
      </c>
      <c r="AN20" s="5">
        <f>VLOOKUP($AF20,'251015'!$A$1:$M$200,4,FALSE)</f>
        <v>536463</v>
      </c>
      <c r="AO20" s="5">
        <f>VLOOKUP($AF20,'251015'!$A$1:$M$200,5,FALSE)</f>
        <v>4016</v>
      </c>
      <c r="AP20" s="5">
        <f t="shared" si="19"/>
        <v>216164</v>
      </c>
      <c r="AQ20" s="5">
        <f t="shared" si="20"/>
        <v>78714</v>
      </c>
      <c r="AR20" s="5">
        <f t="shared" si="21"/>
        <v>306</v>
      </c>
      <c r="AS20" s="5">
        <f>VLOOKUP($AF20,'251016'!$A$1:$M$200,4,FALSE)</f>
        <v>771158</v>
      </c>
      <c r="AT20" s="5">
        <f>VLOOKUP($AF20,'251016'!$A$1:$M$200,5,FALSE)</f>
        <v>4016</v>
      </c>
      <c r="AU20" s="5">
        <f t="shared" si="22"/>
        <v>234695</v>
      </c>
      <c r="AV20" s="5">
        <f t="shared" si="23"/>
        <v>18531</v>
      </c>
      <c r="AW20" s="5">
        <f t="shared" si="24"/>
        <v>0</v>
      </c>
      <c r="AX20" s="5">
        <f>VLOOKUP($AF20,'251017'!$A$1:$M$200,4,FALSE)</f>
        <v>1058185</v>
      </c>
      <c r="AY20" s="5">
        <f>VLOOKUP($AF20,'251017'!$A$1:$M$200,5,FALSE)</f>
        <v>4364</v>
      </c>
      <c r="AZ20" s="5">
        <f t="shared" si="25"/>
        <v>287027</v>
      </c>
      <c r="BA20" s="5">
        <f t="shared" si="26"/>
        <v>52332</v>
      </c>
      <c r="BB20" s="5">
        <f t="shared" si="27"/>
        <v>348</v>
      </c>
      <c r="BC20" s="5">
        <f>VLOOKUP($AF20,'251018'!$A$1:$M$200,4,FALSE)</f>
        <v>1270985</v>
      </c>
      <c r="BD20" s="5">
        <f>VLOOKUP($AF20,'251018'!$A$1:$M$200,5,FALSE)</f>
        <v>4364</v>
      </c>
      <c r="BE20" s="5">
        <f t="shared" si="28"/>
        <v>212800</v>
      </c>
      <c r="BF20" s="5">
        <f t="shared" si="29"/>
        <v>-74227</v>
      </c>
      <c r="BG20" s="5">
        <f t="shared" si="30"/>
        <v>0</v>
      </c>
      <c r="BH20" s="5">
        <f>VLOOKUP($AF20,'251018'!$A$1:$M$200,4,FALSE)</f>
        <v>1270985</v>
      </c>
    </row>
    <row r="21" spans="1:60" x14ac:dyDescent="0.3">
      <c r="B21" s="5" t="s">
        <v>783</v>
      </c>
      <c r="C21" s="5">
        <f>VLOOKUP($B21,'251008_0시'!$A$1:$M$200,4,FALSE)</f>
        <v>436180</v>
      </c>
      <c r="D21" s="5">
        <f>VLOOKUP($B21,'251008_0시'!$A$1:$M$200,5,FALSE)</f>
        <v>0</v>
      </c>
      <c r="E21" s="5">
        <f>VLOOKUP($B21,'251009_0시'!$A$1:$M$200,4,FALSE)</f>
        <v>644738</v>
      </c>
      <c r="F21" s="5">
        <f>VLOOKUP($B21,'251009_0시'!$A$1:$M$200,5,FALSE)</f>
        <v>0</v>
      </c>
      <c r="G21" s="5">
        <f t="shared" si="1"/>
        <v>208558</v>
      </c>
      <c r="H21" s="5">
        <f t="shared" si="2"/>
        <v>-9532</v>
      </c>
      <c r="I21" s="5">
        <f t="shared" si="3"/>
        <v>0</v>
      </c>
      <c r="J21" s="5">
        <f>VLOOKUP($B21,'251010_0시'!$A$1:$M$200,4,FALSE)</f>
        <v>841734</v>
      </c>
      <c r="K21" s="5">
        <f>VLOOKUP($B21,'251010_0시'!$A$1:$M$200,5,FALSE)</f>
        <v>250</v>
      </c>
      <c r="L21" s="5">
        <f t="shared" si="4"/>
        <v>196996</v>
      </c>
      <c r="M21" s="5">
        <f t="shared" si="5"/>
        <v>-11562</v>
      </c>
      <c r="N21" s="5">
        <f t="shared" si="6"/>
        <v>250</v>
      </c>
      <c r="O21" s="5">
        <f>VLOOKUP($B21,'251011_0시'!$A$1:$M$200,4,FALSE)</f>
        <v>1006663</v>
      </c>
      <c r="P21" s="5">
        <f>VLOOKUP($B21,'251011_0시'!$A$1:$M$200,5,FALSE)</f>
        <v>300</v>
      </c>
      <c r="Q21" s="5">
        <f t="shared" si="7"/>
        <v>164929</v>
      </c>
      <c r="R21" s="5">
        <f t="shared" si="8"/>
        <v>-32067</v>
      </c>
      <c r="S21" s="5">
        <f t="shared" si="9"/>
        <v>50</v>
      </c>
      <c r="T21" s="5">
        <f>VLOOKUP($B21,'251012_0시'!$A$1:$M$200,4,FALSE)</f>
        <v>1185564</v>
      </c>
      <c r="U21" s="5">
        <f>VLOOKUP($B21,'251012_0시'!$A$1:$M$200,5,FALSE)</f>
        <v>300</v>
      </c>
      <c r="V21" s="5">
        <f t="shared" si="10"/>
        <v>178901</v>
      </c>
      <c r="W21" s="5">
        <f t="shared" si="11"/>
        <v>13972</v>
      </c>
      <c r="X21" s="5">
        <f t="shared" si="12"/>
        <v>0</v>
      </c>
      <c r="Y21" s="5">
        <f>VLOOKUP($B21,'251013_0시'!$A$1:$M$200,4,FALSE)</f>
        <v>1359258</v>
      </c>
      <c r="Z21" s="5">
        <f>VLOOKUP($B21,'251013_0시'!$A$1:$M$200,5,FALSE)</f>
        <v>300</v>
      </c>
      <c r="AA21" s="5">
        <f t="shared" si="13"/>
        <v>173694</v>
      </c>
      <c r="AB21" s="5">
        <f t="shared" si="14"/>
        <v>-5207</v>
      </c>
      <c r="AC21" s="5">
        <f t="shared" si="15"/>
        <v>0</v>
      </c>
      <c r="AD21" s="5">
        <f>VLOOKUP($B21,'251013_0시'!$A$1:$M$200,4,FALSE)</f>
        <v>1359258</v>
      </c>
      <c r="AF21" s="5" t="s">
        <v>751</v>
      </c>
      <c r="AG21" s="5">
        <f>VLOOKUP($AF21,'251013'!$A$1:$M$200,4,FALSE)</f>
        <v>127121</v>
      </c>
      <c r="AH21" s="5">
        <f>VLOOKUP($AF21,'251013'!$A$1:$M$200,5,FALSE)</f>
        <v>0</v>
      </c>
      <c r="AI21" s="5">
        <f>VLOOKUP($AF21,'251014'!$A$1:$M$200,4,FALSE)</f>
        <v>310806</v>
      </c>
      <c r="AJ21" s="5">
        <f>VLOOKUP($AF21,'251014'!$A$1:$M$200,5,FALSE)</f>
        <v>0</v>
      </c>
      <c r="AK21" s="5">
        <f t="shared" si="16"/>
        <v>183685</v>
      </c>
      <c r="AL21" s="5">
        <f t="shared" si="17"/>
        <v>56564</v>
      </c>
      <c r="AM21" s="5">
        <f t="shared" si="18"/>
        <v>0</v>
      </c>
      <c r="AN21" s="5">
        <f>VLOOKUP($AF21,'251015'!$A$1:$M$200,4,FALSE)</f>
        <v>542724</v>
      </c>
      <c r="AO21" s="5">
        <f>VLOOKUP($AF21,'251015'!$A$1:$M$200,5,FALSE)</f>
        <v>0</v>
      </c>
      <c r="AP21" s="5">
        <f t="shared" si="19"/>
        <v>231918</v>
      </c>
      <c r="AQ21" s="5">
        <f t="shared" si="20"/>
        <v>48233</v>
      </c>
      <c r="AR21" s="5">
        <f t="shared" si="21"/>
        <v>0</v>
      </c>
      <c r="AS21" s="5">
        <f>VLOOKUP($AF21,'251016'!$A$1:$M$200,4,FALSE)</f>
        <v>655100</v>
      </c>
      <c r="AT21" s="5">
        <f>VLOOKUP($AF21,'251016'!$A$1:$M$200,5,FALSE)</f>
        <v>0</v>
      </c>
      <c r="AU21" s="5">
        <f t="shared" si="22"/>
        <v>112376</v>
      </c>
      <c r="AV21" s="5">
        <f t="shared" si="23"/>
        <v>-119542</v>
      </c>
      <c r="AW21" s="5">
        <f t="shared" si="24"/>
        <v>0</v>
      </c>
      <c r="AX21" s="5">
        <f>VLOOKUP($AF21,'251017'!$A$1:$M$200,4,FALSE)</f>
        <v>955079</v>
      </c>
      <c r="AY21" s="5">
        <f>VLOOKUP($AF21,'251017'!$A$1:$M$200,5,FALSE)</f>
        <v>0</v>
      </c>
      <c r="AZ21" s="5">
        <f t="shared" si="25"/>
        <v>299979</v>
      </c>
      <c r="BA21" s="5">
        <f t="shared" si="26"/>
        <v>187603</v>
      </c>
      <c r="BB21" s="5">
        <f t="shared" si="27"/>
        <v>0</v>
      </c>
      <c r="BC21" s="5">
        <f>VLOOKUP($AF21,'251018'!$A$1:$M$200,4,FALSE)</f>
        <v>1235452</v>
      </c>
      <c r="BD21" s="5">
        <f>VLOOKUP($AF21,'251018'!$A$1:$M$200,5,FALSE)</f>
        <v>0</v>
      </c>
      <c r="BE21" s="5">
        <f t="shared" si="28"/>
        <v>280373</v>
      </c>
      <c r="BF21" s="5">
        <f t="shared" si="29"/>
        <v>-19606</v>
      </c>
      <c r="BG21" s="5">
        <f t="shared" si="30"/>
        <v>0</v>
      </c>
      <c r="BH21" s="5">
        <f>VLOOKUP($AF21,'251018'!$A$1:$M$200,4,FALSE)</f>
        <v>1235452</v>
      </c>
    </row>
    <row r="22" spans="1:60" x14ac:dyDescent="0.3">
      <c r="B22" s="5" t="s">
        <v>797</v>
      </c>
      <c r="C22" s="5">
        <f>VLOOKUP($B22,'251008_0시'!$A$1:$M$200,4,FALSE)</f>
        <v>329438</v>
      </c>
      <c r="D22" s="5">
        <f>VLOOKUP($B22,'251008_0시'!$A$1:$M$200,5,FALSE)</f>
        <v>11091</v>
      </c>
      <c r="E22" s="5">
        <f>VLOOKUP($B22,'251009_0시'!$A$1:$M$200,4,FALSE)</f>
        <v>525293</v>
      </c>
      <c r="F22" s="5">
        <f>VLOOKUP($B22,'251009_0시'!$A$1:$M$200,5,FALSE)</f>
        <v>16391</v>
      </c>
      <c r="G22" s="5">
        <f t="shared" si="1"/>
        <v>195855</v>
      </c>
      <c r="H22" s="5">
        <f t="shared" si="2"/>
        <v>31136</v>
      </c>
      <c r="I22" s="5">
        <f t="shared" si="3"/>
        <v>5300</v>
      </c>
      <c r="J22" s="5">
        <f>VLOOKUP($B22,'251010_0시'!$A$1:$M$200,4,FALSE)</f>
        <v>734603</v>
      </c>
      <c r="K22" s="5">
        <f>VLOOKUP($B22,'251010_0시'!$A$1:$M$200,5,FALSE)</f>
        <v>21241</v>
      </c>
      <c r="L22" s="5">
        <f t="shared" si="4"/>
        <v>209310</v>
      </c>
      <c r="M22" s="5">
        <f t="shared" si="5"/>
        <v>13455</v>
      </c>
      <c r="N22" s="5">
        <f t="shared" si="6"/>
        <v>4850</v>
      </c>
      <c r="O22" s="5">
        <f>VLOOKUP($B22,'251011_0시'!$A$1:$M$200,4,FALSE)</f>
        <v>914804</v>
      </c>
      <c r="P22" s="5">
        <f>VLOOKUP($B22,'251011_0시'!$A$1:$M$200,5,FALSE)</f>
        <v>24841</v>
      </c>
      <c r="Q22" s="5">
        <f t="shared" si="7"/>
        <v>180201</v>
      </c>
      <c r="R22" s="5">
        <f t="shared" si="8"/>
        <v>-29109</v>
      </c>
      <c r="S22" s="5">
        <f t="shared" si="9"/>
        <v>3600</v>
      </c>
      <c r="T22" s="5">
        <f>VLOOKUP($B22,'251012_0시'!$A$1:$M$200,4,FALSE)</f>
        <v>1129312</v>
      </c>
      <c r="U22" s="5">
        <f>VLOOKUP($B22,'251012_0시'!$A$1:$M$200,5,FALSE)</f>
        <v>28766</v>
      </c>
      <c r="V22" s="5">
        <f t="shared" si="10"/>
        <v>214508</v>
      </c>
      <c r="W22" s="5">
        <f t="shared" si="11"/>
        <v>34307</v>
      </c>
      <c r="X22" s="5">
        <f t="shared" si="12"/>
        <v>3925</v>
      </c>
      <c r="Y22" s="5">
        <f>VLOOKUP($B22,'251013_0시'!$A$1:$M$200,4,FALSE)</f>
        <v>1324670</v>
      </c>
      <c r="Z22" s="5">
        <f>VLOOKUP($B22,'251013_0시'!$A$1:$M$200,5,FALSE)</f>
        <v>34216</v>
      </c>
      <c r="AA22" s="5">
        <f t="shared" si="13"/>
        <v>195358</v>
      </c>
      <c r="AB22" s="5">
        <f t="shared" si="14"/>
        <v>-19150</v>
      </c>
      <c r="AC22" s="5">
        <f t="shared" si="15"/>
        <v>5450</v>
      </c>
      <c r="AD22" s="5">
        <f>VLOOKUP($B22,'251013_0시'!$A$1:$M$200,4,FALSE)</f>
        <v>1324670</v>
      </c>
      <c r="AF22" s="5" t="s">
        <v>941</v>
      </c>
      <c r="AG22" s="5">
        <f>VLOOKUP($AF22,'251013'!$A$1:$M$200,4,FALSE)</f>
        <v>192690</v>
      </c>
      <c r="AH22" s="5">
        <f>VLOOKUP($AF22,'251013'!$A$1:$M$200,5,FALSE)</f>
        <v>150</v>
      </c>
      <c r="AI22" s="5">
        <f>VLOOKUP($AF22,'251014'!$A$1:$M$200,4,FALSE)</f>
        <v>367529</v>
      </c>
      <c r="AJ22" s="5">
        <f>VLOOKUP($AF22,'251014'!$A$1:$M$200,5,FALSE)</f>
        <v>150</v>
      </c>
      <c r="AK22" s="5">
        <f t="shared" si="16"/>
        <v>174839</v>
      </c>
      <c r="AL22" s="5">
        <f t="shared" si="17"/>
        <v>-17851</v>
      </c>
      <c r="AM22" s="5">
        <f t="shared" si="18"/>
        <v>0</v>
      </c>
      <c r="AN22" s="5">
        <f>VLOOKUP($AF22,'251015'!$A$1:$M$200,4,FALSE)</f>
        <v>612869</v>
      </c>
      <c r="AO22" s="5">
        <f>VLOOKUP($AF22,'251015'!$A$1:$M$200,5,FALSE)</f>
        <v>500</v>
      </c>
      <c r="AP22" s="5">
        <f t="shared" si="19"/>
        <v>245340</v>
      </c>
      <c r="AQ22" s="5">
        <f t="shared" si="20"/>
        <v>70501</v>
      </c>
      <c r="AR22" s="5">
        <f t="shared" si="21"/>
        <v>350</v>
      </c>
      <c r="AS22" s="5">
        <f>VLOOKUP($AF22,'251016'!$A$1:$M$200,4,FALSE)</f>
        <v>767253</v>
      </c>
      <c r="AT22" s="5">
        <f>VLOOKUP($AF22,'251016'!$A$1:$M$200,5,FALSE)</f>
        <v>500</v>
      </c>
      <c r="AU22" s="5">
        <f t="shared" si="22"/>
        <v>154384</v>
      </c>
      <c r="AV22" s="5">
        <f t="shared" si="23"/>
        <v>-90956</v>
      </c>
      <c r="AW22" s="5">
        <f t="shared" si="24"/>
        <v>0</v>
      </c>
      <c r="AX22" s="5">
        <f>VLOOKUP($AF22,'251017'!$A$1:$M$200,4,FALSE)</f>
        <v>913650</v>
      </c>
      <c r="AY22" s="5">
        <f>VLOOKUP($AF22,'251017'!$A$1:$M$200,5,FALSE)</f>
        <v>500</v>
      </c>
      <c r="AZ22" s="5">
        <f t="shared" si="25"/>
        <v>146397</v>
      </c>
      <c r="BA22" s="5">
        <f t="shared" si="26"/>
        <v>-7987</v>
      </c>
      <c r="BB22" s="5">
        <f t="shared" si="27"/>
        <v>0</v>
      </c>
      <c r="BC22" s="5">
        <f>VLOOKUP($AF22,'251018'!$A$1:$M$200,4,FALSE)</f>
        <v>1220967</v>
      </c>
      <c r="BD22" s="5">
        <f>VLOOKUP($AF22,'251018'!$A$1:$M$200,5,FALSE)</f>
        <v>500</v>
      </c>
      <c r="BE22" s="5">
        <f t="shared" si="28"/>
        <v>307317</v>
      </c>
      <c r="BF22" s="5">
        <f t="shared" si="29"/>
        <v>160920</v>
      </c>
      <c r="BG22" s="5">
        <f t="shared" si="30"/>
        <v>0</v>
      </c>
      <c r="BH22" s="5">
        <f>VLOOKUP($AF22,'251018'!$A$1:$M$200,4,FALSE)</f>
        <v>1220967</v>
      </c>
    </row>
    <row r="23" spans="1:60" x14ac:dyDescent="0.3">
      <c r="A23" t="s">
        <v>700</v>
      </c>
      <c r="B23" s="5" t="s">
        <v>751</v>
      </c>
      <c r="C23" s="5">
        <f>VLOOKUP($B23,'251008_0시'!$A$1:$M$200,4,FALSE)</f>
        <v>432419</v>
      </c>
      <c r="D23" s="5">
        <f>VLOOKUP($B23,'251008_0시'!$A$1:$M$200,5,FALSE)</f>
        <v>400</v>
      </c>
      <c r="E23" s="5">
        <f>VLOOKUP($B23,'251009_0시'!$A$1:$M$200,4,FALSE)</f>
        <v>671974</v>
      </c>
      <c r="F23" s="5">
        <f>VLOOKUP($B23,'251009_0시'!$A$1:$M$200,5,FALSE)</f>
        <v>450</v>
      </c>
      <c r="G23" s="5">
        <f t="shared" si="1"/>
        <v>239555</v>
      </c>
      <c r="H23" s="5">
        <f t="shared" si="2"/>
        <v>23345.5</v>
      </c>
      <c r="I23" s="5">
        <f t="shared" si="3"/>
        <v>50</v>
      </c>
      <c r="J23" s="5">
        <f>VLOOKUP($B23,'251010_0시'!$A$1:$M$200,4,FALSE)</f>
        <v>867227</v>
      </c>
      <c r="K23" s="5">
        <f>VLOOKUP($B23,'251010_0시'!$A$1:$M$200,5,FALSE)</f>
        <v>705</v>
      </c>
      <c r="L23" s="5">
        <f t="shared" si="4"/>
        <v>195253</v>
      </c>
      <c r="M23" s="5">
        <f t="shared" si="5"/>
        <v>-44302</v>
      </c>
      <c r="N23" s="5">
        <f t="shared" si="6"/>
        <v>255</v>
      </c>
      <c r="O23" s="5">
        <f>VLOOKUP($B23,'251011_0시'!$A$1:$M$200,4,FALSE)</f>
        <v>1001863</v>
      </c>
      <c r="P23" s="5">
        <f>VLOOKUP($B23,'251011_0시'!$A$1:$M$200,5,FALSE)</f>
        <v>705</v>
      </c>
      <c r="Q23" s="5">
        <f t="shared" si="7"/>
        <v>134636</v>
      </c>
      <c r="R23" s="5">
        <f t="shared" si="8"/>
        <v>-60617</v>
      </c>
      <c r="S23" s="5">
        <f t="shared" si="9"/>
        <v>0</v>
      </c>
      <c r="T23" s="5">
        <f>VLOOKUP($B23,'251012_0시'!$A$1:$M$200,4,FALSE)</f>
        <v>1221935</v>
      </c>
      <c r="U23" s="5">
        <f>VLOOKUP($B23,'251012_0시'!$A$1:$M$200,5,FALSE)</f>
        <v>705</v>
      </c>
      <c r="V23" s="5">
        <f t="shared" si="10"/>
        <v>220072</v>
      </c>
      <c r="W23" s="5">
        <f t="shared" si="11"/>
        <v>85436</v>
      </c>
      <c r="X23" s="5">
        <f t="shared" si="12"/>
        <v>0</v>
      </c>
      <c r="Y23" s="5">
        <f>VLOOKUP($B23,'251013_0시'!$A$1:$M$200,4,FALSE)</f>
        <v>1323686</v>
      </c>
      <c r="Z23" s="5">
        <f>VLOOKUP($B23,'251013_0시'!$A$1:$M$200,5,FALSE)</f>
        <v>705</v>
      </c>
      <c r="AA23" s="5">
        <f t="shared" si="13"/>
        <v>101751</v>
      </c>
      <c r="AB23" s="5">
        <f t="shared" si="14"/>
        <v>-118321</v>
      </c>
      <c r="AC23" s="5">
        <f t="shared" si="15"/>
        <v>0</v>
      </c>
      <c r="AD23" s="5">
        <f>VLOOKUP($B23,'251013_0시'!$A$1:$M$200,4,FALSE)</f>
        <v>1323686</v>
      </c>
      <c r="AF23" s="5" t="s">
        <v>599</v>
      </c>
      <c r="AG23" s="5">
        <f>VLOOKUP($AF23,'251013'!$A$1:$M$200,4,FALSE)</f>
        <v>182990</v>
      </c>
      <c r="AH23" s="5">
        <f>VLOOKUP($AF23,'251013'!$A$1:$M$200,5,FALSE)</f>
        <v>0</v>
      </c>
      <c r="AI23" s="5">
        <f>VLOOKUP($AF23,'251014'!$A$1:$M$200,4,FALSE)</f>
        <v>346368</v>
      </c>
      <c r="AJ23" s="5">
        <f>VLOOKUP($AF23,'251014'!$A$1:$M$200,5,FALSE)</f>
        <v>0</v>
      </c>
      <c r="AK23" s="5">
        <f t="shared" si="16"/>
        <v>163378</v>
      </c>
      <c r="AL23" s="5">
        <f t="shared" si="17"/>
        <v>-19612</v>
      </c>
      <c r="AM23" s="5">
        <f t="shared" si="18"/>
        <v>0</v>
      </c>
      <c r="AN23" s="5">
        <f>VLOOKUP($AF23,'251015'!$A$1:$M$200,4,FALSE)</f>
        <v>594059</v>
      </c>
      <c r="AO23" s="5">
        <f>VLOOKUP($AF23,'251015'!$A$1:$M$200,5,FALSE)</f>
        <v>0</v>
      </c>
      <c r="AP23" s="5">
        <f t="shared" si="19"/>
        <v>247691</v>
      </c>
      <c r="AQ23" s="5">
        <f t="shared" si="20"/>
        <v>84313</v>
      </c>
      <c r="AR23" s="5">
        <f t="shared" si="21"/>
        <v>0</v>
      </c>
      <c r="AS23" s="5">
        <f>VLOOKUP($AF23,'251016'!$A$1:$M$200,4,FALSE)</f>
        <v>802375</v>
      </c>
      <c r="AT23" s="5">
        <f>VLOOKUP($AF23,'251016'!$A$1:$M$200,5,FALSE)</f>
        <v>0</v>
      </c>
      <c r="AU23" s="5">
        <f t="shared" si="22"/>
        <v>208316</v>
      </c>
      <c r="AV23" s="5">
        <f t="shared" si="23"/>
        <v>-39375</v>
      </c>
      <c r="AW23" s="5">
        <f t="shared" si="24"/>
        <v>0</v>
      </c>
      <c r="AX23" s="5">
        <f>VLOOKUP($AF23,'251017'!$A$1:$M$200,4,FALSE)</f>
        <v>978479</v>
      </c>
      <c r="AY23" s="5">
        <f>VLOOKUP($AF23,'251017'!$A$1:$M$200,5,FALSE)</f>
        <v>298</v>
      </c>
      <c r="AZ23" s="5">
        <f t="shared" si="25"/>
        <v>176104</v>
      </c>
      <c r="BA23" s="5">
        <f t="shared" si="26"/>
        <v>-32212</v>
      </c>
      <c r="BB23" s="5">
        <f t="shared" si="27"/>
        <v>298</v>
      </c>
      <c r="BC23" s="5">
        <f>VLOOKUP($AF23,'251018'!$A$1:$M$200,4,FALSE)</f>
        <v>1219452</v>
      </c>
      <c r="BD23" s="5">
        <f>VLOOKUP($AF23,'251018'!$A$1:$M$200,5,FALSE)</f>
        <v>486</v>
      </c>
      <c r="BE23" s="5">
        <f t="shared" si="28"/>
        <v>240973</v>
      </c>
      <c r="BF23" s="5">
        <f t="shared" si="29"/>
        <v>64869</v>
      </c>
      <c r="BG23" s="5">
        <f t="shared" si="30"/>
        <v>188</v>
      </c>
      <c r="BH23" s="5">
        <f>VLOOKUP($AF23,'251018'!$A$1:$M$200,4,FALSE)</f>
        <v>1219452</v>
      </c>
    </row>
    <row r="24" spans="1:60" x14ac:dyDescent="0.3">
      <c r="B24" s="5" t="s">
        <v>761</v>
      </c>
      <c r="C24" s="5">
        <f>VLOOKUP($B24,'251008_0시'!$A$1:$M$200,4,FALSE)</f>
        <v>335750</v>
      </c>
      <c r="D24" s="5">
        <f>VLOOKUP($B24,'251008_0시'!$A$1:$M$200,5,FALSE)</f>
        <v>3050</v>
      </c>
      <c r="E24" s="5">
        <f>VLOOKUP($B24,'251009_0시'!$A$1:$M$200,4,FALSE)</f>
        <v>553015</v>
      </c>
      <c r="F24" s="5">
        <f>VLOOKUP($B24,'251009_0시'!$A$1:$M$200,5,FALSE)</f>
        <v>4496</v>
      </c>
      <c r="G24" s="5">
        <f t="shared" si="1"/>
        <v>217265</v>
      </c>
      <c r="H24" s="5">
        <f t="shared" si="2"/>
        <v>49390</v>
      </c>
      <c r="I24" s="5">
        <f t="shared" si="3"/>
        <v>1446</v>
      </c>
      <c r="J24" s="5">
        <f>VLOOKUP($B24,'251010_0시'!$A$1:$M$200,4,FALSE)</f>
        <v>773901</v>
      </c>
      <c r="K24" s="5">
        <f>VLOOKUP($B24,'251010_0시'!$A$1:$M$200,5,FALSE)</f>
        <v>6397</v>
      </c>
      <c r="L24" s="5">
        <f t="shared" si="4"/>
        <v>220886</v>
      </c>
      <c r="M24" s="5">
        <f t="shared" si="5"/>
        <v>3621</v>
      </c>
      <c r="N24" s="5">
        <f t="shared" si="6"/>
        <v>1901</v>
      </c>
      <c r="O24" s="5">
        <f>VLOOKUP($B24,'251011_0시'!$A$1:$M$200,4,FALSE)</f>
        <v>936972</v>
      </c>
      <c r="P24" s="5">
        <f>VLOOKUP($B24,'251011_0시'!$A$1:$M$200,5,FALSE)</f>
        <v>7647</v>
      </c>
      <c r="Q24" s="5">
        <f t="shared" si="7"/>
        <v>163071</v>
      </c>
      <c r="R24" s="5">
        <f t="shared" si="8"/>
        <v>-57815</v>
      </c>
      <c r="S24" s="5">
        <f t="shared" si="9"/>
        <v>1250</v>
      </c>
      <c r="T24" s="5">
        <f>VLOOKUP($B24,'251012_0시'!$A$1:$M$200,4,FALSE)</f>
        <v>1118108</v>
      </c>
      <c r="U24" s="5">
        <f>VLOOKUP($B24,'251012_0시'!$A$1:$M$200,5,FALSE)</f>
        <v>8997</v>
      </c>
      <c r="V24" s="5">
        <f t="shared" si="10"/>
        <v>181136</v>
      </c>
      <c r="W24" s="5">
        <f t="shared" si="11"/>
        <v>18065</v>
      </c>
      <c r="X24" s="5">
        <f t="shared" si="12"/>
        <v>1350</v>
      </c>
      <c r="Y24" s="5">
        <f>VLOOKUP($B24,'251013_0시'!$A$1:$M$200,4,FALSE)</f>
        <v>1307221</v>
      </c>
      <c r="Z24" s="5">
        <f>VLOOKUP($B24,'251013_0시'!$A$1:$M$200,5,FALSE)</f>
        <v>8997</v>
      </c>
      <c r="AA24" s="5">
        <f t="shared" si="13"/>
        <v>189113</v>
      </c>
      <c r="AB24" s="5">
        <f t="shared" si="14"/>
        <v>7977</v>
      </c>
      <c r="AC24" s="5">
        <f t="shared" si="15"/>
        <v>0</v>
      </c>
      <c r="AD24" s="5">
        <f>VLOOKUP($B24,'251013_0시'!$A$1:$M$200,4,FALSE)</f>
        <v>1307221</v>
      </c>
      <c r="AF24" s="5" t="s">
        <v>755</v>
      </c>
      <c r="AG24" s="5">
        <f>VLOOKUP($AF24,'251013'!$A$1:$M$200,4,FALSE)</f>
        <v>181753</v>
      </c>
      <c r="AH24" s="5">
        <f>VLOOKUP($AF24,'251013'!$A$1:$M$200,5,FALSE)</f>
        <v>5152</v>
      </c>
      <c r="AI24" s="5">
        <f>VLOOKUP($AF24,'251014'!$A$1:$M$200,4,FALSE)</f>
        <v>360686</v>
      </c>
      <c r="AJ24" s="5">
        <f>VLOOKUP($AF24,'251014'!$A$1:$M$200,5,FALSE)</f>
        <v>6502</v>
      </c>
      <c r="AK24" s="5">
        <f t="shared" si="16"/>
        <v>178933</v>
      </c>
      <c r="AL24" s="5">
        <f t="shared" si="17"/>
        <v>-2820</v>
      </c>
      <c r="AM24" s="5">
        <f t="shared" si="18"/>
        <v>1350</v>
      </c>
      <c r="AN24" s="5">
        <f>VLOOKUP($AF24,'251015'!$A$1:$M$200,4,FALSE)</f>
        <v>606995</v>
      </c>
      <c r="AO24" s="5">
        <f>VLOOKUP($AF24,'251015'!$A$1:$M$200,5,FALSE)</f>
        <v>11002</v>
      </c>
      <c r="AP24" s="5">
        <f t="shared" si="19"/>
        <v>246309</v>
      </c>
      <c r="AQ24" s="5">
        <f t="shared" si="20"/>
        <v>67376</v>
      </c>
      <c r="AR24" s="5">
        <f t="shared" si="21"/>
        <v>4500</v>
      </c>
      <c r="AS24" s="5">
        <f>VLOOKUP($AF24,'251016'!$A$1:$M$200,4,FALSE)</f>
        <v>715650</v>
      </c>
      <c r="AT24" s="5">
        <f>VLOOKUP($AF24,'251016'!$A$1:$M$200,5,FALSE)</f>
        <v>15052</v>
      </c>
      <c r="AU24" s="5">
        <f t="shared" si="22"/>
        <v>108655</v>
      </c>
      <c r="AV24" s="5">
        <f t="shared" si="23"/>
        <v>-137654</v>
      </c>
      <c r="AW24" s="5">
        <f t="shared" si="24"/>
        <v>4050</v>
      </c>
      <c r="AX24" s="5">
        <f>VLOOKUP($AF24,'251017'!$A$1:$M$200,4,FALSE)</f>
        <v>872661</v>
      </c>
      <c r="AY24" s="5">
        <f>VLOOKUP($AF24,'251017'!$A$1:$M$200,5,FALSE)</f>
        <v>17752</v>
      </c>
      <c r="AZ24" s="5">
        <f t="shared" si="25"/>
        <v>157011</v>
      </c>
      <c r="BA24" s="5">
        <f t="shared" si="26"/>
        <v>48356</v>
      </c>
      <c r="BB24" s="5">
        <f t="shared" si="27"/>
        <v>2700</v>
      </c>
      <c r="BC24" s="5">
        <f>VLOOKUP($AF24,'251018'!$A$1:$M$200,4,FALSE)</f>
        <v>1201102</v>
      </c>
      <c r="BD24" s="5">
        <f>VLOOKUP($AF24,'251018'!$A$1:$M$200,5,FALSE)</f>
        <v>20452</v>
      </c>
      <c r="BE24" s="5">
        <f t="shared" si="28"/>
        <v>328441</v>
      </c>
      <c r="BF24" s="5">
        <f t="shared" si="29"/>
        <v>171430</v>
      </c>
      <c r="BG24" s="5">
        <f t="shared" si="30"/>
        <v>2700</v>
      </c>
      <c r="BH24" s="5">
        <f>VLOOKUP($AF24,'251018'!$A$1:$M$200,4,FALSE)</f>
        <v>1201102</v>
      </c>
    </row>
    <row r="25" spans="1:60" x14ac:dyDescent="0.3">
      <c r="B25" s="5" t="s">
        <v>757</v>
      </c>
      <c r="C25" s="5">
        <f>VLOOKUP($B25,'251008_0시'!$A$1:$M$200,4,FALSE)</f>
        <v>392289</v>
      </c>
      <c r="D25" s="5">
        <f>VLOOKUP($B25,'251008_0시'!$A$1:$M$200,5,FALSE)</f>
        <v>0</v>
      </c>
      <c r="E25" s="5">
        <f>VLOOKUP($B25,'251009_0시'!$A$1:$M$200,4,FALSE)</f>
        <v>575651</v>
      </c>
      <c r="F25" s="5">
        <f>VLOOKUP($B25,'251009_0시'!$A$1:$M$200,5,FALSE)</f>
        <v>0</v>
      </c>
      <c r="G25" s="5">
        <f t="shared" si="1"/>
        <v>183362</v>
      </c>
      <c r="H25" s="5">
        <f t="shared" si="2"/>
        <v>-12782.5</v>
      </c>
      <c r="I25" s="5">
        <f t="shared" si="3"/>
        <v>0</v>
      </c>
      <c r="J25" s="5">
        <f>VLOOKUP($B25,'251010_0시'!$A$1:$M$200,4,FALSE)</f>
        <v>755877</v>
      </c>
      <c r="K25" s="5">
        <f>VLOOKUP($B25,'251010_0시'!$A$1:$M$200,5,FALSE)</f>
        <v>197</v>
      </c>
      <c r="L25" s="5">
        <f t="shared" si="4"/>
        <v>180226</v>
      </c>
      <c r="M25" s="5">
        <f t="shared" si="5"/>
        <v>-3136</v>
      </c>
      <c r="N25" s="5">
        <f t="shared" si="6"/>
        <v>197</v>
      </c>
      <c r="O25" s="5">
        <f>VLOOKUP($B25,'251011_0시'!$A$1:$M$200,4,FALSE)</f>
        <v>931297</v>
      </c>
      <c r="P25" s="5">
        <f>VLOOKUP($B25,'251011_0시'!$A$1:$M$200,5,FALSE)</f>
        <v>197</v>
      </c>
      <c r="Q25" s="5">
        <f t="shared" si="7"/>
        <v>175420</v>
      </c>
      <c r="R25" s="5">
        <f t="shared" si="8"/>
        <v>-4806</v>
      </c>
      <c r="S25" s="5">
        <f t="shared" si="9"/>
        <v>0</v>
      </c>
      <c r="T25" s="5">
        <f>VLOOKUP($B25,'251012_0시'!$A$1:$M$200,4,FALSE)</f>
        <v>1112616</v>
      </c>
      <c r="U25" s="5">
        <f>VLOOKUP($B25,'251012_0시'!$A$1:$M$200,5,FALSE)</f>
        <v>197</v>
      </c>
      <c r="V25" s="5">
        <f t="shared" si="10"/>
        <v>181319</v>
      </c>
      <c r="W25" s="5">
        <f t="shared" si="11"/>
        <v>5899</v>
      </c>
      <c r="X25" s="5">
        <f t="shared" si="12"/>
        <v>0</v>
      </c>
      <c r="Y25" s="5">
        <f>VLOOKUP($B25,'251013_0시'!$A$1:$M$200,4,FALSE)</f>
        <v>1307112</v>
      </c>
      <c r="Z25" s="5">
        <f>VLOOKUP($B25,'251013_0시'!$A$1:$M$200,5,FALSE)</f>
        <v>1247</v>
      </c>
      <c r="AA25" s="5">
        <f t="shared" si="13"/>
        <v>194496</v>
      </c>
      <c r="AB25" s="5">
        <f t="shared" si="14"/>
        <v>13177</v>
      </c>
      <c r="AC25" s="5">
        <f t="shared" si="15"/>
        <v>1050</v>
      </c>
      <c r="AD25" s="5">
        <f>VLOOKUP($B25,'251013_0시'!$A$1:$M$200,4,FALSE)</f>
        <v>1307112</v>
      </c>
      <c r="AF25" s="5" t="s">
        <v>949</v>
      </c>
      <c r="AG25" s="5">
        <f>VLOOKUP($AF25,'251013'!$A$1:$M$200,4,FALSE)</f>
        <v>157930</v>
      </c>
      <c r="AH25" s="5">
        <f>VLOOKUP($AF25,'251013'!$A$1:$M$200,5,FALSE)</f>
        <v>0</v>
      </c>
      <c r="AI25" s="5">
        <f>VLOOKUP($AF25,'251014'!$A$1:$M$200,4,FALSE)</f>
        <v>327946</v>
      </c>
      <c r="AJ25" s="5">
        <f>VLOOKUP($AF25,'251014'!$A$1:$M$200,5,FALSE)</f>
        <v>0</v>
      </c>
      <c r="AK25" s="5">
        <f t="shared" si="16"/>
        <v>170016</v>
      </c>
      <c r="AL25" s="5">
        <f t="shared" si="17"/>
        <v>12086</v>
      </c>
      <c r="AM25" s="5">
        <f t="shared" si="18"/>
        <v>0</v>
      </c>
      <c r="AN25" s="5">
        <f>VLOOKUP($AF25,'251015'!$A$1:$M$200,4,FALSE)</f>
        <v>546116</v>
      </c>
      <c r="AO25" s="5">
        <f>VLOOKUP($AF25,'251015'!$A$1:$M$200,5,FALSE)</f>
        <v>0</v>
      </c>
      <c r="AP25" s="5">
        <f t="shared" si="19"/>
        <v>218170</v>
      </c>
      <c r="AQ25" s="5">
        <f t="shared" si="20"/>
        <v>48154</v>
      </c>
      <c r="AR25" s="5">
        <f t="shared" si="21"/>
        <v>0</v>
      </c>
      <c r="AS25" s="5">
        <f>VLOOKUP($AF25,'251016'!$A$1:$M$200,4,FALSE)</f>
        <v>741238</v>
      </c>
      <c r="AT25" s="5">
        <f>VLOOKUP($AF25,'251016'!$A$1:$M$200,5,FALSE)</f>
        <v>0</v>
      </c>
      <c r="AU25" s="5">
        <f t="shared" si="22"/>
        <v>195122</v>
      </c>
      <c r="AV25" s="5">
        <f t="shared" si="23"/>
        <v>-23048</v>
      </c>
      <c r="AW25" s="5">
        <f t="shared" si="24"/>
        <v>0</v>
      </c>
      <c r="AX25" s="5">
        <f>VLOOKUP($AF25,'251017'!$A$1:$M$200,4,FALSE)</f>
        <v>933383</v>
      </c>
      <c r="AY25" s="5">
        <f>VLOOKUP($AF25,'251017'!$A$1:$M$200,5,FALSE)</f>
        <v>0</v>
      </c>
      <c r="AZ25" s="5">
        <f t="shared" si="25"/>
        <v>192145</v>
      </c>
      <c r="BA25" s="5">
        <f t="shared" si="26"/>
        <v>-2977</v>
      </c>
      <c r="BB25" s="5">
        <f t="shared" si="27"/>
        <v>0</v>
      </c>
      <c r="BC25" s="5">
        <f>VLOOKUP($AF25,'251018'!$A$1:$M$200,4,FALSE)</f>
        <v>1198743</v>
      </c>
      <c r="BD25" s="5">
        <f>VLOOKUP($AF25,'251018'!$A$1:$M$200,5,FALSE)</f>
        <v>0</v>
      </c>
      <c r="BE25" s="5">
        <f t="shared" si="28"/>
        <v>265360</v>
      </c>
      <c r="BF25" s="5">
        <f t="shared" si="29"/>
        <v>73215</v>
      </c>
      <c r="BG25" s="5">
        <f t="shared" si="30"/>
        <v>0</v>
      </c>
      <c r="BH25" s="5">
        <f>VLOOKUP($AF25,'251018'!$A$1:$M$200,4,FALSE)</f>
        <v>1198743</v>
      </c>
    </row>
    <row r="26" spans="1:60" x14ac:dyDescent="0.3">
      <c r="B26" s="5" t="s">
        <v>947</v>
      </c>
      <c r="C26" s="5">
        <f>VLOOKUP($B26,'251008_0시'!$A$1:$M$200,4,FALSE)</f>
        <v>375815</v>
      </c>
      <c r="D26" s="5">
        <f>VLOOKUP($B26,'251008_0시'!$A$1:$M$200,5,FALSE)</f>
        <v>275</v>
      </c>
      <c r="E26" s="5">
        <f>VLOOKUP($B26,'251009_0시'!$A$1:$M$200,4,FALSE)</f>
        <v>548873</v>
      </c>
      <c r="F26" s="5">
        <f>VLOOKUP($B26,'251009_0시'!$A$1:$M$200,5,FALSE)</f>
        <v>275</v>
      </c>
      <c r="G26" s="5">
        <f t="shared" si="1"/>
        <v>173058</v>
      </c>
      <c r="H26" s="5">
        <f t="shared" si="2"/>
        <v>-14849.5</v>
      </c>
      <c r="I26" s="5">
        <f t="shared" si="3"/>
        <v>0</v>
      </c>
      <c r="J26" s="5">
        <f>VLOOKUP($B26,'251010_0시'!$A$1:$M$200,4,FALSE)</f>
        <v>736104</v>
      </c>
      <c r="K26" s="5">
        <f>VLOOKUP($B26,'251010_0시'!$A$1:$M$200,5,FALSE)</f>
        <v>545</v>
      </c>
      <c r="L26" s="5">
        <f t="shared" si="4"/>
        <v>187231</v>
      </c>
      <c r="M26" s="5">
        <f t="shared" si="5"/>
        <v>14173</v>
      </c>
      <c r="N26" s="5">
        <f t="shared" si="6"/>
        <v>270</v>
      </c>
      <c r="O26" s="5">
        <f>VLOOKUP($B26,'251011_0시'!$A$1:$M$200,4,FALSE)</f>
        <v>890837</v>
      </c>
      <c r="P26" s="5">
        <f>VLOOKUP($B26,'251011_0시'!$A$1:$M$200,5,FALSE)</f>
        <v>545</v>
      </c>
      <c r="Q26" s="5">
        <f t="shared" si="7"/>
        <v>154733</v>
      </c>
      <c r="R26" s="5">
        <f t="shared" si="8"/>
        <v>-32498</v>
      </c>
      <c r="S26" s="5">
        <f t="shared" si="9"/>
        <v>0</v>
      </c>
      <c r="T26" s="5">
        <f>VLOOKUP($B26,'251012_0시'!$A$1:$M$200,4,FALSE)</f>
        <v>1076727</v>
      </c>
      <c r="U26" s="5">
        <f>VLOOKUP($B26,'251012_0시'!$A$1:$M$200,5,FALSE)</f>
        <v>545</v>
      </c>
      <c r="V26" s="5">
        <f t="shared" si="10"/>
        <v>185890</v>
      </c>
      <c r="W26" s="5">
        <f t="shared" si="11"/>
        <v>31157</v>
      </c>
      <c r="X26" s="5">
        <f t="shared" si="12"/>
        <v>0</v>
      </c>
      <c r="Y26" s="5">
        <f>VLOOKUP($B26,'251013_0시'!$A$1:$M$200,4,FALSE)</f>
        <v>1265465</v>
      </c>
      <c r="Z26" s="5">
        <f>VLOOKUP($B26,'251013_0시'!$A$1:$M$200,5,FALSE)</f>
        <v>646</v>
      </c>
      <c r="AA26" s="5">
        <f t="shared" si="13"/>
        <v>188738</v>
      </c>
      <c r="AB26" s="5">
        <f t="shared" si="14"/>
        <v>2848</v>
      </c>
      <c r="AC26" s="5">
        <f t="shared" si="15"/>
        <v>101</v>
      </c>
      <c r="AD26" s="5">
        <f>VLOOKUP($B26,'251013_0시'!$A$1:$M$200,4,FALSE)</f>
        <v>1265465</v>
      </c>
      <c r="AF26" s="5" t="s">
        <v>759</v>
      </c>
      <c r="AG26" s="5">
        <f>VLOOKUP($AF26,'251013'!$A$1:$M$200,4,FALSE)</f>
        <v>177135</v>
      </c>
      <c r="AH26" s="5">
        <f>VLOOKUP($AF26,'251013'!$A$1:$M$200,5,FALSE)</f>
        <v>900</v>
      </c>
      <c r="AI26" s="5">
        <f>VLOOKUP($AF26,'251014'!$A$1:$M$200,4,FALSE)</f>
        <v>356356</v>
      </c>
      <c r="AJ26" s="5">
        <f>VLOOKUP($AF26,'251014'!$A$1:$M$200,5,FALSE)</f>
        <v>1350</v>
      </c>
      <c r="AK26" s="5">
        <f t="shared" si="16"/>
        <v>179221</v>
      </c>
      <c r="AL26" s="5">
        <f t="shared" si="17"/>
        <v>2086</v>
      </c>
      <c r="AM26" s="5">
        <f t="shared" si="18"/>
        <v>450</v>
      </c>
      <c r="AN26" s="5">
        <f>VLOOKUP($AF26,'251015'!$A$1:$M$200,4,FALSE)</f>
        <v>520492</v>
      </c>
      <c r="AO26" s="5">
        <f>VLOOKUP($AF26,'251015'!$A$1:$M$200,5,FALSE)</f>
        <v>3600</v>
      </c>
      <c r="AP26" s="5">
        <f t="shared" si="19"/>
        <v>164136</v>
      </c>
      <c r="AQ26" s="5">
        <f t="shared" si="20"/>
        <v>-15085</v>
      </c>
      <c r="AR26" s="5">
        <f t="shared" si="21"/>
        <v>2250</v>
      </c>
      <c r="AS26" s="5">
        <f>VLOOKUP($AF26,'251016'!$A$1:$M$200,4,FALSE)</f>
        <v>703954</v>
      </c>
      <c r="AT26" s="5">
        <f>VLOOKUP($AF26,'251016'!$A$1:$M$200,5,FALSE)</f>
        <v>7200</v>
      </c>
      <c r="AU26" s="5">
        <f t="shared" si="22"/>
        <v>183462</v>
      </c>
      <c r="AV26" s="5">
        <f t="shared" si="23"/>
        <v>19326</v>
      </c>
      <c r="AW26" s="5">
        <f t="shared" si="24"/>
        <v>3600</v>
      </c>
      <c r="AX26" s="5">
        <f>VLOOKUP($AF26,'251017'!$A$1:$M$200,4,FALSE)</f>
        <v>933979</v>
      </c>
      <c r="AY26" s="5">
        <f>VLOOKUP($AF26,'251017'!$A$1:$M$200,5,FALSE)</f>
        <v>10800</v>
      </c>
      <c r="AZ26" s="5">
        <f t="shared" si="25"/>
        <v>230025</v>
      </c>
      <c r="BA26" s="5">
        <f t="shared" si="26"/>
        <v>46563</v>
      </c>
      <c r="BB26" s="5">
        <f t="shared" si="27"/>
        <v>3600</v>
      </c>
      <c r="BC26" s="5">
        <f>VLOOKUP($AF26,'251018'!$A$1:$M$200,4,FALSE)</f>
        <v>1198034</v>
      </c>
      <c r="BD26" s="5">
        <f>VLOOKUP($AF26,'251018'!$A$1:$M$200,5,FALSE)</f>
        <v>11700</v>
      </c>
      <c r="BE26" s="5">
        <f t="shared" si="28"/>
        <v>264055</v>
      </c>
      <c r="BF26" s="5">
        <f t="shared" si="29"/>
        <v>34030</v>
      </c>
      <c r="BG26" s="5">
        <f t="shared" si="30"/>
        <v>900</v>
      </c>
      <c r="BH26" s="5">
        <f>VLOOKUP($AF26,'251018'!$A$1:$M$200,4,FALSE)</f>
        <v>1198034</v>
      </c>
    </row>
    <row r="27" spans="1:60" x14ac:dyDescent="0.3">
      <c r="B27" s="5" t="s">
        <v>954</v>
      </c>
      <c r="C27" s="5">
        <f>VLOOKUP($B27,'251008_0시'!$A$1:$M$200,4,FALSE)</f>
        <v>375815</v>
      </c>
      <c r="D27" s="5">
        <f>VLOOKUP($B27,'251008_0시'!$A$1:$M$200,5,FALSE)</f>
        <v>275</v>
      </c>
      <c r="E27" s="5">
        <f>VLOOKUP($B27,'251009_0시'!$A$1:$M$200,4,FALSE)</f>
        <v>548873</v>
      </c>
      <c r="F27" s="5">
        <f>VLOOKUP($B27,'251009_0시'!$A$1:$M$200,5,FALSE)</f>
        <v>275</v>
      </c>
      <c r="G27" s="5">
        <f t="shared" si="1"/>
        <v>173058</v>
      </c>
      <c r="H27" s="5">
        <f t="shared" si="2"/>
        <v>-14849.5</v>
      </c>
      <c r="I27" s="5">
        <f t="shared" si="3"/>
        <v>0</v>
      </c>
      <c r="J27" s="5">
        <f>VLOOKUP($B27,'251010_0시'!$A$1:$M$200,4,FALSE)</f>
        <v>736104</v>
      </c>
      <c r="K27" s="5">
        <f>VLOOKUP($B27,'251010_0시'!$A$1:$M$200,5,FALSE)</f>
        <v>545</v>
      </c>
      <c r="L27" s="5">
        <f t="shared" si="4"/>
        <v>187231</v>
      </c>
      <c r="M27" s="5">
        <f t="shared" si="5"/>
        <v>14173</v>
      </c>
      <c r="N27" s="5">
        <f t="shared" si="6"/>
        <v>270</v>
      </c>
      <c r="O27" s="5">
        <f>VLOOKUP($B27,'251011_0시'!$A$1:$M$200,4,FALSE)</f>
        <v>890837</v>
      </c>
      <c r="P27" s="5">
        <f>VLOOKUP($B27,'251011_0시'!$A$1:$M$200,5,FALSE)</f>
        <v>545</v>
      </c>
      <c r="Q27" s="5">
        <f t="shared" si="7"/>
        <v>154733</v>
      </c>
      <c r="R27" s="5">
        <f t="shared" si="8"/>
        <v>-32498</v>
      </c>
      <c r="S27" s="5">
        <f t="shared" si="9"/>
        <v>0</v>
      </c>
      <c r="T27" s="5">
        <f>VLOOKUP($B27,'251012_0시'!$A$1:$M$200,4,FALSE)</f>
        <v>1076727</v>
      </c>
      <c r="U27" s="5">
        <f>VLOOKUP($B27,'251012_0시'!$A$1:$M$200,5,FALSE)</f>
        <v>545</v>
      </c>
      <c r="V27" s="5">
        <f t="shared" si="10"/>
        <v>185890</v>
      </c>
      <c r="W27" s="5">
        <f t="shared" si="11"/>
        <v>31157</v>
      </c>
      <c r="X27" s="5">
        <f t="shared" si="12"/>
        <v>0</v>
      </c>
      <c r="Y27" s="5">
        <f>VLOOKUP($B27,'251013_0시'!$A$1:$M$200,4,FALSE)</f>
        <v>1265465</v>
      </c>
      <c r="Z27" s="5">
        <f>VLOOKUP($B27,'251013_0시'!$A$1:$M$200,5,FALSE)</f>
        <v>646</v>
      </c>
      <c r="AA27" s="5">
        <f t="shared" si="13"/>
        <v>188738</v>
      </c>
      <c r="AB27" s="5">
        <f t="shared" si="14"/>
        <v>2848</v>
      </c>
      <c r="AC27" s="5">
        <f t="shared" si="15"/>
        <v>101</v>
      </c>
      <c r="AD27" s="5">
        <f>VLOOKUP($B27,'251013_0시'!$A$1:$M$200,4,FALSE)</f>
        <v>1265465</v>
      </c>
      <c r="AF27" s="5" t="s">
        <v>947</v>
      </c>
      <c r="AG27" s="5">
        <f>VLOOKUP($AF27,'251013'!$A$1:$M$200,4,FALSE)</f>
        <v>204104</v>
      </c>
      <c r="AH27" s="5">
        <f>VLOOKUP($AF27,'251013'!$A$1:$M$200,5,FALSE)</f>
        <v>303</v>
      </c>
      <c r="AI27" s="5">
        <f>VLOOKUP($AF27,'251014'!$A$1:$M$200,4,FALSE)</f>
        <v>363576</v>
      </c>
      <c r="AJ27" s="5">
        <f>VLOOKUP($AF27,'251014'!$A$1:$M$200,5,FALSE)</f>
        <v>303</v>
      </c>
      <c r="AK27" s="5">
        <f t="shared" si="16"/>
        <v>159472</v>
      </c>
      <c r="AL27" s="5">
        <f t="shared" si="17"/>
        <v>-44632</v>
      </c>
      <c r="AM27" s="5">
        <f t="shared" si="18"/>
        <v>0</v>
      </c>
      <c r="AN27" s="5">
        <f>VLOOKUP($AF27,'251015'!$A$1:$M$200,4,FALSE)</f>
        <v>535081</v>
      </c>
      <c r="AO27" s="5">
        <f>VLOOKUP($AF27,'251015'!$A$1:$M$200,5,FALSE)</f>
        <v>303</v>
      </c>
      <c r="AP27" s="5">
        <f t="shared" si="19"/>
        <v>171505</v>
      </c>
      <c r="AQ27" s="5">
        <f t="shared" si="20"/>
        <v>12033</v>
      </c>
      <c r="AR27" s="5">
        <f t="shared" si="21"/>
        <v>0</v>
      </c>
      <c r="AS27" s="5">
        <f>VLOOKUP($AF27,'251016'!$A$1:$M$200,4,FALSE)</f>
        <v>681465</v>
      </c>
      <c r="AT27" s="5">
        <f>VLOOKUP($AF27,'251016'!$A$1:$M$200,5,FALSE)</f>
        <v>303</v>
      </c>
      <c r="AU27" s="5">
        <f t="shared" si="22"/>
        <v>146384</v>
      </c>
      <c r="AV27" s="5">
        <f t="shared" si="23"/>
        <v>-25121</v>
      </c>
      <c r="AW27" s="5">
        <f t="shared" si="24"/>
        <v>0</v>
      </c>
      <c r="AX27" s="5">
        <f>VLOOKUP($AF27,'251017'!$A$1:$M$200,4,FALSE)</f>
        <v>936115</v>
      </c>
      <c r="AY27" s="5">
        <f>VLOOKUP($AF27,'251017'!$A$1:$M$200,5,FALSE)</f>
        <v>303</v>
      </c>
      <c r="AZ27" s="5">
        <f t="shared" si="25"/>
        <v>254650</v>
      </c>
      <c r="BA27" s="5">
        <f t="shared" si="26"/>
        <v>108266</v>
      </c>
      <c r="BB27" s="5">
        <f t="shared" si="27"/>
        <v>0</v>
      </c>
      <c r="BC27" s="5">
        <f>VLOOKUP($AF27,'251018'!$A$1:$M$200,4,FALSE)</f>
        <v>1191967</v>
      </c>
      <c r="BD27" s="5">
        <f>VLOOKUP($AF27,'251018'!$A$1:$M$200,5,FALSE)</f>
        <v>303</v>
      </c>
      <c r="BE27" s="5">
        <f t="shared" si="28"/>
        <v>255852</v>
      </c>
      <c r="BF27" s="5">
        <f t="shared" si="29"/>
        <v>1202</v>
      </c>
      <c r="BG27" s="5">
        <f t="shared" si="30"/>
        <v>0</v>
      </c>
      <c r="BH27" s="5">
        <f>VLOOKUP($AF27,'251018'!$A$1:$M$200,4,FALSE)</f>
        <v>1191967</v>
      </c>
    </row>
    <row r="28" spans="1:60" x14ac:dyDescent="0.3">
      <c r="B28" s="5" t="s">
        <v>772</v>
      </c>
      <c r="C28" s="5">
        <f>VLOOKUP($B28,'251008_0시'!$A$1:$M$200,4,FALSE)</f>
        <v>378937</v>
      </c>
      <c r="D28" s="5">
        <f>VLOOKUP($B28,'251008_0시'!$A$1:$M$200,5,FALSE)</f>
        <v>0</v>
      </c>
      <c r="E28" s="5">
        <f>VLOOKUP($B28,'251009_0시'!$A$1:$M$200,4,FALSE)</f>
        <v>547179</v>
      </c>
      <c r="F28" s="5">
        <f>VLOOKUP($B28,'251009_0시'!$A$1:$M$200,5,FALSE)</f>
        <v>0</v>
      </c>
      <c r="G28" s="5">
        <f t="shared" si="1"/>
        <v>168242</v>
      </c>
      <c r="H28" s="5">
        <f t="shared" si="2"/>
        <v>-21226.5</v>
      </c>
      <c r="I28" s="5">
        <f t="shared" si="3"/>
        <v>0</v>
      </c>
      <c r="J28" s="5">
        <f>VLOOKUP($B28,'251010_0시'!$A$1:$M$200,4,FALSE)</f>
        <v>712143</v>
      </c>
      <c r="K28" s="5">
        <f>VLOOKUP($B28,'251010_0시'!$A$1:$M$200,5,FALSE)</f>
        <v>780</v>
      </c>
      <c r="L28" s="5">
        <f t="shared" si="4"/>
        <v>164964</v>
      </c>
      <c r="M28" s="5">
        <f t="shared" si="5"/>
        <v>-3278</v>
      </c>
      <c r="N28" s="5">
        <f t="shared" si="6"/>
        <v>780</v>
      </c>
      <c r="O28" s="5">
        <f>VLOOKUP($B28,'251011_0시'!$A$1:$M$200,4,FALSE)</f>
        <v>909573</v>
      </c>
      <c r="P28" s="5">
        <f>VLOOKUP($B28,'251011_0시'!$A$1:$M$200,5,FALSE)</f>
        <v>780</v>
      </c>
      <c r="Q28" s="5">
        <f t="shared" si="7"/>
        <v>197430</v>
      </c>
      <c r="R28" s="5">
        <f t="shared" si="8"/>
        <v>32466</v>
      </c>
      <c r="S28" s="5">
        <f t="shared" si="9"/>
        <v>0</v>
      </c>
      <c r="T28" s="5">
        <f>VLOOKUP($B28,'251012_0시'!$A$1:$M$200,4,FALSE)</f>
        <v>1087042</v>
      </c>
      <c r="U28" s="5">
        <f>VLOOKUP($B28,'251012_0시'!$A$1:$M$200,5,FALSE)</f>
        <v>780</v>
      </c>
      <c r="V28" s="5">
        <f t="shared" si="10"/>
        <v>177469</v>
      </c>
      <c r="W28" s="5">
        <f t="shared" si="11"/>
        <v>-19961</v>
      </c>
      <c r="X28" s="5">
        <f t="shared" si="12"/>
        <v>0</v>
      </c>
      <c r="Y28" s="5">
        <f>VLOOKUP($B28,'251013_0시'!$A$1:$M$200,4,FALSE)</f>
        <v>1264206</v>
      </c>
      <c r="Z28" s="5">
        <f>VLOOKUP($B28,'251013_0시'!$A$1:$M$200,5,FALSE)</f>
        <v>837</v>
      </c>
      <c r="AA28" s="5">
        <f t="shared" si="13"/>
        <v>177164</v>
      </c>
      <c r="AB28" s="5">
        <f t="shared" si="14"/>
        <v>-305</v>
      </c>
      <c r="AC28" s="5">
        <f t="shared" si="15"/>
        <v>57</v>
      </c>
      <c r="AD28" s="5">
        <f>VLOOKUP($B28,'251013_0시'!$A$1:$M$200,4,FALSE)</f>
        <v>1264206</v>
      </c>
      <c r="AF28" s="5" t="s">
        <v>954</v>
      </c>
      <c r="AG28" s="5">
        <f>VLOOKUP($AF28,'251013'!$A$1:$M$200,4,FALSE)</f>
        <v>204104</v>
      </c>
      <c r="AH28" s="5">
        <f>VLOOKUP($AF28,'251013'!$A$1:$M$200,5,FALSE)</f>
        <v>303</v>
      </c>
      <c r="AI28" s="5">
        <f>VLOOKUP($AF28,'251014'!$A$1:$M$200,4,FALSE)</f>
        <v>363576</v>
      </c>
      <c r="AJ28" s="5">
        <f>VLOOKUP($AF28,'251014'!$A$1:$M$200,5,FALSE)</f>
        <v>303</v>
      </c>
      <c r="AK28" s="5">
        <f t="shared" si="16"/>
        <v>159472</v>
      </c>
      <c r="AL28" s="5">
        <f t="shared" si="17"/>
        <v>-44632</v>
      </c>
      <c r="AM28" s="5">
        <f t="shared" si="18"/>
        <v>0</v>
      </c>
      <c r="AN28" s="5">
        <f>VLOOKUP($AF28,'251015'!$A$1:$M$200,4,FALSE)</f>
        <v>535081</v>
      </c>
      <c r="AO28" s="5">
        <f>VLOOKUP($AF28,'251015'!$A$1:$M$200,5,FALSE)</f>
        <v>303</v>
      </c>
      <c r="AP28" s="5">
        <f t="shared" si="19"/>
        <v>171505</v>
      </c>
      <c r="AQ28" s="5">
        <f t="shared" si="20"/>
        <v>12033</v>
      </c>
      <c r="AR28" s="5">
        <f t="shared" si="21"/>
        <v>0</v>
      </c>
      <c r="AS28" s="5">
        <f>VLOOKUP($AF28,'251016'!$A$1:$M$200,4,FALSE)</f>
        <v>681465</v>
      </c>
      <c r="AT28" s="5">
        <f>VLOOKUP($AF28,'251016'!$A$1:$M$200,5,FALSE)</f>
        <v>303</v>
      </c>
      <c r="AU28" s="5">
        <f t="shared" si="22"/>
        <v>146384</v>
      </c>
      <c r="AV28" s="5">
        <f t="shared" si="23"/>
        <v>-25121</v>
      </c>
      <c r="AW28" s="5">
        <f t="shared" si="24"/>
        <v>0</v>
      </c>
      <c r="AX28" s="5">
        <f>VLOOKUP($AF28,'251017'!$A$1:$M$200,4,FALSE)</f>
        <v>936115</v>
      </c>
      <c r="AY28" s="5">
        <f>VLOOKUP($AF28,'251017'!$A$1:$M$200,5,FALSE)</f>
        <v>303</v>
      </c>
      <c r="AZ28" s="5">
        <f t="shared" si="25"/>
        <v>254650</v>
      </c>
      <c r="BA28" s="5">
        <f t="shared" si="26"/>
        <v>108266</v>
      </c>
      <c r="BB28" s="5">
        <f t="shared" si="27"/>
        <v>0</v>
      </c>
      <c r="BC28" s="5">
        <f>VLOOKUP($AF28,'251018'!$A$1:$M$200,4,FALSE)</f>
        <v>1191967</v>
      </c>
      <c r="BD28" s="5">
        <f>VLOOKUP($AF28,'251018'!$A$1:$M$200,5,FALSE)</f>
        <v>303</v>
      </c>
      <c r="BE28" s="5">
        <f t="shared" si="28"/>
        <v>255852</v>
      </c>
      <c r="BF28" s="5">
        <f t="shared" si="29"/>
        <v>1202</v>
      </c>
      <c r="BG28" s="5">
        <f t="shared" si="30"/>
        <v>0</v>
      </c>
      <c r="BH28" s="5">
        <f>VLOOKUP($AF28,'251018'!$A$1:$M$200,4,FALSE)</f>
        <v>1191967</v>
      </c>
    </row>
    <row r="29" spans="1:60" x14ac:dyDescent="0.3">
      <c r="B29" s="5" t="s">
        <v>760</v>
      </c>
      <c r="C29" s="5">
        <f>VLOOKUP($B29,'251008_0시'!$A$1:$M$200,4,FALSE)</f>
        <v>335407</v>
      </c>
      <c r="D29" s="5">
        <f>VLOOKUP($B29,'251008_0시'!$A$1:$M$200,5,FALSE)</f>
        <v>350</v>
      </c>
      <c r="E29" s="5">
        <f>VLOOKUP($B29,'251009_0시'!$A$1:$M$200,4,FALSE)</f>
        <v>527115</v>
      </c>
      <c r="F29" s="5">
        <f>VLOOKUP($B29,'251009_0시'!$A$1:$M$200,5,FALSE)</f>
        <v>700</v>
      </c>
      <c r="G29" s="5">
        <f t="shared" si="1"/>
        <v>191708</v>
      </c>
      <c r="H29" s="5">
        <f t="shared" si="2"/>
        <v>24004.5</v>
      </c>
      <c r="I29" s="5">
        <f t="shared" si="3"/>
        <v>350</v>
      </c>
      <c r="J29" s="5">
        <f>VLOOKUP($B29,'251010_0시'!$A$1:$M$200,4,FALSE)</f>
        <v>719853</v>
      </c>
      <c r="K29" s="5">
        <f>VLOOKUP($B29,'251010_0시'!$A$1:$M$200,5,FALSE)</f>
        <v>1050</v>
      </c>
      <c r="L29" s="5">
        <f t="shared" si="4"/>
        <v>192738</v>
      </c>
      <c r="M29" s="5">
        <f t="shared" si="5"/>
        <v>1030</v>
      </c>
      <c r="N29" s="5">
        <f t="shared" si="6"/>
        <v>350</v>
      </c>
      <c r="O29" s="5">
        <f>VLOOKUP($B29,'251011_0시'!$A$1:$M$200,4,FALSE)</f>
        <v>887427</v>
      </c>
      <c r="P29" s="5">
        <f>VLOOKUP($B29,'251011_0시'!$A$1:$M$200,5,FALSE)</f>
        <v>1050</v>
      </c>
      <c r="Q29" s="5">
        <f t="shared" si="7"/>
        <v>167574</v>
      </c>
      <c r="R29" s="5">
        <f t="shared" si="8"/>
        <v>-25164</v>
      </c>
      <c r="S29" s="5">
        <f t="shared" si="9"/>
        <v>0</v>
      </c>
      <c r="T29" s="5">
        <f>VLOOKUP($B29,'251012_0시'!$A$1:$M$200,4,FALSE)</f>
        <v>1099944</v>
      </c>
      <c r="U29" s="5">
        <f>VLOOKUP($B29,'251012_0시'!$A$1:$M$200,5,FALSE)</f>
        <v>1050</v>
      </c>
      <c r="V29" s="5">
        <f t="shared" si="10"/>
        <v>212517</v>
      </c>
      <c r="W29" s="5">
        <f t="shared" si="11"/>
        <v>44943</v>
      </c>
      <c r="X29" s="5">
        <f t="shared" si="12"/>
        <v>0</v>
      </c>
      <c r="Y29" s="5">
        <f>VLOOKUP($B29,'251013_0시'!$A$1:$M$200,4,FALSE)</f>
        <v>1263226</v>
      </c>
      <c r="Z29" s="5">
        <f>VLOOKUP($B29,'251013_0시'!$A$1:$M$200,5,FALSE)</f>
        <v>1151</v>
      </c>
      <c r="AA29" s="5">
        <f t="shared" si="13"/>
        <v>163282</v>
      </c>
      <c r="AB29" s="5">
        <f t="shared" si="14"/>
        <v>-49235</v>
      </c>
      <c r="AC29" s="5">
        <f t="shared" si="15"/>
        <v>101</v>
      </c>
      <c r="AD29" s="5">
        <f>VLOOKUP($B29,'251013_0시'!$A$1:$M$200,4,FALSE)</f>
        <v>1263226</v>
      </c>
      <c r="AF29" s="5" t="s">
        <v>776</v>
      </c>
      <c r="AG29" s="5">
        <f>VLOOKUP($AF29,'251013'!$A$1:$M$200,4,FALSE)</f>
        <v>192151</v>
      </c>
      <c r="AH29" s="5">
        <f>VLOOKUP($AF29,'251013'!$A$1:$M$200,5,FALSE)</f>
        <v>0</v>
      </c>
      <c r="AI29" s="5">
        <f>VLOOKUP($AF29,'251014'!$A$1:$M$200,4,FALSE)</f>
        <v>399385</v>
      </c>
      <c r="AJ29" s="5">
        <f>VLOOKUP($AF29,'251014'!$A$1:$M$200,5,FALSE)</f>
        <v>0</v>
      </c>
      <c r="AK29" s="5">
        <f t="shared" si="16"/>
        <v>207234</v>
      </c>
      <c r="AL29" s="5">
        <f t="shared" si="17"/>
        <v>15083</v>
      </c>
      <c r="AM29" s="5">
        <f t="shared" si="18"/>
        <v>0</v>
      </c>
      <c r="AN29" s="5">
        <f>VLOOKUP($AF29,'251015'!$A$1:$M$200,4,FALSE)</f>
        <v>553314</v>
      </c>
      <c r="AO29" s="5">
        <f>VLOOKUP($AF29,'251015'!$A$1:$M$200,5,FALSE)</f>
        <v>0</v>
      </c>
      <c r="AP29" s="5">
        <f t="shared" si="19"/>
        <v>153929</v>
      </c>
      <c r="AQ29" s="5">
        <f t="shared" si="20"/>
        <v>-53305</v>
      </c>
      <c r="AR29" s="5">
        <f t="shared" si="21"/>
        <v>0</v>
      </c>
      <c r="AS29" s="5">
        <f>VLOOKUP($AF29,'251016'!$A$1:$M$200,4,FALSE)</f>
        <v>757538</v>
      </c>
      <c r="AT29" s="5">
        <f>VLOOKUP($AF29,'251016'!$A$1:$M$200,5,FALSE)</f>
        <v>0</v>
      </c>
      <c r="AU29" s="5">
        <f t="shared" si="22"/>
        <v>204224</v>
      </c>
      <c r="AV29" s="5">
        <f t="shared" si="23"/>
        <v>50295</v>
      </c>
      <c r="AW29" s="5">
        <f t="shared" si="24"/>
        <v>0</v>
      </c>
      <c r="AX29" s="5">
        <f>VLOOKUP($AF29,'251017'!$A$1:$M$200,4,FALSE)</f>
        <v>949191</v>
      </c>
      <c r="AY29" s="5">
        <f>VLOOKUP($AF29,'251017'!$A$1:$M$200,5,FALSE)</f>
        <v>0</v>
      </c>
      <c r="AZ29" s="5">
        <f t="shared" si="25"/>
        <v>191653</v>
      </c>
      <c r="BA29" s="5">
        <f t="shared" si="26"/>
        <v>-12571</v>
      </c>
      <c r="BB29" s="5">
        <f t="shared" si="27"/>
        <v>0</v>
      </c>
      <c r="BC29" s="5">
        <f>VLOOKUP($AF29,'251018'!$A$1:$M$200,4,FALSE)</f>
        <v>1185746</v>
      </c>
      <c r="BD29" s="5">
        <f>VLOOKUP($AF29,'251018'!$A$1:$M$200,5,FALSE)</f>
        <v>0</v>
      </c>
      <c r="BE29" s="5">
        <f t="shared" si="28"/>
        <v>236555</v>
      </c>
      <c r="BF29" s="5">
        <f t="shared" si="29"/>
        <v>44902</v>
      </c>
      <c r="BG29" s="5">
        <f t="shared" si="30"/>
        <v>0</v>
      </c>
      <c r="BH29" s="5">
        <f>VLOOKUP($AF29,'251018'!$A$1:$M$200,4,FALSE)</f>
        <v>1185746</v>
      </c>
    </row>
    <row r="30" spans="1:60" x14ac:dyDescent="0.3">
      <c r="B30" s="5" t="s">
        <v>753</v>
      </c>
      <c r="C30" s="5">
        <f>VLOOKUP($B30,'251008_0시'!$A$1:$M$200,4,FALSE)</f>
        <v>352633</v>
      </c>
      <c r="D30" s="5">
        <f>VLOOKUP($B30,'251008_0시'!$A$1:$M$200,5,FALSE)</f>
        <v>555</v>
      </c>
      <c r="E30" s="5">
        <f>VLOOKUP($B30,'251009_0시'!$A$1:$M$200,4,FALSE)</f>
        <v>532178</v>
      </c>
      <c r="F30" s="5">
        <f>VLOOKUP($B30,'251009_0시'!$A$1:$M$200,5,FALSE)</f>
        <v>555</v>
      </c>
      <c r="G30" s="5">
        <f t="shared" si="1"/>
        <v>179545</v>
      </c>
      <c r="H30" s="5">
        <f t="shared" si="2"/>
        <v>3228.5</v>
      </c>
      <c r="I30" s="5">
        <f t="shared" si="3"/>
        <v>0</v>
      </c>
      <c r="J30" s="5">
        <f>VLOOKUP($B30,'251010_0시'!$A$1:$M$200,4,FALSE)</f>
        <v>693708</v>
      </c>
      <c r="K30" s="5">
        <f>VLOOKUP($B30,'251010_0시'!$A$1:$M$200,5,FALSE)</f>
        <v>1555</v>
      </c>
      <c r="L30" s="5">
        <f t="shared" si="4"/>
        <v>161530</v>
      </c>
      <c r="M30" s="5">
        <f t="shared" si="5"/>
        <v>-18015</v>
      </c>
      <c r="N30" s="5">
        <f t="shared" si="6"/>
        <v>1000</v>
      </c>
      <c r="O30" s="5">
        <f>VLOOKUP($B30,'251011_0시'!$A$1:$M$200,4,FALSE)</f>
        <v>889724</v>
      </c>
      <c r="P30" s="5">
        <f>VLOOKUP($B30,'251011_0시'!$A$1:$M$200,5,FALSE)</f>
        <v>1555</v>
      </c>
      <c r="Q30" s="5">
        <f t="shared" si="7"/>
        <v>196016</v>
      </c>
      <c r="R30" s="5">
        <f t="shared" si="8"/>
        <v>34486</v>
      </c>
      <c r="S30" s="5">
        <f t="shared" si="9"/>
        <v>0</v>
      </c>
      <c r="T30" s="5">
        <f>VLOOKUP($B30,'251012_0시'!$A$1:$M$200,4,FALSE)</f>
        <v>1084676</v>
      </c>
      <c r="U30" s="5">
        <f>VLOOKUP($B30,'251012_0시'!$A$1:$M$200,5,FALSE)</f>
        <v>1555</v>
      </c>
      <c r="V30" s="5">
        <f t="shared" si="10"/>
        <v>194952</v>
      </c>
      <c r="W30" s="5">
        <f t="shared" si="11"/>
        <v>-1064</v>
      </c>
      <c r="X30" s="5">
        <f t="shared" si="12"/>
        <v>0</v>
      </c>
      <c r="Y30" s="5">
        <f>VLOOKUP($B30,'251013_0시'!$A$1:$M$200,4,FALSE)</f>
        <v>1261152</v>
      </c>
      <c r="Z30" s="5">
        <f>VLOOKUP($B30,'251013_0시'!$A$1:$M$200,5,FALSE)</f>
        <v>1555</v>
      </c>
      <c r="AA30" s="5">
        <f t="shared" si="13"/>
        <v>176476</v>
      </c>
      <c r="AB30" s="5">
        <f t="shared" si="14"/>
        <v>-18476</v>
      </c>
      <c r="AC30" s="5">
        <f t="shared" si="15"/>
        <v>0</v>
      </c>
      <c r="AD30" s="5">
        <f>VLOOKUP($B30,'251013_0시'!$A$1:$M$200,4,FALSE)</f>
        <v>1261152</v>
      </c>
      <c r="AF30" s="5" t="s">
        <v>758</v>
      </c>
      <c r="AG30" s="5">
        <f>VLOOKUP($AF30,'251013'!$A$1:$M$200,4,FALSE)</f>
        <v>129725</v>
      </c>
      <c r="AH30" s="5">
        <f>VLOOKUP($AF30,'251013'!$A$1:$M$200,5,FALSE)</f>
        <v>246</v>
      </c>
      <c r="AI30" s="5">
        <f>VLOOKUP($AF30,'251014'!$A$1:$M$200,4,FALSE)</f>
        <v>320331</v>
      </c>
      <c r="AJ30" s="5">
        <f>VLOOKUP($AF30,'251014'!$A$1:$M$200,5,FALSE)</f>
        <v>246</v>
      </c>
      <c r="AK30" s="5">
        <f t="shared" si="16"/>
        <v>190606</v>
      </c>
      <c r="AL30" s="5">
        <f t="shared" si="17"/>
        <v>60881</v>
      </c>
      <c r="AM30" s="5">
        <f t="shared" si="18"/>
        <v>0</v>
      </c>
      <c r="AN30" s="5">
        <f>VLOOKUP($AF30,'251015'!$A$1:$M$200,4,FALSE)</f>
        <v>524681</v>
      </c>
      <c r="AO30" s="5">
        <f>VLOOKUP($AF30,'251015'!$A$1:$M$200,5,FALSE)</f>
        <v>246</v>
      </c>
      <c r="AP30" s="5">
        <f t="shared" si="19"/>
        <v>204350</v>
      </c>
      <c r="AQ30" s="5">
        <f t="shared" si="20"/>
        <v>13744</v>
      </c>
      <c r="AR30" s="5">
        <f t="shared" si="21"/>
        <v>0</v>
      </c>
      <c r="AS30" s="5">
        <f>VLOOKUP($AF30,'251016'!$A$1:$M$200,4,FALSE)</f>
        <v>715389</v>
      </c>
      <c r="AT30" s="5">
        <f>VLOOKUP($AF30,'251016'!$A$1:$M$200,5,FALSE)</f>
        <v>246</v>
      </c>
      <c r="AU30" s="5">
        <f t="shared" si="22"/>
        <v>190708</v>
      </c>
      <c r="AV30" s="5">
        <f t="shared" si="23"/>
        <v>-13642</v>
      </c>
      <c r="AW30" s="5">
        <f t="shared" si="24"/>
        <v>0</v>
      </c>
      <c r="AX30" s="5">
        <f>VLOOKUP($AF30,'251017'!$A$1:$M$200,4,FALSE)</f>
        <v>924726</v>
      </c>
      <c r="AY30" s="5">
        <f>VLOOKUP($AF30,'251017'!$A$1:$M$200,5,FALSE)</f>
        <v>246</v>
      </c>
      <c r="AZ30" s="5">
        <f t="shared" si="25"/>
        <v>209337</v>
      </c>
      <c r="BA30" s="5">
        <f t="shared" si="26"/>
        <v>18629</v>
      </c>
      <c r="BB30" s="5">
        <f t="shared" si="27"/>
        <v>0</v>
      </c>
      <c r="BC30" s="5">
        <f>VLOOKUP($AF30,'251018'!$A$1:$M$200,4,FALSE)</f>
        <v>1169376</v>
      </c>
      <c r="BD30" s="5">
        <f>VLOOKUP($AF30,'251018'!$A$1:$M$200,5,FALSE)</f>
        <v>246</v>
      </c>
      <c r="BE30" s="5">
        <f t="shared" si="28"/>
        <v>244650</v>
      </c>
      <c r="BF30" s="5">
        <f t="shared" si="29"/>
        <v>35313</v>
      </c>
      <c r="BG30" s="5">
        <f t="shared" si="30"/>
        <v>0</v>
      </c>
      <c r="BH30" s="5">
        <f>VLOOKUP($AF30,'251018'!$A$1:$M$200,4,FALSE)</f>
        <v>1169376</v>
      </c>
    </row>
    <row r="31" spans="1:60" x14ac:dyDescent="0.3">
      <c r="B31" s="5" t="s">
        <v>785</v>
      </c>
      <c r="C31" s="5">
        <f>VLOOKUP($B31,'251008_0시'!$A$1:$M$200,4,FALSE)</f>
        <v>387637</v>
      </c>
      <c r="D31" s="5">
        <f>VLOOKUP($B31,'251008_0시'!$A$1:$M$200,5,FALSE)</f>
        <v>4950</v>
      </c>
      <c r="E31" s="5">
        <f>VLOOKUP($B31,'251009_0시'!$A$1:$M$200,4,FALSE)</f>
        <v>587922</v>
      </c>
      <c r="F31" s="5">
        <f>VLOOKUP($B31,'251009_0시'!$A$1:$M$200,5,FALSE)</f>
        <v>12150</v>
      </c>
      <c r="G31" s="5">
        <f t="shared" si="1"/>
        <v>200285</v>
      </c>
      <c r="H31" s="5">
        <f t="shared" si="2"/>
        <v>6466.5</v>
      </c>
      <c r="I31" s="5">
        <f t="shared" si="3"/>
        <v>7200</v>
      </c>
      <c r="J31" s="5">
        <f>VLOOKUP($B31,'251010_0시'!$A$1:$M$200,4,FALSE)</f>
        <v>756300</v>
      </c>
      <c r="K31" s="5">
        <f>VLOOKUP($B31,'251010_0시'!$A$1:$M$200,5,FALSE)</f>
        <v>17018</v>
      </c>
      <c r="L31" s="5">
        <f t="shared" si="4"/>
        <v>168378</v>
      </c>
      <c r="M31" s="5">
        <f t="shared" si="5"/>
        <v>-31907</v>
      </c>
      <c r="N31" s="5">
        <f t="shared" si="6"/>
        <v>4868</v>
      </c>
      <c r="O31" s="5">
        <f>VLOOKUP($B31,'251011_0시'!$A$1:$M$200,4,FALSE)</f>
        <v>902281</v>
      </c>
      <c r="P31" s="5">
        <f>VLOOKUP($B31,'251011_0시'!$A$1:$M$200,5,FALSE)</f>
        <v>21118</v>
      </c>
      <c r="Q31" s="5">
        <f t="shared" si="7"/>
        <v>145981</v>
      </c>
      <c r="R31" s="5">
        <f t="shared" si="8"/>
        <v>-22397</v>
      </c>
      <c r="S31" s="5">
        <f t="shared" si="9"/>
        <v>4100</v>
      </c>
      <c r="T31" s="5">
        <f>VLOOKUP($B31,'251012_0시'!$A$1:$M$200,4,FALSE)</f>
        <v>1097425</v>
      </c>
      <c r="U31" s="5">
        <f>VLOOKUP($B31,'251012_0시'!$A$1:$M$200,5,FALSE)</f>
        <v>25518</v>
      </c>
      <c r="V31" s="5">
        <f t="shared" si="10"/>
        <v>195144</v>
      </c>
      <c r="W31" s="5">
        <f t="shared" si="11"/>
        <v>49163</v>
      </c>
      <c r="X31" s="5">
        <f t="shared" si="12"/>
        <v>4400</v>
      </c>
      <c r="Y31" s="5">
        <f>VLOOKUP($B31,'251013_0시'!$A$1:$M$200,4,FALSE)</f>
        <v>1254418</v>
      </c>
      <c r="Z31" s="5">
        <f>VLOOKUP($B31,'251013_0시'!$A$1:$M$200,5,FALSE)</f>
        <v>27818</v>
      </c>
      <c r="AA31" s="5">
        <f t="shared" si="13"/>
        <v>156993</v>
      </c>
      <c r="AB31" s="5">
        <f t="shared" si="14"/>
        <v>-38151</v>
      </c>
      <c r="AC31" s="5">
        <f t="shared" si="15"/>
        <v>2300</v>
      </c>
      <c r="AD31" s="5">
        <f>VLOOKUP($B31,'251013_0시'!$A$1:$M$200,4,FALSE)</f>
        <v>1254418</v>
      </c>
      <c r="AF31" s="5" t="s">
        <v>754</v>
      </c>
      <c r="AG31" s="5">
        <f>VLOOKUP($AF31,'251013'!$A$1:$M$200,4,FALSE)</f>
        <v>137976</v>
      </c>
      <c r="AH31" s="5">
        <f>VLOOKUP($AF31,'251013'!$A$1:$M$200,5,FALSE)</f>
        <v>0</v>
      </c>
      <c r="AI31" s="5">
        <f>VLOOKUP($AF31,'251014'!$A$1:$M$200,4,FALSE)</f>
        <v>298855</v>
      </c>
      <c r="AJ31" s="5">
        <f>VLOOKUP($AF31,'251014'!$A$1:$M$200,5,FALSE)</f>
        <v>0</v>
      </c>
      <c r="AK31" s="5">
        <f t="shared" si="16"/>
        <v>160879</v>
      </c>
      <c r="AL31" s="5">
        <f t="shared" si="17"/>
        <v>22903</v>
      </c>
      <c r="AM31" s="5">
        <f t="shared" si="18"/>
        <v>0</v>
      </c>
      <c r="AN31" s="5">
        <f>VLOOKUP($AF31,'251015'!$A$1:$M$200,4,FALSE)</f>
        <v>484399</v>
      </c>
      <c r="AO31" s="5">
        <f>VLOOKUP($AF31,'251015'!$A$1:$M$200,5,FALSE)</f>
        <v>50</v>
      </c>
      <c r="AP31" s="5">
        <f t="shared" si="19"/>
        <v>185544</v>
      </c>
      <c r="AQ31" s="5">
        <f t="shared" si="20"/>
        <v>24665</v>
      </c>
      <c r="AR31" s="5">
        <f t="shared" si="21"/>
        <v>50</v>
      </c>
      <c r="AS31" s="5">
        <f>VLOOKUP($AF31,'251016'!$A$1:$M$200,4,FALSE)</f>
        <v>636215</v>
      </c>
      <c r="AT31" s="5">
        <f>VLOOKUP($AF31,'251016'!$A$1:$M$200,5,FALSE)</f>
        <v>50</v>
      </c>
      <c r="AU31" s="5">
        <f t="shared" si="22"/>
        <v>151816</v>
      </c>
      <c r="AV31" s="5">
        <f t="shared" si="23"/>
        <v>-33728</v>
      </c>
      <c r="AW31" s="5">
        <f t="shared" si="24"/>
        <v>0</v>
      </c>
      <c r="AX31" s="5">
        <f>VLOOKUP($AF31,'251017'!$A$1:$M$200,4,FALSE)</f>
        <v>820732</v>
      </c>
      <c r="AY31" s="5">
        <f>VLOOKUP($AF31,'251017'!$A$1:$M$200,5,FALSE)</f>
        <v>50</v>
      </c>
      <c r="AZ31" s="5">
        <f t="shared" si="25"/>
        <v>184517</v>
      </c>
      <c r="BA31" s="5">
        <f t="shared" si="26"/>
        <v>32701</v>
      </c>
      <c r="BB31" s="5">
        <f t="shared" si="27"/>
        <v>0</v>
      </c>
      <c r="BC31" s="5">
        <f>VLOOKUP($AF31,'251018'!$A$1:$M$200,4,FALSE)</f>
        <v>1165909</v>
      </c>
      <c r="BD31" s="5">
        <f>VLOOKUP($AF31,'251018'!$A$1:$M$200,5,FALSE)</f>
        <v>50</v>
      </c>
      <c r="BE31" s="5">
        <f t="shared" si="28"/>
        <v>345177</v>
      </c>
      <c r="BF31" s="5">
        <f t="shared" si="29"/>
        <v>160660</v>
      </c>
      <c r="BG31" s="5">
        <f t="shared" si="30"/>
        <v>0</v>
      </c>
      <c r="BH31" s="5">
        <f>VLOOKUP($AF31,'251018'!$A$1:$M$200,4,FALSE)</f>
        <v>1165909</v>
      </c>
    </row>
    <row r="32" spans="1:60" x14ac:dyDescent="0.3">
      <c r="B32" s="5" t="s">
        <v>599</v>
      </c>
      <c r="C32" s="5">
        <f>VLOOKUP($B32,'251008_0시'!$A$1:$M$200,4,FALSE)</f>
        <v>425366</v>
      </c>
      <c r="D32" s="5">
        <f>VLOOKUP($B32,'251008_0시'!$A$1:$M$200,5,FALSE)</f>
        <v>500</v>
      </c>
      <c r="E32" s="5">
        <f>VLOOKUP($B32,'251009_0시'!$A$1:$M$200,4,FALSE)</f>
        <v>556187</v>
      </c>
      <c r="F32" s="5">
        <f>VLOOKUP($B32,'251009_0시'!$A$1:$M$200,5,FALSE)</f>
        <v>500</v>
      </c>
      <c r="G32" s="5">
        <f t="shared" si="1"/>
        <v>130821</v>
      </c>
      <c r="H32" s="5">
        <f t="shared" si="2"/>
        <v>-81862</v>
      </c>
      <c r="I32" s="5">
        <f t="shared" si="3"/>
        <v>0</v>
      </c>
      <c r="J32" s="5">
        <f>VLOOKUP($B32,'251010_0시'!$A$1:$M$200,4,FALSE)</f>
        <v>746480</v>
      </c>
      <c r="K32" s="5">
        <f>VLOOKUP($B32,'251010_0시'!$A$1:$M$200,5,FALSE)</f>
        <v>500</v>
      </c>
      <c r="L32" s="5">
        <f t="shared" si="4"/>
        <v>190293</v>
      </c>
      <c r="M32" s="5">
        <f t="shared" si="5"/>
        <v>59472</v>
      </c>
      <c r="N32" s="5">
        <f t="shared" si="6"/>
        <v>0</v>
      </c>
      <c r="O32" s="5">
        <f>VLOOKUP($B32,'251011_0시'!$A$1:$M$200,4,FALSE)</f>
        <v>872921</v>
      </c>
      <c r="P32" s="5">
        <f>VLOOKUP($B32,'251011_0시'!$A$1:$M$200,5,FALSE)</f>
        <v>550</v>
      </c>
      <c r="Q32" s="5">
        <f t="shared" si="7"/>
        <v>126441</v>
      </c>
      <c r="R32" s="5">
        <f t="shared" si="8"/>
        <v>-63852</v>
      </c>
      <c r="S32" s="5">
        <f t="shared" si="9"/>
        <v>50</v>
      </c>
      <c r="T32" s="5">
        <f>VLOOKUP($B32,'251012_0시'!$A$1:$M$200,4,FALSE)</f>
        <v>1043517</v>
      </c>
      <c r="U32" s="5">
        <f>VLOOKUP($B32,'251012_0시'!$A$1:$M$200,5,FALSE)</f>
        <v>550</v>
      </c>
      <c r="V32" s="5">
        <f t="shared" si="10"/>
        <v>170596</v>
      </c>
      <c r="W32" s="5">
        <f t="shared" si="11"/>
        <v>44155</v>
      </c>
      <c r="X32" s="5">
        <f t="shared" si="12"/>
        <v>0</v>
      </c>
      <c r="Y32" s="5">
        <f>VLOOKUP($B32,'251013_0시'!$A$1:$M$200,4,FALSE)</f>
        <v>1233658</v>
      </c>
      <c r="Z32" s="5">
        <f>VLOOKUP($B32,'251013_0시'!$A$1:$M$200,5,FALSE)</f>
        <v>550</v>
      </c>
      <c r="AA32" s="5">
        <f t="shared" si="13"/>
        <v>190141</v>
      </c>
      <c r="AB32" s="5">
        <f t="shared" si="14"/>
        <v>19545</v>
      </c>
      <c r="AC32" s="5">
        <f t="shared" si="15"/>
        <v>0</v>
      </c>
      <c r="AD32" s="5">
        <f>VLOOKUP($B32,'251013_0시'!$A$1:$M$200,4,FALSE)</f>
        <v>1233658</v>
      </c>
      <c r="AF32" s="5" t="s">
        <v>749</v>
      </c>
      <c r="AG32" s="5">
        <f>VLOOKUP($AF32,'251013'!$A$1:$M$200,4,FALSE)</f>
        <v>124560</v>
      </c>
      <c r="AH32" s="5">
        <f>VLOOKUP($AF32,'251013'!$A$1:$M$200,5,FALSE)</f>
        <v>350</v>
      </c>
      <c r="AI32" s="5">
        <f>VLOOKUP($AF32,'251014'!$A$1:$M$200,4,FALSE)</f>
        <v>312095</v>
      </c>
      <c r="AJ32" s="5">
        <f>VLOOKUP($AF32,'251014'!$A$1:$M$200,5,FALSE)</f>
        <v>350</v>
      </c>
      <c r="AK32" s="5">
        <f t="shared" si="16"/>
        <v>187535</v>
      </c>
      <c r="AL32" s="5">
        <f t="shared" si="17"/>
        <v>62975</v>
      </c>
      <c r="AM32" s="5">
        <f t="shared" si="18"/>
        <v>0</v>
      </c>
      <c r="AN32" s="5">
        <f>VLOOKUP($AF32,'251015'!$A$1:$M$200,4,FALSE)</f>
        <v>483847</v>
      </c>
      <c r="AO32" s="5">
        <f>VLOOKUP($AF32,'251015'!$A$1:$M$200,5,FALSE)</f>
        <v>350</v>
      </c>
      <c r="AP32" s="5">
        <f t="shared" si="19"/>
        <v>171752</v>
      </c>
      <c r="AQ32" s="5">
        <f t="shared" si="20"/>
        <v>-15783</v>
      </c>
      <c r="AR32" s="5">
        <f t="shared" si="21"/>
        <v>0</v>
      </c>
      <c r="AS32" s="5">
        <f>VLOOKUP($AF32,'251016'!$A$1:$M$200,4,FALSE)</f>
        <v>628671</v>
      </c>
      <c r="AT32" s="5">
        <f>VLOOKUP($AF32,'251016'!$A$1:$M$200,5,FALSE)</f>
        <v>350</v>
      </c>
      <c r="AU32" s="5">
        <f t="shared" si="22"/>
        <v>144824</v>
      </c>
      <c r="AV32" s="5">
        <f t="shared" si="23"/>
        <v>-26928</v>
      </c>
      <c r="AW32" s="5">
        <f t="shared" si="24"/>
        <v>0</v>
      </c>
      <c r="AX32" s="5">
        <f>VLOOKUP($AF32,'251017'!$A$1:$M$200,4,FALSE)</f>
        <v>876985</v>
      </c>
      <c r="AY32" s="5">
        <f>VLOOKUP($AF32,'251017'!$A$1:$M$200,5,FALSE)</f>
        <v>547</v>
      </c>
      <c r="AZ32" s="5">
        <f t="shared" si="25"/>
        <v>248314</v>
      </c>
      <c r="BA32" s="5">
        <f t="shared" si="26"/>
        <v>103490</v>
      </c>
      <c r="BB32" s="5">
        <f t="shared" si="27"/>
        <v>197</v>
      </c>
      <c r="BC32" s="5">
        <f>VLOOKUP($AF32,'251018'!$A$1:$M$200,4,FALSE)</f>
        <v>1164931</v>
      </c>
      <c r="BD32" s="5">
        <f>VLOOKUP($AF32,'251018'!$A$1:$M$200,5,FALSE)</f>
        <v>547</v>
      </c>
      <c r="BE32" s="5">
        <f t="shared" si="28"/>
        <v>287946</v>
      </c>
      <c r="BF32" s="5">
        <f t="shared" si="29"/>
        <v>39632</v>
      </c>
      <c r="BG32" s="5">
        <f t="shared" si="30"/>
        <v>0</v>
      </c>
      <c r="BH32" s="5">
        <f>VLOOKUP($AF32,'251018'!$A$1:$M$200,4,FALSE)</f>
        <v>1164931</v>
      </c>
    </row>
    <row r="33" spans="1:60" x14ac:dyDescent="0.3">
      <c r="B33" s="5" t="s">
        <v>793</v>
      </c>
      <c r="C33" s="5">
        <f>VLOOKUP($B33,'251008_0시'!$A$1:$M$200,4,FALSE)</f>
        <v>412289</v>
      </c>
      <c r="D33" s="5">
        <f>VLOOKUP($B33,'251008_0시'!$A$1:$M$200,5,FALSE)</f>
        <v>96</v>
      </c>
      <c r="E33" s="5">
        <f>VLOOKUP($B33,'251009_0시'!$A$1:$M$200,4,FALSE)</f>
        <v>592739</v>
      </c>
      <c r="F33" s="5">
        <f>VLOOKUP($B33,'251009_0시'!$A$1:$M$200,5,FALSE)</f>
        <v>96</v>
      </c>
      <c r="G33" s="5">
        <f t="shared" si="1"/>
        <v>180450</v>
      </c>
      <c r="H33" s="5">
        <f t="shared" si="2"/>
        <v>-25694.5</v>
      </c>
      <c r="I33" s="5">
        <f t="shared" si="3"/>
        <v>0</v>
      </c>
      <c r="J33" s="5">
        <f>VLOOKUP($B33,'251010_0시'!$A$1:$M$200,4,FALSE)</f>
        <v>787162</v>
      </c>
      <c r="K33" s="5">
        <f>VLOOKUP($B33,'251010_0시'!$A$1:$M$200,5,FALSE)</f>
        <v>668</v>
      </c>
      <c r="L33" s="5">
        <f t="shared" si="4"/>
        <v>194423</v>
      </c>
      <c r="M33" s="5">
        <f t="shared" si="5"/>
        <v>13973</v>
      </c>
      <c r="N33" s="5">
        <f t="shared" si="6"/>
        <v>572</v>
      </c>
      <c r="O33" s="5">
        <f>VLOOKUP($B33,'251011_0시'!$A$1:$M$200,4,FALSE)</f>
        <v>951325</v>
      </c>
      <c r="P33" s="5">
        <f>VLOOKUP($B33,'251011_0시'!$A$1:$M$200,5,FALSE)</f>
        <v>668</v>
      </c>
      <c r="Q33" s="5">
        <f t="shared" si="7"/>
        <v>164163</v>
      </c>
      <c r="R33" s="5">
        <f t="shared" si="8"/>
        <v>-30260</v>
      </c>
      <c r="S33" s="5">
        <f t="shared" si="9"/>
        <v>0</v>
      </c>
      <c r="T33" s="5">
        <f>VLOOKUP($B33,'251012_0시'!$A$1:$M$200,4,FALSE)</f>
        <v>1069830</v>
      </c>
      <c r="U33" s="5">
        <f>VLOOKUP($B33,'251012_0시'!$A$1:$M$200,5,FALSE)</f>
        <v>668</v>
      </c>
      <c r="V33" s="5">
        <f t="shared" si="10"/>
        <v>118505</v>
      </c>
      <c r="W33" s="5">
        <f t="shared" si="11"/>
        <v>-45658</v>
      </c>
      <c r="X33" s="5">
        <f t="shared" si="12"/>
        <v>0</v>
      </c>
      <c r="Y33" s="5">
        <f>VLOOKUP($B33,'251013_0시'!$A$1:$M$200,4,FALSE)</f>
        <v>1228166</v>
      </c>
      <c r="Z33" s="5">
        <f>VLOOKUP($B33,'251013_0시'!$A$1:$M$200,5,FALSE)</f>
        <v>668</v>
      </c>
      <c r="AA33" s="5">
        <f t="shared" si="13"/>
        <v>158336</v>
      </c>
      <c r="AB33" s="5">
        <f t="shared" si="14"/>
        <v>39831</v>
      </c>
      <c r="AC33" s="5">
        <f t="shared" si="15"/>
        <v>0</v>
      </c>
      <c r="AD33" s="5">
        <f>VLOOKUP($B33,'251013_0시'!$A$1:$M$200,4,FALSE)</f>
        <v>1228166</v>
      </c>
      <c r="AF33" s="5" t="s">
        <v>812</v>
      </c>
      <c r="AG33" s="5">
        <f>VLOOKUP($AF33,'251013'!$A$1:$M$200,4,FALSE)</f>
        <v>222698</v>
      </c>
      <c r="AH33" s="5">
        <f>VLOOKUP($AF33,'251013'!$A$1:$M$200,5,FALSE)</f>
        <v>303</v>
      </c>
      <c r="AI33" s="5">
        <f>VLOOKUP($AF33,'251014'!$A$1:$M$200,4,FALSE)</f>
        <v>371989</v>
      </c>
      <c r="AJ33" s="5">
        <f>VLOOKUP($AF33,'251014'!$A$1:$M$200,5,FALSE)</f>
        <v>303</v>
      </c>
      <c r="AK33" s="5">
        <f t="shared" si="16"/>
        <v>149291</v>
      </c>
      <c r="AL33" s="5">
        <f t="shared" si="17"/>
        <v>-73407</v>
      </c>
      <c r="AM33" s="5">
        <f t="shared" si="18"/>
        <v>0</v>
      </c>
      <c r="AN33" s="5">
        <f>VLOOKUP($AF33,'251015'!$A$1:$M$200,4,FALSE)</f>
        <v>546578</v>
      </c>
      <c r="AO33" s="5">
        <f>VLOOKUP($AF33,'251015'!$A$1:$M$200,5,FALSE)</f>
        <v>303</v>
      </c>
      <c r="AP33" s="5">
        <f t="shared" si="19"/>
        <v>174589</v>
      </c>
      <c r="AQ33" s="5">
        <f t="shared" si="20"/>
        <v>25298</v>
      </c>
      <c r="AR33" s="5">
        <f t="shared" si="21"/>
        <v>0</v>
      </c>
      <c r="AS33" s="5">
        <f>VLOOKUP($AF33,'251016'!$A$1:$M$200,4,FALSE)</f>
        <v>738119</v>
      </c>
      <c r="AT33" s="5">
        <f>VLOOKUP($AF33,'251016'!$A$1:$M$200,5,FALSE)</f>
        <v>303</v>
      </c>
      <c r="AU33" s="5">
        <f t="shared" si="22"/>
        <v>191541</v>
      </c>
      <c r="AV33" s="5">
        <f t="shared" si="23"/>
        <v>16952</v>
      </c>
      <c r="AW33" s="5">
        <f t="shared" si="24"/>
        <v>0</v>
      </c>
      <c r="AX33" s="5">
        <f>VLOOKUP($AF33,'251017'!$A$1:$M$200,4,FALSE)</f>
        <v>945807</v>
      </c>
      <c r="AY33" s="5">
        <f>VLOOKUP($AF33,'251017'!$A$1:$M$200,5,FALSE)</f>
        <v>303</v>
      </c>
      <c r="AZ33" s="5">
        <f t="shared" si="25"/>
        <v>207688</v>
      </c>
      <c r="BA33" s="5">
        <f t="shared" si="26"/>
        <v>16147</v>
      </c>
      <c r="BB33" s="5">
        <f t="shared" si="27"/>
        <v>0</v>
      </c>
      <c r="BC33" s="5">
        <f>VLOOKUP($AF33,'251018'!$A$1:$M$200,4,FALSE)</f>
        <v>1164597</v>
      </c>
      <c r="BD33" s="5">
        <f>VLOOKUP($AF33,'251018'!$A$1:$M$200,5,FALSE)</f>
        <v>303</v>
      </c>
      <c r="BE33" s="5">
        <f t="shared" si="28"/>
        <v>218790</v>
      </c>
      <c r="BF33" s="5">
        <f t="shared" si="29"/>
        <v>11102</v>
      </c>
      <c r="BG33" s="5">
        <f t="shared" si="30"/>
        <v>0</v>
      </c>
      <c r="BH33" s="5">
        <f>VLOOKUP($AF33,'251018'!$A$1:$M$200,4,FALSE)</f>
        <v>1164597</v>
      </c>
    </row>
    <row r="34" spans="1:60" x14ac:dyDescent="0.3">
      <c r="B34" s="5" t="s">
        <v>784</v>
      </c>
      <c r="C34" s="5">
        <f>VLOOKUP($B34,'251008_0시'!$A$1:$M$200,4,FALSE)</f>
        <v>301806</v>
      </c>
      <c r="D34" s="5">
        <f>VLOOKUP($B34,'251008_0시'!$A$1:$M$200,5,FALSE)</f>
        <v>0</v>
      </c>
      <c r="E34" s="5">
        <f>VLOOKUP($B34,'251009_0시'!$A$1:$M$200,4,FALSE)</f>
        <v>500634</v>
      </c>
      <c r="F34" s="5">
        <f>VLOOKUP($B34,'251009_0시'!$A$1:$M$200,5,FALSE)</f>
        <v>0</v>
      </c>
      <c r="G34" s="5">
        <f t="shared" si="1"/>
        <v>198828</v>
      </c>
      <c r="H34" s="5">
        <f t="shared" si="2"/>
        <v>47925</v>
      </c>
      <c r="I34" s="5">
        <f t="shared" si="3"/>
        <v>0</v>
      </c>
      <c r="J34" s="5">
        <f>VLOOKUP($B34,'251010_0시'!$A$1:$M$200,4,FALSE)</f>
        <v>689100</v>
      </c>
      <c r="K34" s="5">
        <f>VLOOKUP($B34,'251010_0시'!$A$1:$M$200,5,FALSE)</f>
        <v>0</v>
      </c>
      <c r="L34" s="5">
        <f t="shared" si="4"/>
        <v>188466</v>
      </c>
      <c r="M34" s="5">
        <f t="shared" si="5"/>
        <v>-10362</v>
      </c>
      <c r="N34" s="5">
        <f t="shared" si="6"/>
        <v>0</v>
      </c>
      <c r="O34" s="5">
        <f>VLOOKUP($B34,'251011_0시'!$A$1:$M$200,4,FALSE)</f>
        <v>837054</v>
      </c>
      <c r="P34" s="5">
        <f>VLOOKUP($B34,'251011_0시'!$A$1:$M$200,5,FALSE)</f>
        <v>0</v>
      </c>
      <c r="Q34" s="5">
        <f t="shared" si="7"/>
        <v>147954</v>
      </c>
      <c r="R34" s="5">
        <f t="shared" si="8"/>
        <v>-40512</v>
      </c>
      <c r="S34" s="5">
        <f t="shared" si="9"/>
        <v>0</v>
      </c>
      <c r="T34" s="5">
        <f>VLOOKUP($B34,'251012_0시'!$A$1:$M$200,4,FALSE)</f>
        <v>1024210</v>
      </c>
      <c r="U34" s="5">
        <f>VLOOKUP($B34,'251012_0시'!$A$1:$M$200,5,FALSE)</f>
        <v>0</v>
      </c>
      <c r="V34" s="5">
        <f t="shared" si="10"/>
        <v>187156</v>
      </c>
      <c r="W34" s="5">
        <f t="shared" si="11"/>
        <v>39202</v>
      </c>
      <c r="X34" s="5">
        <f t="shared" si="12"/>
        <v>0</v>
      </c>
      <c r="Y34" s="5">
        <f>VLOOKUP($B34,'251013_0시'!$A$1:$M$200,4,FALSE)</f>
        <v>1226871</v>
      </c>
      <c r="Z34" s="5">
        <f>VLOOKUP($B34,'251013_0시'!$A$1:$M$200,5,FALSE)</f>
        <v>0</v>
      </c>
      <c r="AA34" s="5">
        <f t="shared" si="13"/>
        <v>202661</v>
      </c>
      <c r="AB34" s="5">
        <f t="shared" si="14"/>
        <v>15505</v>
      </c>
      <c r="AC34" s="5">
        <f t="shared" si="15"/>
        <v>0</v>
      </c>
      <c r="AD34" s="5">
        <f>VLOOKUP($B34,'251013_0시'!$A$1:$M$200,4,FALSE)</f>
        <v>1226871</v>
      </c>
      <c r="AF34" s="5" t="s">
        <v>765</v>
      </c>
      <c r="AG34" s="5">
        <f>VLOOKUP($AF34,'251013'!$A$1:$M$200,4,FALSE)</f>
        <v>204546</v>
      </c>
      <c r="AH34" s="5">
        <f>VLOOKUP($AF34,'251013'!$A$1:$M$200,5,FALSE)</f>
        <v>450</v>
      </c>
      <c r="AI34" s="5">
        <f>VLOOKUP($AF34,'251014'!$A$1:$M$200,4,FALSE)</f>
        <v>328470</v>
      </c>
      <c r="AJ34" s="5">
        <f>VLOOKUP($AF34,'251014'!$A$1:$M$200,5,FALSE)</f>
        <v>2700</v>
      </c>
      <c r="AK34" s="5">
        <f t="shared" si="16"/>
        <v>123924</v>
      </c>
      <c r="AL34" s="5">
        <f t="shared" si="17"/>
        <v>-80622</v>
      </c>
      <c r="AM34" s="5">
        <f t="shared" si="18"/>
        <v>2250</v>
      </c>
      <c r="AN34" s="5">
        <f>VLOOKUP($AF34,'251015'!$A$1:$M$200,4,FALSE)</f>
        <v>477740</v>
      </c>
      <c r="AO34" s="5">
        <f>VLOOKUP($AF34,'251015'!$A$1:$M$200,5,FALSE)</f>
        <v>2700</v>
      </c>
      <c r="AP34" s="5">
        <f t="shared" si="19"/>
        <v>149270</v>
      </c>
      <c r="AQ34" s="5">
        <f t="shared" si="20"/>
        <v>25346</v>
      </c>
      <c r="AR34" s="5">
        <f t="shared" si="21"/>
        <v>0</v>
      </c>
      <c r="AS34" s="5">
        <f>VLOOKUP($AF34,'251016'!$A$1:$M$200,4,FALSE)</f>
        <v>633738</v>
      </c>
      <c r="AT34" s="5">
        <f>VLOOKUP($AF34,'251016'!$A$1:$M$200,5,FALSE)</f>
        <v>2700</v>
      </c>
      <c r="AU34" s="5">
        <f t="shared" si="22"/>
        <v>155998</v>
      </c>
      <c r="AV34" s="5">
        <f t="shared" si="23"/>
        <v>6728</v>
      </c>
      <c r="AW34" s="5">
        <f t="shared" si="24"/>
        <v>0</v>
      </c>
      <c r="AX34" s="5">
        <f>VLOOKUP($AF34,'251017'!$A$1:$M$200,4,FALSE)</f>
        <v>910213</v>
      </c>
      <c r="AY34" s="5">
        <f>VLOOKUP($AF34,'251017'!$A$1:$M$200,5,FALSE)</f>
        <v>2700</v>
      </c>
      <c r="AZ34" s="5">
        <f t="shared" si="25"/>
        <v>276475</v>
      </c>
      <c r="BA34" s="5">
        <f t="shared" si="26"/>
        <v>120477</v>
      </c>
      <c r="BB34" s="5">
        <f t="shared" si="27"/>
        <v>0</v>
      </c>
      <c r="BC34" s="5">
        <f>VLOOKUP($AF34,'251018'!$A$1:$M$200,4,FALSE)</f>
        <v>1163073</v>
      </c>
      <c r="BD34" s="5">
        <f>VLOOKUP($AF34,'251018'!$A$1:$M$200,5,FALSE)</f>
        <v>3150</v>
      </c>
      <c r="BE34" s="5">
        <f t="shared" si="28"/>
        <v>252860</v>
      </c>
      <c r="BF34" s="5">
        <f t="shared" si="29"/>
        <v>-23615</v>
      </c>
      <c r="BG34" s="5">
        <f t="shared" si="30"/>
        <v>450</v>
      </c>
      <c r="BH34" s="5">
        <f>VLOOKUP($AF34,'251018'!$A$1:$M$200,4,FALSE)</f>
        <v>1163073</v>
      </c>
    </row>
    <row r="35" spans="1:60" x14ac:dyDescent="0.3">
      <c r="B35" s="5" t="s">
        <v>756</v>
      </c>
      <c r="C35" s="5">
        <f>VLOOKUP($B35,'251008_0시'!$A$1:$M$200,4,FALSE)</f>
        <v>351806</v>
      </c>
      <c r="D35" s="5">
        <f>VLOOKUP($B35,'251008_0시'!$A$1:$M$200,5,FALSE)</f>
        <v>700</v>
      </c>
      <c r="E35" s="5">
        <f>VLOOKUP($B35,'251009_0시'!$A$1:$M$200,4,FALSE)</f>
        <v>527175</v>
      </c>
      <c r="F35" s="5">
        <f>VLOOKUP($B35,'251009_0시'!$A$1:$M$200,5,FALSE)</f>
        <v>801</v>
      </c>
      <c r="G35" s="5">
        <f t="shared" si="1"/>
        <v>175369</v>
      </c>
      <c r="H35" s="5">
        <f t="shared" si="2"/>
        <v>-534</v>
      </c>
      <c r="I35" s="5">
        <f t="shared" si="3"/>
        <v>101</v>
      </c>
      <c r="J35" s="5">
        <f>VLOOKUP($B35,'251010_0시'!$A$1:$M$200,4,FALSE)</f>
        <v>742014</v>
      </c>
      <c r="K35" s="5">
        <f>VLOOKUP($B35,'251010_0시'!$A$1:$M$200,5,FALSE)</f>
        <v>902</v>
      </c>
      <c r="L35" s="5">
        <f t="shared" si="4"/>
        <v>214839</v>
      </c>
      <c r="M35" s="5">
        <f t="shared" si="5"/>
        <v>39470</v>
      </c>
      <c r="N35" s="5">
        <f t="shared" si="6"/>
        <v>101</v>
      </c>
      <c r="O35" s="5">
        <f>VLOOKUP($B35,'251011_0시'!$A$1:$M$200,4,FALSE)</f>
        <v>898063</v>
      </c>
      <c r="P35" s="5">
        <f>VLOOKUP($B35,'251011_0시'!$A$1:$M$200,5,FALSE)</f>
        <v>902</v>
      </c>
      <c r="Q35" s="5">
        <f t="shared" si="7"/>
        <v>156049</v>
      </c>
      <c r="R35" s="5">
        <f t="shared" si="8"/>
        <v>-58790</v>
      </c>
      <c r="S35" s="5">
        <f t="shared" si="9"/>
        <v>0</v>
      </c>
      <c r="T35" s="5">
        <f>VLOOKUP($B35,'251012_0시'!$A$1:$M$200,4,FALSE)</f>
        <v>1077578</v>
      </c>
      <c r="U35" s="5">
        <f>VLOOKUP($B35,'251012_0시'!$A$1:$M$200,5,FALSE)</f>
        <v>902</v>
      </c>
      <c r="V35" s="5">
        <f t="shared" si="10"/>
        <v>179515</v>
      </c>
      <c r="W35" s="5">
        <f t="shared" si="11"/>
        <v>23466</v>
      </c>
      <c r="X35" s="5">
        <f t="shared" si="12"/>
        <v>0</v>
      </c>
      <c r="Y35" s="5">
        <f>VLOOKUP($B35,'251013_0시'!$A$1:$M$200,4,FALSE)</f>
        <v>1224700</v>
      </c>
      <c r="Z35" s="5">
        <f>VLOOKUP($B35,'251013_0시'!$A$1:$M$200,5,FALSE)</f>
        <v>902</v>
      </c>
      <c r="AA35" s="5">
        <f t="shared" si="13"/>
        <v>147122</v>
      </c>
      <c r="AB35" s="5">
        <f t="shared" si="14"/>
        <v>-32393</v>
      </c>
      <c r="AC35" s="5">
        <f t="shared" si="15"/>
        <v>0</v>
      </c>
      <c r="AD35" s="5">
        <f>VLOOKUP($B35,'251013_0시'!$A$1:$M$200,4,FALSE)</f>
        <v>1224700</v>
      </c>
      <c r="AF35" s="5" t="s">
        <v>757</v>
      </c>
      <c r="AG35" s="5">
        <f>VLOOKUP($AF35,'251013'!$A$1:$M$200,4,FALSE)</f>
        <v>184002</v>
      </c>
      <c r="AH35" s="5">
        <f>VLOOKUP($AF35,'251013'!$A$1:$M$200,5,FALSE)</f>
        <v>0</v>
      </c>
      <c r="AI35" s="5">
        <f>VLOOKUP($AF35,'251014'!$A$1:$M$200,4,FALSE)</f>
        <v>371479</v>
      </c>
      <c r="AJ35" s="5">
        <f>VLOOKUP($AF35,'251014'!$A$1:$M$200,5,FALSE)</f>
        <v>0</v>
      </c>
      <c r="AK35" s="5">
        <f t="shared" si="16"/>
        <v>187477</v>
      </c>
      <c r="AL35" s="5">
        <f t="shared" si="17"/>
        <v>3475</v>
      </c>
      <c r="AM35" s="5">
        <f t="shared" si="18"/>
        <v>0</v>
      </c>
      <c r="AN35" s="5">
        <f>VLOOKUP($AF35,'251015'!$A$1:$M$200,4,FALSE)</f>
        <v>579203</v>
      </c>
      <c r="AO35" s="5">
        <f>VLOOKUP($AF35,'251015'!$A$1:$M$200,5,FALSE)</f>
        <v>0</v>
      </c>
      <c r="AP35" s="5">
        <f t="shared" si="19"/>
        <v>207724</v>
      </c>
      <c r="AQ35" s="5">
        <f t="shared" si="20"/>
        <v>20247</v>
      </c>
      <c r="AR35" s="5">
        <f t="shared" si="21"/>
        <v>0</v>
      </c>
      <c r="AS35" s="5">
        <f>VLOOKUP($AF35,'251016'!$A$1:$M$200,4,FALSE)</f>
        <v>758996</v>
      </c>
      <c r="AT35" s="5">
        <f>VLOOKUP($AF35,'251016'!$A$1:$M$200,5,FALSE)</f>
        <v>0</v>
      </c>
      <c r="AU35" s="5">
        <f t="shared" si="22"/>
        <v>179793</v>
      </c>
      <c r="AV35" s="5">
        <f t="shared" si="23"/>
        <v>-27931</v>
      </c>
      <c r="AW35" s="5">
        <f t="shared" si="24"/>
        <v>0</v>
      </c>
      <c r="AX35" s="5">
        <f>VLOOKUP($AF35,'251017'!$A$1:$M$200,4,FALSE)</f>
        <v>940612</v>
      </c>
      <c r="AY35" s="5">
        <f>VLOOKUP($AF35,'251017'!$A$1:$M$200,5,FALSE)</f>
        <v>0</v>
      </c>
      <c r="AZ35" s="5">
        <f t="shared" si="25"/>
        <v>181616</v>
      </c>
      <c r="BA35" s="5">
        <f t="shared" si="26"/>
        <v>1823</v>
      </c>
      <c r="BB35" s="5">
        <f t="shared" si="27"/>
        <v>0</v>
      </c>
      <c r="BC35" s="5">
        <f>VLOOKUP($AF35,'251018'!$A$1:$M$200,4,FALSE)</f>
        <v>1153856</v>
      </c>
      <c r="BD35" s="5">
        <f>VLOOKUP($AF35,'251018'!$A$1:$M$200,5,FALSE)</f>
        <v>0</v>
      </c>
      <c r="BE35" s="5">
        <f t="shared" si="28"/>
        <v>213244</v>
      </c>
      <c r="BF35" s="5">
        <f t="shared" si="29"/>
        <v>31628</v>
      </c>
      <c r="BG35" s="5">
        <f t="shared" si="30"/>
        <v>0</v>
      </c>
      <c r="BH35" s="5">
        <f>VLOOKUP($AF35,'251018'!$A$1:$M$200,4,FALSE)</f>
        <v>1153856</v>
      </c>
    </row>
    <row r="36" spans="1:60" x14ac:dyDescent="0.3">
      <c r="B36" s="5" t="s">
        <v>949</v>
      </c>
      <c r="C36" s="5">
        <f>VLOOKUP($B36,'251008_0시'!$A$1:$M$200,4,FALSE)</f>
        <v>347562</v>
      </c>
      <c r="D36" s="5">
        <f>VLOOKUP($B36,'251008_0시'!$A$1:$M$200,5,FALSE)</f>
        <v>0</v>
      </c>
      <c r="E36" s="5">
        <f>VLOOKUP($B36,'251009_0시'!$A$1:$M$200,4,FALSE)</f>
        <v>496621</v>
      </c>
      <c r="F36" s="5">
        <f>VLOOKUP($B36,'251009_0시'!$A$1:$M$200,5,FALSE)</f>
        <v>350</v>
      </c>
      <c r="G36" s="5">
        <f t="shared" si="1"/>
        <v>149059</v>
      </c>
      <c r="H36" s="5">
        <f t="shared" si="2"/>
        <v>-24722</v>
      </c>
      <c r="I36" s="5">
        <f t="shared" si="3"/>
        <v>350</v>
      </c>
      <c r="J36" s="5">
        <f>VLOOKUP($B36,'251010_0시'!$A$1:$M$200,4,FALSE)</f>
        <v>675703</v>
      </c>
      <c r="K36" s="5">
        <f>VLOOKUP($B36,'251010_0시'!$A$1:$M$200,5,FALSE)</f>
        <v>451</v>
      </c>
      <c r="L36" s="5">
        <f t="shared" si="4"/>
        <v>179082</v>
      </c>
      <c r="M36" s="5">
        <f t="shared" si="5"/>
        <v>30023</v>
      </c>
      <c r="N36" s="5">
        <f t="shared" si="6"/>
        <v>101</v>
      </c>
      <c r="O36" s="5">
        <f>VLOOKUP($B36,'251011_0시'!$A$1:$M$200,4,FALSE)</f>
        <v>838347</v>
      </c>
      <c r="P36" s="5">
        <f>VLOOKUP($B36,'251011_0시'!$A$1:$M$200,5,FALSE)</f>
        <v>451</v>
      </c>
      <c r="Q36" s="5">
        <f t="shared" si="7"/>
        <v>162644</v>
      </c>
      <c r="R36" s="5">
        <f t="shared" si="8"/>
        <v>-16438</v>
      </c>
      <c r="S36" s="5">
        <f t="shared" si="9"/>
        <v>0</v>
      </c>
      <c r="T36" s="5">
        <f>VLOOKUP($B36,'251012_0시'!$A$1:$M$200,4,FALSE)</f>
        <v>1050571</v>
      </c>
      <c r="U36" s="5">
        <f>VLOOKUP($B36,'251012_0시'!$A$1:$M$200,5,FALSE)</f>
        <v>451</v>
      </c>
      <c r="V36" s="5">
        <f t="shared" si="10"/>
        <v>212224</v>
      </c>
      <c r="W36" s="5">
        <f t="shared" si="11"/>
        <v>49580</v>
      </c>
      <c r="X36" s="5">
        <f t="shared" si="12"/>
        <v>0</v>
      </c>
      <c r="Y36" s="5">
        <f>VLOOKUP($B36,'251013_0시'!$A$1:$M$200,4,FALSE)</f>
        <v>1223601</v>
      </c>
      <c r="Z36" s="5">
        <f>VLOOKUP($B36,'251013_0시'!$A$1:$M$200,5,FALSE)</f>
        <v>451</v>
      </c>
      <c r="AA36" s="5">
        <f t="shared" si="13"/>
        <v>173030</v>
      </c>
      <c r="AB36" s="5">
        <f t="shared" si="14"/>
        <v>-39194</v>
      </c>
      <c r="AC36" s="5">
        <f t="shared" si="15"/>
        <v>0</v>
      </c>
      <c r="AD36" s="5">
        <f>VLOOKUP($B36,'251013_0시'!$A$1:$M$200,4,FALSE)</f>
        <v>1223601</v>
      </c>
      <c r="AF36" s="5" t="s">
        <v>784</v>
      </c>
      <c r="AG36" s="5">
        <f>VLOOKUP($AF36,'251013'!$A$1:$M$200,4,FALSE)</f>
        <v>161867</v>
      </c>
      <c r="AH36" s="5">
        <f>VLOOKUP($AF36,'251013'!$A$1:$M$200,5,FALSE)</f>
        <v>0</v>
      </c>
      <c r="AI36" s="5">
        <f>VLOOKUP($AF36,'251014'!$A$1:$M$200,4,FALSE)</f>
        <v>353203</v>
      </c>
      <c r="AJ36" s="5">
        <f>VLOOKUP($AF36,'251014'!$A$1:$M$200,5,FALSE)</f>
        <v>0</v>
      </c>
      <c r="AK36" s="5">
        <f t="shared" si="16"/>
        <v>191336</v>
      </c>
      <c r="AL36" s="5">
        <f t="shared" si="17"/>
        <v>29469</v>
      </c>
      <c r="AM36" s="5">
        <f t="shared" si="18"/>
        <v>0</v>
      </c>
      <c r="AN36" s="5">
        <f>VLOOKUP($AF36,'251015'!$A$1:$M$200,4,FALSE)</f>
        <v>572895</v>
      </c>
      <c r="AO36" s="5">
        <f>VLOOKUP($AF36,'251015'!$A$1:$M$200,5,FALSE)</f>
        <v>0</v>
      </c>
      <c r="AP36" s="5">
        <f t="shared" si="19"/>
        <v>219692</v>
      </c>
      <c r="AQ36" s="5">
        <f t="shared" si="20"/>
        <v>28356</v>
      </c>
      <c r="AR36" s="5">
        <f t="shared" si="21"/>
        <v>0</v>
      </c>
      <c r="AS36" s="5">
        <f>VLOOKUP($AF36,'251016'!$A$1:$M$200,4,FALSE)</f>
        <v>752500</v>
      </c>
      <c r="AT36" s="5">
        <f>VLOOKUP($AF36,'251016'!$A$1:$M$200,5,FALSE)</f>
        <v>0</v>
      </c>
      <c r="AU36" s="5">
        <f t="shared" si="22"/>
        <v>179605</v>
      </c>
      <c r="AV36" s="5">
        <f t="shared" si="23"/>
        <v>-40087</v>
      </c>
      <c r="AW36" s="5">
        <f t="shared" si="24"/>
        <v>0</v>
      </c>
      <c r="AX36" s="5">
        <f>VLOOKUP($AF36,'251017'!$A$1:$M$200,4,FALSE)</f>
        <v>954807</v>
      </c>
      <c r="AY36" s="5">
        <f>VLOOKUP($AF36,'251017'!$A$1:$M$200,5,FALSE)</f>
        <v>303</v>
      </c>
      <c r="AZ36" s="5">
        <f t="shared" si="25"/>
        <v>202307</v>
      </c>
      <c r="BA36" s="5">
        <f t="shared" si="26"/>
        <v>22702</v>
      </c>
      <c r="BB36" s="5">
        <f t="shared" si="27"/>
        <v>303</v>
      </c>
      <c r="BC36" s="5">
        <f>VLOOKUP($AF36,'251018'!$A$1:$M$200,4,FALSE)</f>
        <v>1120275</v>
      </c>
      <c r="BD36" s="5">
        <f>VLOOKUP($AF36,'251018'!$A$1:$M$200,5,FALSE)</f>
        <v>303</v>
      </c>
      <c r="BE36" s="5">
        <f t="shared" si="28"/>
        <v>165468</v>
      </c>
      <c r="BF36" s="5">
        <f t="shared" si="29"/>
        <v>-36839</v>
      </c>
      <c r="BG36" s="5">
        <f t="shared" si="30"/>
        <v>0</v>
      </c>
      <c r="BH36" s="5">
        <f>VLOOKUP($AF36,'251018'!$A$1:$M$200,4,FALSE)</f>
        <v>1120275</v>
      </c>
    </row>
    <row r="37" spans="1:60" x14ac:dyDescent="0.3">
      <c r="B37" s="5" t="s">
        <v>754</v>
      </c>
      <c r="C37" s="5">
        <f>VLOOKUP($B37,'251008_0시'!$A$1:$M$200,4,FALSE)</f>
        <v>254077</v>
      </c>
      <c r="D37" s="5">
        <f>VLOOKUP($B37,'251008_0시'!$A$1:$M$200,5,FALSE)</f>
        <v>0</v>
      </c>
      <c r="E37" s="5">
        <f>VLOOKUP($B37,'251009_0시'!$A$1:$M$200,4,FALSE)</f>
        <v>495628</v>
      </c>
      <c r="F37" s="5">
        <f>VLOOKUP($B37,'251009_0시'!$A$1:$M$200,5,FALSE)</f>
        <v>131</v>
      </c>
      <c r="G37" s="5">
        <f t="shared" si="1"/>
        <v>241551</v>
      </c>
      <c r="H37" s="5">
        <f t="shared" si="2"/>
        <v>114512.5</v>
      </c>
      <c r="I37" s="5">
        <f t="shared" si="3"/>
        <v>131</v>
      </c>
      <c r="J37" s="5">
        <f>VLOOKUP($B37,'251010_0시'!$A$1:$M$200,4,FALSE)</f>
        <v>715805</v>
      </c>
      <c r="K37" s="5">
        <f>VLOOKUP($B37,'251010_0시'!$A$1:$M$200,5,FALSE)</f>
        <v>631</v>
      </c>
      <c r="L37" s="5">
        <f t="shared" si="4"/>
        <v>220177</v>
      </c>
      <c r="M37" s="5">
        <f t="shared" si="5"/>
        <v>-21374</v>
      </c>
      <c r="N37" s="5">
        <f t="shared" si="6"/>
        <v>500</v>
      </c>
      <c r="O37" s="5">
        <f>VLOOKUP($B37,'251011_0시'!$A$1:$M$200,4,FALSE)</f>
        <v>898804</v>
      </c>
      <c r="P37" s="5">
        <f>VLOOKUP($B37,'251011_0시'!$A$1:$M$200,5,FALSE)</f>
        <v>631</v>
      </c>
      <c r="Q37" s="5">
        <f t="shared" si="7"/>
        <v>182999</v>
      </c>
      <c r="R37" s="5">
        <f t="shared" si="8"/>
        <v>-37178</v>
      </c>
      <c r="S37" s="5">
        <f t="shared" si="9"/>
        <v>0</v>
      </c>
      <c r="T37" s="5">
        <f>VLOOKUP($B37,'251012_0시'!$A$1:$M$200,4,FALSE)</f>
        <v>1020388</v>
      </c>
      <c r="U37" s="5">
        <f>VLOOKUP($B37,'251012_0시'!$A$1:$M$200,5,FALSE)</f>
        <v>631</v>
      </c>
      <c r="V37" s="5">
        <f t="shared" si="10"/>
        <v>121584</v>
      </c>
      <c r="W37" s="5">
        <f t="shared" si="11"/>
        <v>-61415</v>
      </c>
      <c r="X37" s="5">
        <f t="shared" si="12"/>
        <v>0</v>
      </c>
      <c r="Y37" s="5">
        <f>VLOOKUP($B37,'251013_0시'!$A$1:$M$200,4,FALSE)</f>
        <v>1220964</v>
      </c>
      <c r="Z37" s="5">
        <f>VLOOKUP($B37,'251013_0시'!$A$1:$M$200,5,FALSE)</f>
        <v>631</v>
      </c>
      <c r="AA37" s="5">
        <f t="shared" si="13"/>
        <v>200576</v>
      </c>
      <c r="AB37" s="5">
        <f t="shared" si="14"/>
        <v>78992</v>
      </c>
      <c r="AC37" s="5">
        <f t="shared" si="15"/>
        <v>0</v>
      </c>
      <c r="AD37" s="5">
        <f>VLOOKUP($B37,'251013_0시'!$A$1:$M$200,4,FALSE)</f>
        <v>1220964</v>
      </c>
      <c r="AF37" s="5" t="s">
        <v>797</v>
      </c>
      <c r="AG37" s="5">
        <f>VLOOKUP($AF37,'251013'!$A$1:$M$200,4,FALSE)</f>
        <v>209460</v>
      </c>
      <c r="AH37" s="5">
        <f>VLOOKUP($AF37,'251013'!$A$1:$M$200,5,FALSE)</f>
        <v>5152</v>
      </c>
      <c r="AI37" s="5">
        <f>VLOOKUP($AF37,'251014'!$A$1:$M$200,4,FALSE)</f>
        <v>366592</v>
      </c>
      <c r="AJ37" s="5">
        <f>VLOOKUP($AF37,'251014'!$A$1:$M$200,5,FALSE)</f>
        <v>9652</v>
      </c>
      <c r="AK37" s="5">
        <f t="shared" si="16"/>
        <v>157132</v>
      </c>
      <c r="AL37" s="5">
        <f t="shared" si="17"/>
        <v>-52328</v>
      </c>
      <c r="AM37" s="5">
        <f t="shared" si="18"/>
        <v>4500</v>
      </c>
      <c r="AN37" s="5">
        <f>VLOOKUP($AF37,'251015'!$A$1:$M$200,4,FALSE)</f>
        <v>566645</v>
      </c>
      <c r="AO37" s="5">
        <f>VLOOKUP($AF37,'251015'!$A$1:$M$200,5,FALSE)</f>
        <v>13252</v>
      </c>
      <c r="AP37" s="5">
        <f t="shared" si="19"/>
        <v>200053</v>
      </c>
      <c r="AQ37" s="5">
        <f t="shared" si="20"/>
        <v>42921</v>
      </c>
      <c r="AR37" s="5">
        <f t="shared" si="21"/>
        <v>3600</v>
      </c>
      <c r="AS37" s="5">
        <f>VLOOKUP($AF37,'251016'!$A$1:$M$200,4,FALSE)</f>
        <v>669847</v>
      </c>
      <c r="AT37" s="5">
        <f>VLOOKUP($AF37,'251016'!$A$1:$M$200,5,FALSE)</f>
        <v>14602</v>
      </c>
      <c r="AU37" s="5">
        <f t="shared" si="22"/>
        <v>103202</v>
      </c>
      <c r="AV37" s="5">
        <f t="shared" si="23"/>
        <v>-96851</v>
      </c>
      <c r="AW37" s="5">
        <f t="shared" si="24"/>
        <v>1350</v>
      </c>
      <c r="AX37" s="5">
        <f>VLOOKUP($AF37,'251017'!$A$1:$M$200,4,FALSE)</f>
        <v>837698</v>
      </c>
      <c r="AY37" s="5">
        <f>VLOOKUP($AF37,'251017'!$A$1:$M$200,5,FALSE)</f>
        <v>18252</v>
      </c>
      <c r="AZ37" s="5">
        <f t="shared" si="25"/>
        <v>167851</v>
      </c>
      <c r="BA37" s="5">
        <f t="shared" si="26"/>
        <v>64649</v>
      </c>
      <c r="BB37" s="5">
        <f t="shared" si="27"/>
        <v>3650</v>
      </c>
      <c r="BC37" s="5">
        <f>VLOOKUP($AF37,'251018'!$A$1:$M$200,4,FALSE)</f>
        <v>1120003</v>
      </c>
      <c r="BD37" s="5">
        <f>VLOOKUP($AF37,'251018'!$A$1:$M$200,5,FALSE)</f>
        <v>23652</v>
      </c>
      <c r="BE37" s="5">
        <f t="shared" si="28"/>
        <v>282305</v>
      </c>
      <c r="BF37" s="5">
        <f t="shared" si="29"/>
        <v>114454</v>
      </c>
      <c r="BG37" s="5">
        <f t="shared" si="30"/>
        <v>5400</v>
      </c>
      <c r="BH37" s="5">
        <f>VLOOKUP($AF37,'251018'!$A$1:$M$200,4,FALSE)</f>
        <v>1120003</v>
      </c>
    </row>
    <row r="38" spans="1:60" x14ac:dyDescent="0.3">
      <c r="B38" s="5" t="s">
        <v>749</v>
      </c>
      <c r="C38" s="5">
        <f>VLOOKUP($B38,'251008_0시'!$A$1:$M$200,4,FALSE)</f>
        <v>386971</v>
      </c>
      <c r="D38" s="5">
        <f>VLOOKUP($B38,'251008_0시'!$A$1:$M$200,5,FALSE)</f>
        <v>350</v>
      </c>
      <c r="E38" s="5">
        <f>VLOOKUP($B38,'251009_0시'!$A$1:$M$200,4,FALSE)</f>
        <v>562023</v>
      </c>
      <c r="F38" s="5">
        <f>VLOOKUP($B38,'251009_0시'!$A$1:$M$200,5,FALSE)</f>
        <v>350</v>
      </c>
      <c r="G38" s="5">
        <f t="shared" ref="G38:G69" si="31">E38-C38</f>
        <v>175052</v>
      </c>
      <c r="H38" s="5">
        <f t="shared" ref="H38:H69" si="32">G38-(C38/2)</f>
        <v>-18433.5</v>
      </c>
      <c r="I38" s="5">
        <f t="shared" ref="I38:I69" si="33">F38-D38</f>
        <v>0</v>
      </c>
      <c r="J38" s="5">
        <f>VLOOKUP($B38,'251010_0시'!$A$1:$M$200,4,FALSE)</f>
        <v>718086</v>
      </c>
      <c r="K38" s="5">
        <f>VLOOKUP($B38,'251010_0시'!$A$1:$M$200,5,FALSE)</f>
        <v>1339</v>
      </c>
      <c r="L38" s="5">
        <f t="shared" ref="L38:L69" si="34">J38-E38</f>
        <v>156063</v>
      </c>
      <c r="M38" s="5">
        <f t="shared" ref="M38:M69" si="35">L38-G38</f>
        <v>-18989</v>
      </c>
      <c r="N38" s="5">
        <f t="shared" ref="N38:N69" si="36">K38-F38</f>
        <v>989</v>
      </c>
      <c r="O38" s="5">
        <f>VLOOKUP($B38,'251011_0시'!$A$1:$M$200,4,FALSE)</f>
        <v>894279</v>
      </c>
      <c r="P38" s="5">
        <f>VLOOKUP($B38,'251011_0시'!$A$1:$M$200,5,FALSE)</f>
        <v>1339</v>
      </c>
      <c r="Q38" s="5">
        <f t="shared" ref="Q38:Q69" si="37">O38-J38</f>
        <v>176193</v>
      </c>
      <c r="R38" s="5">
        <f t="shared" ref="R38:R69" si="38">Q38-L38</f>
        <v>20130</v>
      </c>
      <c r="S38" s="5">
        <f t="shared" ref="S38:S69" si="39">P38-K38</f>
        <v>0</v>
      </c>
      <c r="T38" s="5">
        <f>VLOOKUP($B38,'251012_0시'!$A$1:$M$200,4,FALSE)</f>
        <v>1078868</v>
      </c>
      <c r="U38" s="5">
        <f>VLOOKUP($B38,'251012_0시'!$A$1:$M$200,5,FALSE)</f>
        <v>1339</v>
      </c>
      <c r="V38" s="5">
        <f t="shared" ref="V38:V69" si="40">T38-O38</f>
        <v>184589</v>
      </c>
      <c r="W38" s="5">
        <f t="shared" ref="W38:W69" si="41">V38-Q38</f>
        <v>8396</v>
      </c>
      <c r="X38" s="5">
        <f t="shared" ref="X38:X69" si="42">U38-P38</f>
        <v>0</v>
      </c>
      <c r="Y38" s="5">
        <f>VLOOKUP($B38,'251013_0시'!$A$1:$M$200,4,FALSE)</f>
        <v>1218823</v>
      </c>
      <c r="Z38" s="5">
        <f>VLOOKUP($B38,'251013_0시'!$A$1:$M$200,5,FALSE)</f>
        <v>1989</v>
      </c>
      <c r="AA38" s="5">
        <f t="shared" ref="AA38:AA69" si="43">Y38-T38</f>
        <v>139955</v>
      </c>
      <c r="AB38" s="5">
        <f t="shared" ref="AB38:AB69" si="44">AA38-V38</f>
        <v>-44634</v>
      </c>
      <c r="AC38" s="5">
        <f t="shared" ref="AC38:AC69" si="45">Z38-U38</f>
        <v>650</v>
      </c>
      <c r="AD38" s="5">
        <f>VLOOKUP($B38,'251013_0시'!$A$1:$M$200,4,FALSE)</f>
        <v>1218823</v>
      </c>
      <c r="AF38" s="5" t="s">
        <v>806</v>
      </c>
      <c r="AG38" s="5">
        <f>VLOOKUP($AF38,'251013'!$A$1:$M$200,4,FALSE)</f>
        <v>270384</v>
      </c>
      <c r="AH38" s="5">
        <f>VLOOKUP($AF38,'251013'!$A$1:$M$200,5,FALSE)</f>
        <v>0</v>
      </c>
      <c r="AI38" s="5">
        <f>VLOOKUP($AF38,'251014'!$A$1:$M$200,4,FALSE)</f>
        <v>491063</v>
      </c>
      <c r="AJ38" s="5">
        <f>VLOOKUP($AF38,'251014'!$A$1:$M$200,5,FALSE)</f>
        <v>0</v>
      </c>
      <c r="AK38" s="5">
        <f t="shared" ref="AK38:AK69" si="46">AI38-AG38</f>
        <v>220679</v>
      </c>
      <c r="AL38" s="5">
        <f t="shared" ref="AL38:AL69" si="47">AK38-AG38</f>
        <v>-49705</v>
      </c>
      <c r="AM38" s="5">
        <f t="shared" ref="AM38:AM69" si="48">AJ38-AH38</f>
        <v>0</v>
      </c>
      <c r="AN38" s="5">
        <f>VLOOKUP($AF38,'251015'!$A$1:$M$200,4,FALSE)</f>
        <v>668018</v>
      </c>
      <c r="AO38" s="5">
        <f>VLOOKUP($AF38,'251015'!$A$1:$M$200,5,FALSE)</f>
        <v>0</v>
      </c>
      <c r="AP38" s="5">
        <f t="shared" ref="AP38:AP69" si="49">AN38-AI38</f>
        <v>176955</v>
      </c>
      <c r="AQ38" s="5">
        <f t="shared" ref="AQ38:AQ69" si="50">AP38-AK38</f>
        <v>-43724</v>
      </c>
      <c r="AR38" s="5">
        <f t="shared" ref="AR38:AR69" si="51">AO38-AJ38</f>
        <v>0</v>
      </c>
      <c r="AS38" s="5">
        <f>VLOOKUP($AF38,'251016'!$A$1:$M$200,4,FALSE)</f>
        <v>832775</v>
      </c>
      <c r="AT38" s="5">
        <f>VLOOKUP($AF38,'251016'!$A$1:$M$200,5,FALSE)</f>
        <v>0</v>
      </c>
      <c r="AU38" s="5">
        <f t="shared" ref="AU38:AU69" si="52">AS38-AN38</f>
        <v>164757</v>
      </c>
      <c r="AV38" s="5">
        <f t="shared" ref="AV38:AV69" si="53">AU38-AP38</f>
        <v>-12198</v>
      </c>
      <c r="AW38" s="5">
        <f t="shared" ref="AW38:AW69" si="54">AT38-AO38</f>
        <v>0</v>
      </c>
      <c r="AX38" s="5">
        <f>VLOOKUP($AF38,'251017'!$A$1:$M$200,4,FALSE)</f>
        <v>1034345</v>
      </c>
      <c r="AY38" s="5">
        <f>VLOOKUP($AF38,'251017'!$A$1:$M$200,5,FALSE)</f>
        <v>101</v>
      </c>
      <c r="AZ38" s="5">
        <f t="shared" ref="AZ38:AZ69" si="55">AX38-AS38</f>
        <v>201570</v>
      </c>
      <c r="BA38" s="5">
        <f t="shared" ref="BA38:BA69" si="56">AZ38-AU38</f>
        <v>36813</v>
      </c>
      <c r="BB38" s="5">
        <f t="shared" ref="BB38:BB69" si="57">AY38-AT38</f>
        <v>101</v>
      </c>
      <c r="BC38" s="5">
        <f>VLOOKUP($AF38,'251018'!$A$1:$M$200,4,FALSE)</f>
        <v>1114194</v>
      </c>
      <c r="BD38" s="5">
        <f>VLOOKUP($AF38,'251018'!$A$1:$M$200,5,FALSE)</f>
        <v>101</v>
      </c>
      <c r="BE38" s="5">
        <f t="shared" ref="BE38:BE69" si="58">BC38-AX38</f>
        <v>79849</v>
      </c>
      <c r="BF38" s="5">
        <f t="shared" ref="BF38:BF69" si="59">BE38-AZ38</f>
        <v>-121721</v>
      </c>
      <c r="BG38" s="5">
        <f t="shared" ref="BG38:BG69" si="60">BD38-AY38</f>
        <v>0</v>
      </c>
      <c r="BH38" s="5">
        <f>VLOOKUP($AF38,'251018'!$A$1:$M$200,4,FALSE)</f>
        <v>1114194</v>
      </c>
    </row>
    <row r="39" spans="1:60" x14ac:dyDescent="0.3">
      <c r="B39" s="5" t="s">
        <v>776</v>
      </c>
      <c r="C39" s="5">
        <f>VLOOKUP($B39,'251008_0시'!$A$1:$M$200,4,FALSE)</f>
        <v>381355</v>
      </c>
      <c r="D39" s="5">
        <f>VLOOKUP($B39,'251008_0시'!$A$1:$M$200,5,FALSE)</f>
        <v>0</v>
      </c>
      <c r="E39" s="5">
        <f>VLOOKUP($B39,'251009_0시'!$A$1:$M$200,4,FALSE)</f>
        <v>538583</v>
      </c>
      <c r="F39" s="5">
        <f>VLOOKUP($B39,'251009_0시'!$A$1:$M$200,5,FALSE)</f>
        <v>350</v>
      </c>
      <c r="G39" s="5">
        <f t="shared" si="31"/>
        <v>157228</v>
      </c>
      <c r="H39" s="5">
        <f t="shared" si="32"/>
        <v>-33449.5</v>
      </c>
      <c r="I39" s="5">
        <f t="shared" si="33"/>
        <v>350</v>
      </c>
      <c r="J39" s="5">
        <f>VLOOKUP($B39,'251010_0시'!$A$1:$M$200,4,FALSE)</f>
        <v>737481</v>
      </c>
      <c r="K39" s="5">
        <f>VLOOKUP($B39,'251010_0시'!$A$1:$M$200,5,FALSE)</f>
        <v>451</v>
      </c>
      <c r="L39" s="5">
        <f t="shared" si="34"/>
        <v>198898</v>
      </c>
      <c r="M39" s="5">
        <f t="shared" si="35"/>
        <v>41670</v>
      </c>
      <c r="N39" s="5">
        <f t="shared" si="36"/>
        <v>101</v>
      </c>
      <c r="O39" s="5">
        <f>VLOOKUP($B39,'251011_0시'!$A$1:$M$200,4,FALSE)</f>
        <v>898933</v>
      </c>
      <c r="P39" s="5">
        <f>VLOOKUP($B39,'251011_0시'!$A$1:$M$200,5,FALSE)</f>
        <v>451</v>
      </c>
      <c r="Q39" s="5">
        <f t="shared" si="37"/>
        <v>161452</v>
      </c>
      <c r="R39" s="5">
        <f t="shared" si="38"/>
        <v>-37446</v>
      </c>
      <c r="S39" s="5">
        <f t="shared" si="39"/>
        <v>0</v>
      </c>
      <c r="T39" s="5">
        <f>VLOOKUP($B39,'251012_0시'!$A$1:$M$200,4,FALSE)</f>
        <v>1065009</v>
      </c>
      <c r="U39" s="5">
        <f>VLOOKUP($B39,'251012_0시'!$A$1:$M$200,5,FALSE)</f>
        <v>451</v>
      </c>
      <c r="V39" s="5">
        <f t="shared" si="40"/>
        <v>166076</v>
      </c>
      <c r="W39" s="5">
        <f t="shared" si="41"/>
        <v>4624</v>
      </c>
      <c r="X39" s="5">
        <f t="shared" si="42"/>
        <v>0</v>
      </c>
      <c r="Y39" s="5">
        <f>VLOOKUP($B39,'251013_0시'!$A$1:$M$200,4,FALSE)</f>
        <v>1205327</v>
      </c>
      <c r="Z39" s="5">
        <f>VLOOKUP($B39,'251013_0시'!$A$1:$M$200,5,FALSE)</f>
        <v>451</v>
      </c>
      <c r="AA39" s="5">
        <f t="shared" si="43"/>
        <v>140318</v>
      </c>
      <c r="AB39" s="5">
        <f t="shared" si="44"/>
        <v>-25758</v>
      </c>
      <c r="AC39" s="5">
        <f t="shared" si="45"/>
        <v>0</v>
      </c>
      <c r="AD39" s="5">
        <f>VLOOKUP($B39,'251013_0시'!$A$1:$M$200,4,FALSE)</f>
        <v>1205327</v>
      </c>
      <c r="AF39" s="5" t="s">
        <v>748</v>
      </c>
      <c r="AG39" s="5">
        <f>VLOOKUP($AF39,'251013'!$A$1:$M$200,4,FALSE)</f>
        <v>146554</v>
      </c>
      <c r="AH39" s="5">
        <f>VLOOKUP($AF39,'251013'!$A$1:$M$200,5,FALSE)</f>
        <v>0</v>
      </c>
      <c r="AI39" s="5">
        <f>VLOOKUP($AF39,'251014'!$A$1:$M$200,4,FALSE)</f>
        <v>410566</v>
      </c>
      <c r="AJ39" s="5">
        <f>VLOOKUP($AF39,'251014'!$A$1:$M$200,5,FALSE)</f>
        <v>0</v>
      </c>
      <c r="AK39" s="5">
        <f t="shared" si="46"/>
        <v>264012</v>
      </c>
      <c r="AL39" s="5">
        <f t="shared" si="47"/>
        <v>117458</v>
      </c>
      <c r="AM39" s="5">
        <f t="shared" si="48"/>
        <v>0</v>
      </c>
      <c r="AN39" s="5">
        <f>VLOOKUP($AF39,'251015'!$A$1:$M$200,4,FALSE)</f>
        <v>583852</v>
      </c>
      <c r="AO39" s="5">
        <f>VLOOKUP($AF39,'251015'!$A$1:$M$200,5,FALSE)</f>
        <v>0</v>
      </c>
      <c r="AP39" s="5">
        <f t="shared" si="49"/>
        <v>173286</v>
      </c>
      <c r="AQ39" s="5">
        <f t="shared" si="50"/>
        <v>-90726</v>
      </c>
      <c r="AR39" s="5">
        <f t="shared" si="51"/>
        <v>0</v>
      </c>
      <c r="AS39" s="5">
        <f>VLOOKUP($AF39,'251016'!$A$1:$M$200,4,FALSE)</f>
        <v>716932</v>
      </c>
      <c r="AT39" s="5">
        <f>VLOOKUP($AF39,'251016'!$A$1:$M$200,5,FALSE)</f>
        <v>0</v>
      </c>
      <c r="AU39" s="5">
        <f t="shared" si="52"/>
        <v>133080</v>
      </c>
      <c r="AV39" s="5">
        <f t="shared" si="53"/>
        <v>-40206</v>
      </c>
      <c r="AW39" s="5">
        <f t="shared" si="54"/>
        <v>0</v>
      </c>
      <c r="AX39" s="5">
        <f>VLOOKUP($AF39,'251017'!$A$1:$M$200,4,FALSE)</f>
        <v>910365</v>
      </c>
      <c r="AY39" s="5">
        <f>VLOOKUP($AF39,'251017'!$A$1:$M$200,5,FALSE)</f>
        <v>0</v>
      </c>
      <c r="AZ39" s="5">
        <f t="shared" si="55"/>
        <v>193433</v>
      </c>
      <c r="BA39" s="5">
        <f t="shared" si="56"/>
        <v>60353</v>
      </c>
      <c r="BB39" s="5">
        <f t="shared" si="57"/>
        <v>0</v>
      </c>
      <c r="BC39" s="5">
        <f>VLOOKUP($AF39,'251018'!$A$1:$M$200,4,FALSE)</f>
        <v>1113744</v>
      </c>
      <c r="BD39" s="5">
        <f>VLOOKUP($AF39,'251018'!$A$1:$M$200,5,FALSE)</f>
        <v>0</v>
      </c>
      <c r="BE39" s="5">
        <f t="shared" si="58"/>
        <v>203379</v>
      </c>
      <c r="BF39" s="5">
        <f t="shared" si="59"/>
        <v>9946</v>
      </c>
      <c r="BG39" s="5">
        <f t="shared" si="60"/>
        <v>0</v>
      </c>
      <c r="BH39" s="5">
        <f>VLOOKUP($AF39,'251018'!$A$1:$M$200,4,FALSE)</f>
        <v>1113744</v>
      </c>
    </row>
    <row r="40" spans="1:60" x14ac:dyDescent="0.3">
      <c r="B40" s="5" t="s">
        <v>812</v>
      </c>
      <c r="C40" s="5">
        <f>VLOOKUP($B40,'251008_0시'!$A$1:$M$200,4,FALSE)</f>
        <v>359899</v>
      </c>
      <c r="D40" s="5">
        <f>VLOOKUP($B40,'251008_0시'!$A$1:$M$200,5,FALSE)</f>
        <v>700</v>
      </c>
      <c r="E40" s="5">
        <f>VLOOKUP($B40,'251009_0시'!$A$1:$M$200,4,FALSE)</f>
        <v>541381</v>
      </c>
      <c r="F40" s="5">
        <f>VLOOKUP($B40,'251009_0시'!$A$1:$M$200,5,FALSE)</f>
        <v>800</v>
      </c>
      <c r="G40" s="5">
        <f t="shared" si="31"/>
        <v>181482</v>
      </c>
      <c r="H40" s="5">
        <f t="shared" si="32"/>
        <v>1532.5</v>
      </c>
      <c r="I40" s="5">
        <f t="shared" si="33"/>
        <v>100</v>
      </c>
      <c r="J40" s="5">
        <f>VLOOKUP($B40,'251010_0시'!$A$1:$M$200,4,FALSE)</f>
        <v>715975</v>
      </c>
      <c r="K40" s="5">
        <f>VLOOKUP($B40,'251010_0시'!$A$1:$M$200,5,FALSE)</f>
        <v>1162</v>
      </c>
      <c r="L40" s="5">
        <f t="shared" si="34"/>
        <v>174594</v>
      </c>
      <c r="M40" s="5">
        <f t="shared" si="35"/>
        <v>-6888</v>
      </c>
      <c r="N40" s="5">
        <f t="shared" si="36"/>
        <v>362</v>
      </c>
      <c r="O40" s="5">
        <f>VLOOKUP($B40,'251011_0시'!$A$1:$M$200,4,FALSE)</f>
        <v>849163</v>
      </c>
      <c r="P40" s="5">
        <f>VLOOKUP($B40,'251011_0시'!$A$1:$M$200,5,FALSE)</f>
        <v>1162</v>
      </c>
      <c r="Q40" s="5">
        <f t="shared" si="37"/>
        <v>133188</v>
      </c>
      <c r="R40" s="5">
        <f t="shared" si="38"/>
        <v>-41406</v>
      </c>
      <c r="S40" s="5">
        <f t="shared" si="39"/>
        <v>0</v>
      </c>
      <c r="T40" s="5">
        <f>VLOOKUP($B40,'251012_0시'!$A$1:$M$200,4,FALSE)</f>
        <v>1014712</v>
      </c>
      <c r="U40" s="5">
        <f>VLOOKUP($B40,'251012_0시'!$A$1:$M$200,5,FALSE)</f>
        <v>1212</v>
      </c>
      <c r="V40" s="5">
        <f t="shared" si="40"/>
        <v>165549</v>
      </c>
      <c r="W40" s="5">
        <f t="shared" si="41"/>
        <v>32361</v>
      </c>
      <c r="X40" s="5">
        <f t="shared" si="42"/>
        <v>50</v>
      </c>
      <c r="Y40" s="5">
        <f>VLOOKUP($B40,'251013_0시'!$A$1:$M$200,4,FALSE)</f>
        <v>1199362</v>
      </c>
      <c r="Z40" s="5">
        <f>VLOOKUP($B40,'251013_0시'!$A$1:$M$200,5,FALSE)</f>
        <v>1312</v>
      </c>
      <c r="AA40" s="5">
        <f t="shared" si="43"/>
        <v>184650</v>
      </c>
      <c r="AB40" s="5">
        <f t="shared" si="44"/>
        <v>19101</v>
      </c>
      <c r="AC40" s="5">
        <f t="shared" si="45"/>
        <v>100</v>
      </c>
      <c r="AD40" s="5">
        <f>VLOOKUP($B40,'251013_0시'!$A$1:$M$200,4,FALSE)</f>
        <v>1199362</v>
      </c>
      <c r="AF40" s="5" t="s">
        <v>760</v>
      </c>
      <c r="AG40" s="5">
        <f>VLOOKUP($AF40,'251013'!$A$1:$M$200,4,FALSE)</f>
        <v>175077</v>
      </c>
      <c r="AH40" s="5">
        <f>VLOOKUP($AF40,'251013'!$A$1:$M$200,5,FALSE)</f>
        <v>0</v>
      </c>
      <c r="AI40" s="5">
        <f>VLOOKUP($AF40,'251014'!$A$1:$M$200,4,FALSE)</f>
        <v>350478</v>
      </c>
      <c r="AJ40" s="5">
        <f>VLOOKUP($AF40,'251014'!$A$1:$M$200,5,FALSE)</f>
        <v>0</v>
      </c>
      <c r="AK40" s="5">
        <f t="shared" si="46"/>
        <v>175401</v>
      </c>
      <c r="AL40" s="5">
        <f t="shared" si="47"/>
        <v>324</v>
      </c>
      <c r="AM40" s="5">
        <f t="shared" si="48"/>
        <v>0</v>
      </c>
      <c r="AN40" s="5">
        <f>VLOOKUP($AF40,'251015'!$A$1:$M$200,4,FALSE)</f>
        <v>538090</v>
      </c>
      <c r="AO40" s="5">
        <f>VLOOKUP($AF40,'251015'!$A$1:$M$200,5,FALSE)</f>
        <v>0</v>
      </c>
      <c r="AP40" s="5">
        <f t="shared" si="49"/>
        <v>187612</v>
      </c>
      <c r="AQ40" s="5">
        <f t="shared" si="50"/>
        <v>12211</v>
      </c>
      <c r="AR40" s="5">
        <f t="shared" si="51"/>
        <v>0</v>
      </c>
      <c r="AS40" s="5">
        <f>VLOOKUP($AF40,'251016'!$A$1:$M$200,4,FALSE)</f>
        <v>660312</v>
      </c>
      <c r="AT40" s="5">
        <f>VLOOKUP($AF40,'251016'!$A$1:$M$200,5,FALSE)</f>
        <v>0</v>
      </c>
      <c r="AU40" s="5">
        <f t="shared" si="52"/>
        <v>122222</v>
      </c>
      <c r="AV40" s="5">
        <f t="shared" si="53"/>
        <v>-65390</v>
      </c>
      <c r="AW40" s="5">
        <f t="shared" si="54"/>
        <v>0</v>
      </c>
      <c r="AX40" s="5">
        <f>VLOOKUP($AF40,'251017'!$A$1:$M$200,4,FALSE)</f>
        <v>888179</v>
      </c>
      <c r="AY40" s="5">
        <f>VLOOKUP($AF40,'251017'!$A$1:$M$200,5,FALSE)</f>
        <v>0</v>
      </c>
      <c r="AZ40" s="5">
        <f t="shared" si="55"/>
        <v>227867</v>
      </c>
      <c r="BA40" s="5">
        <f t="shared" si="56"/>
        <v>105645</v>
      </c>
      <c r="BB40" s="5">
        <f t="shared" si="57"/>
        <v>0</v>
      </c>
      <c r="BC40" s="5">
        <f>VLOOKUP($AF40,'251018'!$A$1:$M$200,4,FALSE)</f>
        <v>1113401</v>
      </c>
      <c r="BD40" s="5">
        <f>VLOOKUP($AF40,'251018'!$A$1:$M$200,5,FALSE)</f>
        <v>0</v>
      </c>
      <c r="BE40" s="5">
        <f t="shared" si="58"/>
        <v>225222</v>
      </c>
      <c r="BF40" s="5">
        <f t="shared" si="59"/>
        <v>-2645</v>
      </c>
      <c r="BG40" s="5">
        <f t="shared" si="60"/>
        <v>0</v>
      </c>
      <c r="BH40" s="5">
        <f>VLOOKUP($AF40,'251018'!$A$1:$M$200,4,FALSE)</f>
        <v>1113401</v>
      </c>
    </row>
    <row r="41" spans="1:60" x14ac:dyDescent="0.3">
      <c r="B41" s="5" t="s">
        <v>762</v>
      </c>
      <c r="C41" s="5">
        <f>VLOOKUP($B41,'251008_0시'!$A$1:$M$200,4,FALSE)</f>
        <v>352655</v>
      </c>
      <c r="D41" s="5">
        <f>VLOOKUP($B41,'251008_0시'!$A$1:$M$200,5,FALSE)</f>
        <v>3025</v>
      </c>
      <c r="E41" s="5">
        <f>VLOOKUP($B41,'251009_0시'!$A$1:$M$200,4,FALSE)</f>
        <v>455747</v>
      </c>
      <c r="F41" s="5">
        <f>VLOOKUP($B41,'251009_0시'!$A$1:$M$200,5,FALSE)</f>
        <v>3075</v>
      </c>
      <c r="G41" s="5">
        <f t="shared" si="31"/>
        <v>103092</v>
      </c>
      <c r="H41" s="5">
        <f t="shared" si="32"/>
        <v>-73235.5</v>
      </c>
      <c r="I41" s="5">
        <f t="shared" si="33"/>
        <v>50</v>
      </c>
      <c r="J41" s="5">
        <f>VLOOKUP($B41,'251010_0시'!$A$1:$M$200,4,FALSE)</f>
        <v>641248</v>
      </c>
      <c r="K41" s="5">
        <f>VLOOKUP($B41,'251010_0시'!$A$1:$M$200,5,FALSE)</f>
        <v>3428</v>
      </c>
      <c r="L41" s="5">
        <f t="shared" si="34"/>
        <v>185501</v>
      </c>
      <c r="M41" s="5">
        <f t="shared" si="35"/>
        <v>82409</v>
      </c>
      <c r="N41" s="5">
        <f t="shared" si="36"/>
        <v>353</v>
      </c>
      <c r="O41" s="5">
        <f>VLOOKUP($B41,'251011_0시'!$A$1:$M$200,4,FALSE)</f>
        <v>816371</v>
      </c>
      <c r="P41" s="5">
        <f>VLOOKUP($B41,'251011_0시'!$A$1:$M$200,5,FALSE)</f>
        <v>5678</v>
      </c>
      <c r="Q41" s="5">
        <f t="shared" si="37"/>
        <v>175123</v>
      </c>
      <c r="R41" s="5">
        <f t="shared" si="38"/>
        <v>-10378</v>
      </c>
      <c r="S41" s="5">
        <f t="shared" si="39"/>
        <v>2250</v>
      </c>
      <c r="T41" s="5">
        <f>VLOOKUP($B41,'251012_0시'!$A$1:$M$200,4,FALSE)</f>
        <v>1010195</v>
      </c>
      <c r="U41" s="5">
        <f>VLOOKUP($B41,'251012_0시'!$A$1:$M$200,5,FALSE)</f>
        <v>8378</v>
      </c>
      <c r="V41" s="5">
        <f t="shared" si="40"/>
        <v>193824</v>
      </c>
      <c r="W41" s="5">
        <f t="shared" si="41"/>
        <v>18701</v>
      </c>
      <c r="X41" s="5">
        <f t="shared" si="42"/>
        <v>2700</v>
      </c>
      <c r="Y41" s="5">
        <f>VLOOKUP($B41,'251013_0시'!$A$1:$M$200,4,FALSE)</f>
        <v>1198006</v>
      </c>
      <c r="Z41" s="5">
        <f>VLOOKUP($B41,'251013_0시'!$A$1:$M$200,5,FALSE)</f>
        <v>10178</v>
      </c>
      <c r="AA41" s="5">
        <f t="shared" si="43"/>
        <v>187811</v>
      </c>
      <c r="AB41" s="5">
        <f t="shared" si="44"/>
        <v>-6013</v>
      </c>
      <c r="AC41" s="5">
        <f t="shared" si="45"/>
        <v>1800</v>
      </c>
      <c r="AD41" s="5">
        <f>VLOOKUP($B41,'251013_0시'!$A$1:$M$200,4,FALSE)</f>
        <v>1198006</v>
      </c>
      <c r="AF41" s="5" t="s">
        <v>793</v>
      </c>
      <c r="AG41" s="5">
        <f>VLOOKUP($AF41,'251013'!$A$1:$M$200,4,FALSE)</f>
        <v>149672</v>
      </c>
      <c r="AH41" s="5">
        <f>VLOOKUP($AF41,'251013'!$A$1:$M$200,5,FALSE)</f>
        <v>0</v>
      </c>
      <c r="AI41" s="5">
        <f>VLOOKUP($AF41,'251014'!$A$1:$M$200,4,FALSE)</f>
        <v>340305</v>
      </c>
      <c r="AJ41" s="5">
        <f>VLOOKUP($AF41,'251014'!$A$1:$M$200,5,FALSE)</f>
        <v>0</v>
      </c>
      <c r="AK41" s="5">
        <f t="shared" si="46"/>
        <v>190633</v>
      </c>
      <c r="AL41" s="5">
        <f t="shared" si="47"/>
        <v>40961</v>
      </c>
      <c r="AM41" s="5">
        <f t="shared" si="48"/>
        <v>0</v>
      </c>
      <c r="AN41" s="5">
        <f>VLOOKUP($AF41,'251015'!$A$1:$M$200,4,FALSE)</f>
        <v>539954</v>
      </c>
      <c r="AO41" s="5">
        <f>VLOOKUP($AF41,'251015'!$A$1:$M$200,5,FALSE)</f>
        <v>120</v>
      </c>
      <c r="AP41" s="5">
        <f t="shared" si="49"/>
        <v>199649</v>
      </c>
      <c r="AQ41" s="5">
        <f t="shared" si="50"/>
        <v>9016</v>
      </c>
      <c r="AR41" s="5">
        <f t="shared" si="51"/>
        <v>120</v>
      </c>
      <c r="AS41" s="5">
        <f>VLOOKUP($AF41,'251016'!$A$1:$M$200,4,FALSE)</f>
        <v>669818</v>
      </c>
      <c r="AT41" s="5">
        <f>VLOOKUP($AF41,'251016'!$A$1:$M$200,5,FALSE)</f>
        <v>120</v>
      </c>
      <c r="AU41" s="5">
        <f t="shared" si="52"/>
        <v>129864</v>
      </c>
      <c r="AV41" s="5">
        <f t="shared" si="53"/>
        <v>-69785</v>
      </c>
      <c r="AW41" s="5">
        <f t="shared" si="54"/>
        <v>0</v>
      </c>
      <c r="AX41" s="5">
        <f>VLOOKUP($AF41,'251017'!$A$1:$M$200,4,FALSE)</f>
        <v>866273</v>
      </c>
      <c r="AY41" s="5">
        <f>VLOOKUP($AF41,'251017'!$A$1:$M$200,5,FALSE)</f>
        <v>120</v>
      </c>
      <c r="AZ41" s="5">
        <f t="shared" si="55"/>
        <v>196455</v>
      </c>
      <c r="BA41" s="5">
        <f t="shared" si="56"/>
        <v>66591</v>
      </c>
      <c r="BB41" s="5">
        <f t="shared" si="57"/>
        <v>0</v>
      </c>
      <c r="BC41" s="5">
        <f>VLOOKUP($AF41,'251018'!$A$1:$M$200,4,FALSE)</f>
        <v>1084939</v>
      </c>
      <c r="BD41" s="5">
        <f>VLOOKUP($AF41,'251018'!$A$1:$M$200,5,FALSE)</f>
        <v>120</v>
      </c>
      <c r="BE41" s="5">
        <f t="shared" si="58"/>
        <v>218666</v>
      </c>
      <c r="BF41" s="5">
        <f t="shared" si="59"/>
        <v>22211</v>
      </c>
      <c r="BG41" s="5">
        <f t="shared" si="60"/>
        <v>0</v>
      </c>
      <c r="BH41" s="5">
        <f>VLOOKUP($AF41,'251018'!$A$1:$M$200,4,FALSE)</f>
        <v>1084939</v>
      </c>
    </row>
    <row r="42" spans="1:60" x14ac:dyDescent="0.3">
      <c r="B42" s="5" t="s">
        <v>948</v>
      </c>
      <c r="C42" s="5">
        <f>VLOOKUP($B42,'251008_0시'!$A$1:$M$200,4,FALSE)</f>
        <v>359518</v>
      </c>
      <c r="D42" s="5">
        <f>VLOOKUP($B42,'251008_0시'!$A$1:$M$200,5,FALSE)</f>
        <v>350</v>
      </c>
      <c r="E42" s="5">
        <f>VLOOKUP($B42,'251009_0시'!$A$1:$M$200,4,FALSE)</f>
        <v>539370</v>
      </c>
      <c r="F42" s="5">
        <f>VLOOKUP($B42,'251009_0시'!$A$1:$M$200,5,FALSE)</f>
        <v>451</v>
      </c>
      <c r="G42" s="5">
        <f t="shared" si="31"/>
        <v>179852</v>
      </c>
      <c r="H42" s="5">
        <f t="shared" si="32"/>
        <v>93</v>
      </c>
      <c r="I42" s="5">
        <f t="shared" si="33"/>
        <v>101</v>
      </c>
      <c r="J42" s="5">
        <f>VLOOKUP($B42,'251010_0시'!$A$1:$M$200,4,FALSE)</f>
        <v>672798</v>
      </c>
      <c r="K42" s="5">
        <f>VLOOKUP($B42,'251010_0시'!$A$1:$M$200,5,FALSE)</f>
        <v>653</v>
      </c>
      <c r="L42" s="5">
        <f t="shared" si="34"/>
        <v>133428</v>
      </c>
      <c r="M42" s="5">
        <f t="shared" si="35"/>
        <v>-46424</v>
      </c>
      <c r="N42" s="5">
        <f t="shared" si="36"/>
        <v>202</v>
      </c>
      <c r="O42" s="5">
        <f>VLOOKUP($B42,'251011_0시'!$A$1:$M$200,4,FALSE)</f>
        <v>830012</v>
      </c>
      <c r="P42" s="5">
        <f>VLOOKUP($B42,'251011_0시'!$A$1:$M$200,5,FALSE)</f>
        <v>653</v>
      </c>
      <c r="Q42" s="5">
        <f t="shared" si="37"/>
        <v>157214</v>
      </c>
      <c r="R42" s="5">
        <f t="shared" si="38"/>
        <v>23786</v>
      </c>
      <c r="S42" s="5">
        <f t="shared" si="39"/>
        <v>0</v>
      </c>
      <c r="T42" s="5">
        <f>VLOOKUP($B42,'251012_0시'!$A$1:$M$200,4,FALSE)</f>
        <v>1018296</v>
      </c>
      <c r="U42" s="5">
        <f>VLOOKUP($B42,'251012_0시'!$A$1:$M$200,5,FALSE)</f>
        <v>653</v>
      </c>
      <c r="V42" s="5">
        <f t="shared" si="40"/>
        <v>188284</v>
      </c>
      <c r="W42" s="5">
        <f t="shared" si="41"/>
        <v>31070</v>
      </c>
      <c r="X42" s="5">
        <f t="shared" si="42"/>
        <v>0</v>
      </c>
      <c r="Y42" s="5">
        <f>VLOOKUP($B42,'251013_0시'!$A$1:$M$200,4,FALSE)</f>
        <v>1190073</v>
      </c>
      <c r="Z42" s="5">
        <f>VLOOKUP($B42,'251013_0시'!$A$1:$M$200,5,FALSE)</f>
        <v>653</v>
      </c>
      <c r="AA42" s="5">
        <f t="shared" si="43"/>
        <v>171777</v>
      </c>
      <c r="AB42" s="5">
        <f t="shared" si="44"/>
        <v>-16507</v>
      </c>
      <c r="AC42" s="5">
        <f t="shared" si="45"/>
        <v>0</v>
      </c>
      <c r="AD42" s="5">
        <f>VLOOKUP($B42,'251013_0시'!$A$1:$M$200,4,FALSE)</f>
        <v>1190073</v>
      </c>
      <c r="AF42" s="5" t="s">
        <v>795</v>
      </c>
      <c r="AG42" s="5">
        <f>VLOOKUP($AF42,'251013'!$A$1:$M$200,4,FALSE)</f>
        <v>140478</v>
      </c>
      <c r="AH42" s="5">
        <f>VLOOKUP($AF42,'251013'!$A$1:$M$200,5,FALSE)</f>
        <v>346</v>
      </c>
      <c r="AI42" s="5">
        <f>VLOOKUP($AF42,'251014'!$A$1:$M$200,4,FALSE)</f>
        <v>368699</v>
      </c>
      <c r="AJ42" s="5">
        <f>VLOOKUP($AF42,'251014'!$A$1:$M$200,5,FALSE)</f>
        <v>346</v>
      </c>
      <c r="AK42" s="5">
        <f t="shared" si="46"/>
        <v>228221</v>
      </c>
      <c r="AL42" s="5">
        <f t="shared" si="47"/>
        <v>87743</v>
      </c>
      <c r="AM42" s="5">
        <f t="shared" si="48"/>
        <v>0</v>
      </c>
      <c r="AN42" s="5">
        <f>VLOOKUP($AF42,'251015'!$A$1:$M$200,4,FALSE)</f>
        <v>572764</v>
      </c>
      <c r="AO42" s="5">
        <f>VLOOKUP($AF42,'251015'!$A$1:$M$200,5,FALSE)</f>
        <v>616</v>
      </c>
      <c r="AP42" s="5">
        <f t="shared" si="49"/>
        <v>204065</v>
      </c>
      <c r="AQ42" s="5">
        <f t="shared" si="50"/>
        <v>-24156</v>
      </c>
      <c r="AR42" s="5">
        <f t="shared" si="51"/>
        <v>270</v>
      </c>
      <c r="AS42" s="5">
        <f>VLOOKUP($AF42,'251016'!$A$1:$M$200,4,FALSE)</f>
        <v>737964</v>
      </c>
      <c r="AT42" s="5">
        <f>VLOOKUP($AF42,'251016'!$A$1:$M$200,5,FALSE)</f>
        <v>1001</v>
      </c>
      <c r="AU42" s="5">
        <f t="shared" si="52"/>
        <v>165200</v>
      </c>
      <c r="AV42" s="5">
        <f t="shared" si="53"/>
        <v>-38865</v>
      </c>
      <c r="AW42" s="5">
        <f t="shared" si="54"/>
        <v>385</v>
      </c>
      <c r="AX42" s="5">
        <f>VLOOKUP($AF42,'251017'!$A$1:$M$200,4,FALSE)</f>
        <v>884301</v>
      </c>
      <c r="AY42" s="5">
        <f>VLOOKUP($AF42,'251017'!$A$1:$M$200,5,FALSE)</f>
        <v>1217</v>
      </c>
      <c r="AZ42" s="5">
        <f t="shared" si="55"/>
        <v>146337</v>
      </c>
      <c r="BA42" s="5">
        <f t="shared" si="56"/>
        <v>-18863</v>
      </c>
      <c r="BB42" s="5">
        <f t="shared" si="57"/>
        <v>216</v>
      </c>
      <c r="BC42" s="5">
        <f>VLOOKUP($AF42,'251018'!$A$1:$M$200,4,FALSE)</f>
        <v>1084411</v>
      </c>
      <c r="BD42" s="5">
        <f>VLOOKUP($AF42,'251018'!$A$1:$M$200,5,FALSE)</f>
        <v>1602</v>
      </c>
      <c r="BE42" s="5">
        <f t="shared" si="58"/>
        <v>200110</v>
      </c>
      <c r="BF42" s="5">
        <f t="shared" si="59"/>
        <v>53773</v>
      </c>
      <c r="BG42" s="5">
        <f t="shared" si="60"/>
        <v>385</v>
      </c>
      <c r="BH42" s="5">
        <f>VLOOKUP($AF42,'251018'!$A$1:$M$200,4,FALSE)</f>
        <v>1084411</v>
      </c>
    </row>
    <row r="43" spans="1:60" x14ac:dyDescent="0.3">
      <c r="B43" s="5" t="s">
        <v>774</v>
      </c>
      <c r="C43" s="5">
        <f>VLOOKUP($B43,'251008_0시'!$A$1:$M$200,4,FALSE)</f>
        <v>333123</v>
      </c>
      <c r="D43" s="5">
        <f>VLOOKUP($B43,'251008_0시'!$A$1:$M$200,5,FALSE)</f>
        <v>350</v>
      </c>
      <c r="E43" s="5">
        <f>VLOOKUP($B43,'251009_0시'!$A$1:$M$200,4,FALSE)</f>
        <v>551137</v>
      </c>
      <c r="F43" s="5">
        <f>VLOOKUP($B43,'251009_0시'!$A$1:$M$200,5,FALSE)</f>
        <v>350</v>
      </c>
      <c r="G43" s="5">
        <f t="shared" si="31"/>
        <v>218014</v>
      </c>
      <c r="H43" s="5">
        <f t="shared" si="32"/>
        <v>51452.5</v>
      </c>
      <c r="I43" s="5">
        <f t="shared" si="33"/>
        <v>0</v>
      </c>
      <c r="J43" s="5">
        <f>VLOOKUP($B43,'251010_0시'!$A$1:$M$200,4,FALSE)</f>
        <v>705912</v>
      </c>
      <c r="K43" s="5">
        <f>VLOOKUP($B43,'251010_0시'!$A$1:$M$200,5,FALSE)</f>
        <v>350</v>
      </c>
      <c r="L43" s="5">
        <f t="shared" si="34"/>
        <v>154775</v>
      </c>
      <c r="M43" s="5">
        <f t="shared" si="35"/>
        <v>-63239</v>
      </c>
      <c r="N43" s="5">
        <f t="shared" si="36"/>
        <v>0</v>
      </c>
      <c r="O43" s="5">
        <f>VLOOKUP($B43,'251011_0시'!$A$1:$M$200,4,FALSE)</f>
        <v>884377</v>
      </c>
      <c r="P43" s="5">
        <f>VLOOKUP($B43,'251011_0시'!$A$1:$M$200,5,FALSE)</f>
        <v>350</v>
      </c>
      <c r="Q43" s="5">
        <f t="shared" si="37"/>
        <v>178465</v>
      </c>
      <c r="R43" s="5">
        <f t="shared" si="38"/>
        <v>23690</v>
      </c>
      <c r="S43" s="5">
        <f t="shared" si="39"/>
        <v>0</v>
      </c>
      <c r="T43" s="5">
        <f>VLOOKUP($B43,'251012_0시'!$A$1:$M$200,4,FALSE)</f>
        <v>1053695</v>
      </c>
      <c r="U43" s="5">
        <f>VLOOKUP($B43,'251012_0시'!$A$1:$M$200,5,FALSE)</f>
        <v>350</v>
      </c>
      <c r="V43" s="5">
        <f t="shared" si="40"/>
        <v>169318</v>
      </c>
      <c r="W43" s="5">
        <f t="shared" si="41"/>
        <v>-9147</v>
      </c>
      <c r="X43" s="5">
        <f t="shared" si="42"/>
        <v>0</v>
      </c>
      <c r="Y43" s="5">
        <f>VLOOKUP($B43,'251013_0시'!$A$1:$M$200,4,FALSE)</f>
        <v>1182726</v>
      </c>
      <c r="Z43" s="5">
        <f>VLOOKUP($B43,'251013_0시'!$A$1:$M$200,5,FALSE)</f>
        <v>350</v>
      </c>
      <c r="AA43" s="5">
        <f t="shared" si="43"/>
        <v>129031</v>
      </c>
      <c r="AB43" s="5">
        <f t="shared" si="44"/>
        <v>-40287</v>
      </c>
      <c r="AC43" s="5">
        <f t="shared" si="45"/>
        <v>0</v>
      </c>
      <c r="AD43" s="5">
        <f>VLOOKUP($B43,'251013_0시'!$A$1:$M$200,4,FALSE)</f>
        <v>1182726</v>
      </c>
      <c r="AF43" s="5" t="s">
        <v>950</v>
      </c>
      <c r="AG43" s="5">
        <f>VLOOKUP($AF43,'251013'!$A$1:$M$200,4,FALSE)</f>
        <v>119751</v>
      </c>
      <c r="AH43" s="5">
        <f>VLOOKUP($AF43,'251013'!$A$1:$M$200,5,FALSE)</f>
        <v>348</v>
      </c>
      <c r="AI43" s="5">
        <f>VLOOKUP($AF43,'251014'!$A$1:$M$200,4,FALSE)</f>
        <v>265896</v>
      </c>
      <c r="AJ43" s="5">
        <f>VLOOKUP($AF43,'251014'!$A$1:$M$200,5,FALSE)</f>
        <v>348</v>
      </c>
      <c r="AK43" s="5">
        <f t="shared" si="46"/>
        <v>146145</v>
      </c>
      <c r="AL43" s="5">
        <f t="shared" si="47"/>
        <v>26394</v>
      </c>
      <c r="AM43" s="5">
        <f t="shared" si="48"/>
        <v>0</v>
      </c>
      <c r="AN43" s="5">
        <f>VLOOKUP($AF43,'251015'!$A$1:$M$200,4,FALSE)</f>
        <v>457277</v>
      </c>
      <c r="AO43" s="5">
        <f>VLOOKUP($AF43,'251015'!$A$1:$M$200,5,FALSE)</f>
        <v>348</v>
      </c>
      <c r="AP43" s="5">
        <f t="shared" si="49"/>
        <v>191381</v>
      </c>
      <c r="AQ43" s="5">
        <f t="shared" si="50"/>
        <v>45236</v>
      </c>
      <c r="AR43" s="5">
        <f t="shared" si="51"/>
        <v>0</v>
      </c>
      <c r="AS43" s="5">
        <f>VLOOKUP($AF43,'251016'!$A$1:$M$200,4,FALSE)</f>
        <v>600885</v>
      </c>
      <c r="AT43" s="5">
        <f>VLOOKUP($AF43,'251016'!$A$1:$M$200,5,FALSE)</f>
        <v>348</v>
      </c>
      <c r="AU43" s="5">
        <f t="shared" si="52"/>
        <v>143608</v>
      </c>
      <c r="AV43" s="5">
        <f t="shared" si="53"/>
        <v>-47773</v>
      </c>
      <c r="AW43" s="5">
        <f t="shared" si="54"/>
        <v>0</v>
      </c>
      <c r="AX43" s="5">
        <f>VLOOKUP($AF43,'251017'!$A$1:$M$200,4,FALSE)</f>
        <v>871154</v>
      </c>
      <c r="AY43" s="5">
        <f>VLOOKUP($AF43,'251017'!$A$1:$M$200,5,FALSE)</f>
        <v>398</v>
      </c>
      <c r="AZ43" s="5">
        <f t="shared" si="55"/>
        <v>270269</v>
      </c>
      <c r="BA43" s="5">
        <f t="shared" si="56"/>
        <v>126661</v>
      </c>
      <c r="BB43" s="5">
        <f t="shared" si="57"/>
        <v>50</v>
      </c>
      <c r="BC43" s="5">
        <f>VLOOKUP($AF43,'251018'!$A$1:$M$200,4,FALSE)</f>
        <v>1079049</v>
      </c>
      <c r="BD43" s="5">
        <f>VLOOKUP($AF43,'251018'!$A$1:$M$200,5,FALSE)</f>
        <v>398</v>
      </c>
      <c r="BE43" s="5">
        <f t="shared" si="58"/>
        <v>207895</v>
      </c>
      <c r="BF43" s="5">
        <f t="shared" si="59"/>
        <v>-62374</v>
      </c>
      <c r="BG43" s="5">
        <f t="shared" si="60"/>
        <v>0</v>
      </c>
      <c r="BH43" s="5">
        <f>VLOOKUP($AF43,'251018'!$A$1:$M$200,4,FALSE)</f>
        <v>1079049</v>
      </c>
    </row>
    <row r="44" spans="1:60" x14ac:dyDescent="0.3">
      <c r="B44" s="5" t="s">
        <v>792</v>
      </c>
      <c r="C44" s="5">
        <f>VLOOKUP($B44,'251008_0시'!$A$1:$M$200,4,FALSE)</f>
        <v>318461</v>
      </c>
      <c r="D44" s="5">
        <f>VLOOKUP($B44,'251008_0시'!$A$1:$M$200,5,FALSE)</f>
        <v>700</v>
      </c>
      <c r="E44" s="5">
        <f>VLOOKUP($B44,'251009_0시'!$A$1:$M$200,4,FALSE)</f>
        <v>505865</v>
      </c>
      <c r="F44" s="5">
        <f>VLOOKUP($B44,'251009_0시'!$A$1:$M$200,5,FALSE)</f>
        <v>700</v>
      </c>
      <c r="G44" s="5">
        <f t="shared" si="31"/>
        <v>187404</v>
      </c>
      <c r="H44" s="5">
        <f t="shared" si="32"/>
        <v>28173.5</v>
      </c>
      <c r="I44" s="5">
        <f t="shared" si="33"/>
        <v>0</v>
      </c>
      <c r="J44" s="5">
        <f>VLOOKUP($B44,'251010_0시'!$A$1:$M$200,4,FALSE)</f>
        <v>668011</v>
      </c>
      <c r="K44" s="5">
        <f>VLOOKUP($B44,'251010_0시'!$A$1:$M$200,5,FALSE)</f>
        <v>2942</v>
      </c>
      <c r="L44" s="5">
        <f t="shared" si="34"/>
        <v>162146</v>
      </c>
      <c r="M44" s="5">
        <f t="shared" si="35"/>
        <v>-25258</v>
      </c>
      <c r="N44" s="5">
        <f t="shared" si="36"/>
        <v>2242</v>
      </c>
      <c r="O44" s="5">
        <f>VLOOKUP($B44,'251011_0시'!$A$1:$M$200,4,FALSE)</f>
        <v>814777</v>
      </c>
      <c r="P44" s="5">
        <f>VLOOKUP($B44,'251011_0시'!$A$1:$M$200,5,FALSE)</f>
        <v>4292</v>
      </c>
      <c r="Q44" s="5">
        <f t="shared" si="37"/>
        <v>146766</v>
      </c>
      <c r="R44" s="5">
        <f t="shared" si="38"/>
        <v>-15380</v>
      </c>
      <c r="S44" s="5">
        <f t="shared" si="39"/>
        <v>1350</v>
      </c>
      <c r="T44" s="5">
        <f>VLOOKUP($B44,'251012_0시'!$A$1:$M$200,4,FALSE)</f>
        <v>996229</v>
      </c>
      <c r="U44" s="5">
        <f>VLOOKUP($B44,'251012_0시'!$A$1:$M$200,5,FALSE)</f>
        <v>4342</v>
      </c>
      <c r="V44" s="5">
        <f t="shared" si="40"/>
        <v>181452</v>
      </c>
      <c r="W44" s="5">
        <f t="shared" si="41"/>
        <v>34686</v>
      </c>
      <c r="X44" s="5">
        <f t="shared" si="42"/>
        <v>50</v>
      </c>
      <c r="Y44" s="5">
        <f>VLOOKUP($B44,'251013_0시'!$A$1:$M$200,4,FALSE)</f>
        <v>1182030</v>
      </c>
      <c r="Z44" s="5">
        <f>VLOOKUP($B44,'251013_0시'!$A$1:$M$200,5,FALSE)</f>
        <v>4342</v>
      </c>
      <c r="AA44" s="5">
        <f t="shared" si="43"/>
        <v>185801</v>
      </c>
      <c r="AB44" s="5">
        <f t="shared" si="44"/>
        <v>4349</v>
      </c>
      <c r="AC44" s="5">
        <f t="shared" si="45"/>
        <v>0</v>
      </c>
      <c r="AD44" s="5">
        <f>VLOOKUP($B44,'251013_0시'!$A$1:$M$200,4,FALSE)</f>
        <v>1182030</v>
      </c>
      <c r="AF44" s="5" t="s">
        <v>792</v>
      </c>
      <c r="AG44" s="5">
        <f>VLOOKUP($AF44,'251013'!$A$1:$M$200,4,FALSE)</f>
        <v>149600</v>
      </c>
      <c r="AH44" s="5">
        <f>VLOOKUP($AF44,'251013'!$A$1:$M$200,5,FALSE)</f>
        <v>0</v>
      </c>
      <c r="AI44" s="5">
        <f>VLOOKUP($AF44,'251014'!$A$1:$M$200,4,FALSE)</f>
        <v>282558</v>
      </c>
      <c r="AJ44" s="5">
        <f>VLOOKUP($AF44,'251014'!$A$1:$M$200,5,FALSE)</f>
        <v>0</v>
      </c>
      <c r="AK44" s="5">
        <f t="shared" si="46"/>
        <v>132958</v>
      </c>
      <c r="AL44" s="5">
        <f t="shared" si="47"/>
        <v>-16642</v>
      </c>
      <c r="AM44" s="5">
        <f t="shared" si="48"/>
        <v>0</v>
      </c>
      <c r="AN44" s="5">
        <f>VLOOKUP($AF44,'251015'!$A$1:$M$200,4,FALSE)</f>
        <v>512691</v>
      </c>
      <c r="AO44" s="5">
        <f>VLOOKUP($AF44,'251015'!$A$1:$M$200,5,FALSE)</f>
        <v>0</v>
      </c>
      <c r="AP44" s="5">
        <f t="shared" si="49"/>
        <v>230133</v>
      </c>
      <c r="AQ44" s="5">
        <f t="shared" si="50"/>
        <v>97175</v>
      </c>
      <c r="AR44" s="5">
        <f t="shared" si="51"/>
        <v>0</v>
      </c>
      <c r="AS44" s="5">
        <f>VLOOKUP($AF44,'251016'!$A$1:$M$200,4,FALSE)</f>
        <v>705112</v>
      </c>
      <c r="AT44" s="5">
        <f>VLOOKUP($AF44,'251016'!$A$1:$M$200,5,FALSE)</f>
        <v>2700</v>
      </c>
      <c r="AU44" s="5">
        <f t="shared" si="52"/>
        <v>192421</v>
      </c>
      <c r="AV44" s="5">
        <f t="shared" si="53"/>
        <v>-37712</v>
      </c>
      <c r="AW44" s="5">
        <f t="shared" si="54"/>
        <v>2700</v>
      </c>
      <c r="AX44" s="5">
        <f>VLOOKUP($AF44,'251017'!$A$1:$M$200,4,FALSE)</f>
        <v>892514</v>
      </c>
      <c r="AY44" s="5">
        <f>VLOOKUP($AF44,'251017'!$A$1:$M$200,5,FALSE)</f>
        <v>7301</v>
      </c>
      <c r="AZ44" s="5">
        <f t="shared" si="55"/>
        <v>187402</v>
      </c>
      <c r="BA44" s="5">
        <f t="shared" si="56"/>
        <v>-5019</v>
      </c>
      <c r="BB44" s="5">
        <f t="shared" si="57"/>
        <v>4601</v>
      </c>
      <c r="BC44" s="5">
        <f>VLOOKUP($AF44,'251018'!$A$1:$M$200,4,FALSE)</f>
        <v>1078083</v>
      </c>
      <c r="BD44" s="5">
        <f>VLOOKUP($AF44,'251018'!$A$1:$M$200,5,FALSE)</f>
        <v>10451</v>
      </c>
      <c r="BE44" s="5">
        <f t="shared" si="58"/>
        <v>185569</v>
      </c>
      <c r="BF44" s="5">
        <f t="shared" si="59"/>
        <v>-1833</v>
      </c>
      <c r="BG44" s="5">
        <f t="shared" si="60"/>
        <v>3150</v>
      </c>
      <c r="BH44" s="5">
        <f>VLOOKUP($AF44,'251018'!$A$1:$M$200,4,FALSE)</f>
        <v>1078083</v>
      </c>
    </row>
    <row r="45" spans="1:60" x14ac:dyDescent="0.3">
      <c r="B45" s="5" t="s">
        <v>800</v>
      </c>
      <c r="C45" s="5">
        <f>VLOOKUP($B45,'251008_0시'!$A$1:$M$200,4,FALSE)</f>
        <v>345392</v>
      </c>
      <c r="D45" s="5">
        <f>VLOOKUP($B45,'251008_0시'!$A$1:$M$200,5,FALSE)</f>
        <v>0</v>
      </c>
      <c r="E45" s="5">
        <f>VLOOKUP($B45,'251009_0시'!$A$1:$M$200,4,FALSE)</f>
        <v>550847</v>
      </c>
      <c r="F45" s="5">
        <f>VLOOKUP($B45,'251009_0시'!$A$1:$M$200,5,FALSE)</f>
        <v>77</v>
      </c>
      <c r="G45" s="5">
        <f t="shared" si="31"/>
        <v>205455</v>
      </c>
      <c r="H45" s="5">
        <f t="shared" si="32"/>
        <v>32759</v>
      </c>
      <c r="I45" s="5">
        <f t="shared" si="33"/>
        <v>77</v>
      </c>
      <c r="J45" s="5">
        <f>VLOOKUP($B45,'251010_0시'!$A$1:$M$200,4,FALSE)</f>
        <v>762582</v>
      </c>
      <c r="K45" s="5">
        <f>VLOOKUP($B45,'251010_0시'!$A$1:$M$200,5,FALSE)</f>
        <v>274</v>
      </c>
      <c r="L45" s="5">
        <f t="shared" si="34"/>
        <v>211735</v>
      </c>
      <c r="M45" s="5">
        <f t="shared" si="35"/>
        <v>6280</v>
      </c>
      <c r="N45" s="5">
        <f t="shared" si="36"/>
        <v>197</v>
      </c>
      <c r="O45" s="5">
        <f>VLOOKUP($B45,'251011_0시'!$A$1:$M$200,4,FALSE)</f>
        <v>892946</v>
      </c>
      <c r="P45" s="5">
        <f>VLOOKUP($B45,'251011_0시'!$A$1:$M$200,5,FALSE)</f>
        <v>274</v>
      </c>
      <c r="Q45" s="5">
        <f t="shared" si="37"/>
        <v>130364</v>
      </c>
      <c r="R45" s="5">
        <f t="shared" si="38"/>
        <v>-81371</v>
      </c>
      <c r="S45" s="5">
        <f t="shared" si="39"/>
        <v>0</v>
      </c>
      <c r="T45" s="5">
        <f>VLOOKUP($B45,'251012_0시'!$A$1:$M$200,4,FALSE)</f>
        <v>1016977</v>
      </c>
      <c r="U45" s="5">
        <f>VLOOKUP($B45,'251012_0시'!$A$1:$M$200,5,FALSE)</f>
        <v>274</v>
      </c>
      <c r="V45" s="5">
        <f t="shared" si="40"/>
        <v>124031</v>
      </c>
      <c r="W45" s="5">
        <f t="shared" si="41"/>
        <v>-6333</v>
      </c>
      <c r="X45" s="5">
        <f t="shared" si="42"/>
        <v>0</v>
      </c>
      <c r="Y45" s="5">
        <f>VLOOKUP($B45,'251013_0시'!$A$1:$M$200,4,FALSE)</f>
        <v>1179803</v>
      </c>
      <c r="Z45" s="5">
        <f>VLOOKUP($B45,'251013_0시'!$A$1:$M$200,5,FALSE)</f>
        <v>274</v>
      </c>
      <c r="AA45" s="5">
        <f t="shared" si="43"/>
        <v>162826</v>
      </c>
      <c r="AB45" s="5">
        <f t="shared" si="44"/>
        <v>38795</v>
      </c>
      <c r="AC45" s="5">
        <f t="shared" si="45"/>
        <v>0</v>
      </c>
      <c r="AD45" s="5">
        <f>VLOOKUP($B45,'251013_0시'!$A$1:$M$200,4,FALSE)</f>
        <v>1179803</v>
      </c>
      <c r="AF45" s="5" t="s">
        <v>772</v>
      </c>
      <c r="AG45" s="5">
        <f>VLOOKUP($AF45,'251013'!$A$1:$M$200,4,FALSE)</f>
        <v>182307</v>
      </c>
      <c r="AH45" s="5">
        <f>VLOOKUP($AF45,'251013'!$A$1:$M$200,5,FALSE)</f>
        <v>472</v>
      </c>
      <c r="AI45" s="5">
        <f>VLOOKUP($AF45,'251014'!$A$1:$M$200,4,FALSE)</f>
        <v>340289</v>
      </c>
      <c r="AJ45" s="5">
        <f>VLOOKUP($AF45,'251014'!$A$1:$M$200,5,FALSE)</f>
        <v>472</v>
      </c>
      <c r="AK45" s="5">
        <f t="shared" si="46"/>
        <v>157982</v>
      </c>
      <c r="AL45" s="5">
        <f t="shared" si="47"/>
        <v>-24325</v>
      </c>
      <c r="AM45" s="5">
        <f t="shared" si="48"/>
        <v>0</v>
      </c>
      <c r="AN45" s="5">
        <f>VLOOKUP($AF45,'251015'!$A$1:$M$200,4,FALSE)</f>
        <v>518260</v>
      </c>
      <c r="AO45" s="5">
        <f>VLOOKUP($AF45,'251015'!$A$1:$M$200,5,FALSE)</f>
        <v>522</v>
      </c>
      <c r="AP45" s="5">
        <f t="shared" si="49"/>
        <v>177971</v>
      </c>
      <c r="AQ45" s="5">
        <f t="shared" si="50"/>
        <v>19989</v>
      </c>
      <c r="AR45" s="5">
        <f t="shared" si="51"/>
        <v>50</v>
      </c>
      <c r="AS45" s="5">
        <f>VLOOKUP($AF45,'251016'!$A$1:$M$200,4,FALSE)</f>
        <v>704953</v>
      </c>
      <c r="AT45" s="5">
        <f>VLOOKUP($AF45,'251016'!$A$1:$M$200,5,FALSE)</f>
        <v>522</v>
      </c>
      <c r="AU45" s="5">
        <f t="shared" si="52"/>
        <v>186693</v>
      </c>
      <c r="AV45" s="5">
        <f t="shared" si="53"/>
        <v>8722</v>
      </c>
      <c r="AW45" s="5">
        <f t="shared" si="54"/>
        <v>0</v>
      </c>
      <c r="AX45" s="5">
        <f>VLOOKUP($AF45,'251017'!$A$1:$M$200,4,FALSE)</f>
        <v>900640</v>
      </c>
      <c r="AY45" s="5">
        <f>VLOOKUP($AF45,'251017'!$A$1:$M$200,5,FALSE)</f>
        <v>522</v>
      </c>
      <c r="AZ45" s="5">
        <f t="shared" si="55"/>
        <v>195687</v>
      </c>
      <c r="BA45" s="5">
        <f t="shared" si="56"/>
        <v>8994</v>
      </c>
      <c r="BB45" s="5">
        <f t="shared" si="57"/>
        <v>0</v>
      </c>
      <c r="BC45" s="5">
        <f>VLOOKUP($AF45,'251018'!$A$1:$M$200,4,FALSE)</f>
        <v>1076134</v>
      </c>
      <c r="BD45" s="5">
        <f>VLOOKUP($AF45,'251018'!$A$1:$M$200,5,FALSE)</f>
        <v>522</v>
      </c>
      <c r="BE45" s="5">
        <f t="shared" si="58"/>
        <v>175494</v>
      </c>
      <c r="BF45" s="5">
        <f t="shared" si="59"/>
        <v>-20193</v>
      </c>
      <c r="BG45" s="5">
        <f t="shared" si="60"/>
        <v>0</v>
      </c>
      <c r="BH45" s="5">
        <f>VLOOKUP($AF45,'251018'!$A$1:$M$200,4,FALSE)</f>
        <v>1076134</v>
      </c>
    </row>
    <row r="46" spans="1:60" x14ac:dyDescent="0.3">
      <c r="A46" t="s">
        <v>700</v>
      </c>
      <c r="B46" s="5" t="s">
        <v>765</v>
      </c>
      <c r="C46" s="5">
        <f>VLOOKUP($B46,'251008_0시'!$A$1:$M$200,4,FALSE)</f>
        <v>370168</v>
      </c>
      <c r="D46" s="5">
        <f>VLOOKUP($B46,'251008_0시'!$A$1:$M$200,5,FALSE)</f>
        <v>2300</v>
      </c>
      <c r="E46" s="5">
        <f>VLOOKUP($B46,'251009_0시'!$A$1:$M$200,4,FALSE)</f>
        <v>595673</v>
      </c>
      <c r="F46" s="5">
        <f>VLOOKUP($B46,'251009_0시'!$A$1:$M$200,5,FALSE)</f>
        <v>3550</v>
      </c>
      <c r="G46" s="5">
        <f t="shared" si="31"/>
        <v>225505</v>
      </c>
      <c r="H46" s="5">
        <f t="shared" si="32"/>
        <v>40421</v>
      </c>
      <c r="I46" s="5">
        <f t="shared" si="33"/>
        <v>1250</v>
      </c>
      <c r="J46" s="5">
        <f>VLOOKUP($B46,'251010_0시'!$A$1:$M$200,4,FALSE)</f>
        <v>769550</v>
      </c>
      <c r="K46" s="5">
        <f>VLOOKUP($B46,'251010_0시'!$A$1:$M$200,5,FALSE)</f>
        <v>6050</v>
      </c>
      <c r="L46" s="5">
        <f t="shared" si="34"/>
        <v>173877</v>
      </c>
      <c r="M46" s="5">
        <f t="shared" si="35"/>
        <v>-51628</v>
      </c>
      <c r="N46" s="5">
        <f t="shared" si="36"/>
        <v>2500</v>
      </c>
      <c r="O46" s="5">
        <f>VLOOKUP($B46,'251011_0시'!$A$1:$M$200,4,FALSE)</f>
        <v>895909</v>
      </c>
      <c r="P46" s="5">
        <f>VLOOKUP($B46,'251011_0시'!$A$1:$M$200,5,FALSE)</f>
        <v>6500</v>
      </c>
      <c r="Q46" s="5">
        <f t="shared" si="37"/>
        <v>126359</v>
      </c>
      <c r="R46" s="5">
        <f t="shared" si="38"/>
        <v>-47518</v>
      </c>
      <c r="S46" s="5">
        <f t="shared" si="39"/>
        <v>450</v>
      </c>
      <c r="T46" s="5">
        <f>VLOOKUP($B46,'251012_0시'!$A$1:$M$200,4,FALSE)</f>
        <v>1041612</v>
      </c>
      <c r="U46" s="5">
        <f>VLOOKUP($B46,'251012_0시'!$A$1:$M$200,5,FALSE)</f>
        <v>7150</v>
      </c>
      <c r="V46" s="5">
        <f t="shared" si="40"/>
        <v>145703</v>
      </c>
      <c r="W46" s="5">
        <f t="shared" si="41"/>
        <v>19344</v>
      </c>
      <c r="X46" s="5">
        <f t="shared" si="42"/>
        <v>650</v>
      </c>
      <c r="Y46" s="5">
        <f>VLOOKUP($B46,'251013_0시'!$A$1:$M$200,4,FALSE)</f>
        <v>1168590</v>
      </c>
      <c r="Z46" s="5">
        <f>VLOOKUP($B46,'251013_0시'!$A$1:$M$200,5,FALSE)</f>
        <v>8050</v>
      </c>
      <c r="AA46" s="5">
        <f t="shared" si="43"/>
        <v>126978</v>
      </c>
      <c r="AB46" s="5">
        <f t="shared" si="44"/>
        <v>-18725</v>
      </c>
      <c r="AC46" s="5">
        <f t="shared" si="45"/>
        <v>900</v>
      </c>
      <c r="AD46" s="5">
        <f>VLOOKUP($B46,'251013_0시'!$A$1:$M$200,4,FALSE)</f>
        <v>1168590</v>
      </c>
      <c r="AF46" s="5" t="s">
        <v>777</v>
      </c>
      <c r="AG46" s="5">
        <f>VLOOKUP($AF46,'251013'!$A$1:$M$200,4,FALSE)</f>
        <v>179829</v>
      </c>
      <c r="AH46" s="5">
        <f>VLOOKUP($AF46,'251013'!$A$1:$M$200,5,FALSE)</f>
        <v>4950</v>
      </c>
      <c r="AI46" s="5">
        <f>VLOOKUP($AF46,'251014'!$A$1:$M$200,4,FALSE)</f>
        <v>356492</v>
      </c>
      <c r="AJ46" s="5">
        <f>VLOOKUP($AF46,'251014'!$A$1:$M$200,5,FALSE)</f>
        <v>11250</v>
      </c>
      <c r="AK46" s="5">
        <f t="shared" si="46"/>
        <v>176663</v>
      </c>
      <c r="AL46" s="5">
        <f t="shared" si="47"/>
        <v>-3166</v>
      </c>
      <c r="AM46" s="5">
        <f t="shared" si="48"/>
        <v>6300</v>
      </c>
      <c r="AN46" s="5">
        <f>VLOOKUP($AF46,'251015'!$A$1:$M$200,4,FALSE)</f>
        <v>546154</v>
      </c>
      <c r="AO46" s="5">
        <f>VLOOKUP($AF46,'251015'!$A$1:$M$200,5,FALSE)</f>
        <v>11250</v>
      </c>
      <c r="AP46" s="5">
        <f t="shared" si="49"/>
        <v>189662</v>
      </c>
      <c r="AQ46" s="5">
        <f t="shared" si="50"/>
        <v>12999</v>
      </c>
      <c r="AR46" s="5">
        <f t="shared" si="51"/>
        <v>0</v>
      </c>
      <c r="AS46" s="5">
        <f>VLOOKUP($AF46,'251016'!$A$1:$M$200,4,FALSE)</f>
        <v>733004</v>
      </c>
      <c r="AT46" s="5">
        <f>VLOOKUP($AF46,'251016'!$A$1:$M$200,5,FALSE)</f>
        <v>11250</v>
      </c>
      <c r="AU46" s="5">
        <f t="shared" si="52"/>
        <v>186850</v>
      </c>
      <c r="AV46" s="5">
        <f t="shared" si="53"/>
        <v>-2812</v>
      </c>
      <c r="AW46" s="5">
        <f t="shared" si="54"/>
        <v>0</v>
      </c>
      <c r="AX46" s="5">
        <f>VLOOKUP($AF46,'251017'!$A$1:$M$200,4,FALSE)</f>
        <v>897969</v>
      </c>
      <c r="AY46" s="5">
        <f>VLOOKUP($AF46,'251017'!$A$1:$M$200,5,FALSE)</f>
        <v>11250</v>
      </c>
      <c r="AZ46" s="5">
        <f t="shared" si="55"/>
        <v>164965</v>
      </c>
      <c r="BA46" s="5">
        <f t="shared" si="56"/>
        <v>-21885</v>
      </c>
      <c r="BB46" s="5">
        <f t="shared" si="57"/>
        <v>0</v>
      </c>
      <c r="BC46" s="5">
        <f>VLOOKUP($AF46,'251018'!$A$1:$M$200,4,FALSE)</f>
        <v>1073879</v>
      </c>
      <c r="BD46" s="5">
        <f>VLOOKUP($AF46,'251018'!$A$1:$M$200,5,FALSE)</f>
        <v>11700</v>
      </c>
      <c r="BE46" s="5">
        <f t="shared" si="58"/>
        <v>175910</v>
      </c>
      <c r="BF46" s="5">
        <f t="shared" si="59"/>
        <v>10945</v>
      </c>
      <c r="BG46" s="5">
        <f t="shared" si="60"/>
        <v>450</v>
      </c>
      <c r="BH46" s="5">
        <f>VLOOKUP($AF46,'251018'!$A$1:$M$200,4,FALSE)</f>
        <v>1073879</v>
      </c>
    </row>
    <row r="47" spans="1:60" x14ac:dyDescent="0.3">
      <c r="B47" s="5" t="s">
        <v>950</v>
      </c>
      <c r="C47" s="5">
        <f>VLOOKUP($B47,'251008_0시'!$A$1:$M$200,4,FALSE)</f>
        <v>340252</v>
      </c>
      <c r="D47" s="5">
        <f>VLOOKUP($B47,'251008_0시'!$A$1:$M$200,5,FALSE)</f>
        <v>0</v>
      </c>
      <c r="E47" s="5">
        <f>VLOOKUP($B47,'251009_0시'!$A$1:$M$200,4,FALSE)</f>
        <v>514608</v>
      </c>
      <c r="F47" s="5">
        <f>VLOOKUP($B47,'251009_0시'!$A$1:$M$200,5,FALSE)</f>
        <v>350</v>
      </c>
      <c r="G47" s="5">
        <f t="shared" si="31"/>
        <v>174356</v>
      </c>
      <c r="H47" s="5">
        <f t="shared" si="32"/>
        <v>4230</v>
      </c>
      <c r="I47" s="5">
        <f t="shared" si="33"/>
        <v>350</v>
      </c>
      <c r="J47" s="5">
        <f>VLOOKUP($B47,'251010_0시'!$A$1:$M$200,4,FALSE)</f>
        <v>686031</v>
      </c>
      <c r="K47" s="5">
        <f>VLOOKUP($B47,'251010_0시'!$A$1:$M$200,5,FALSE)</f>
        <v>872</v>
      </c>
      <c r="L47" s="5">
        <f t="shared" si="34"/>
        <v>171423</v>
      </c>
      <c r="M47" s="5">
        <f t="shared" si="35"/>
        <v>-2933</v>
      </c>
      <c r="N47" s="5">
        <f t="shared" si="36"/>
        <v>522</v>
      </c>
      <c r="O47" s="5">
        <f>VLOOKUP($B47,'251011_0시'!$A$1:$M$200,4,FALSE)</f>
        <v>829738</v>
      </c>
      <c r="P47" s="5">
        <f>VLOOKUP($B47,'251011_0시'!$A$1:$M$200,5,FALSE)</f>
        <v>872</v>
      </c>
      <c r="Q47" s="5">
        <f t="shared" si="37"/>
        <v>143707</v>
      </c>
      <c r="R47" s="5">
        <f t="shared" si="38"/>
        <v>-27716</v>
      </c>
      <c r="S47" s="5">
        <f t="shared" si="39"/>
        <v>0</v>
      </c>
      <c r="T47" s="5">
        <f>VLOOKUP($B47,'251012_0시'!$A$1:$M$200,4,FALSE)</f>
        <v>991593</v>
      </c>
      <c r="U47" s="5">
        <f>VLOOKUP($B47,'251012_0시'!$A$1:$M$200,5,FALSE)</f>
        <v>1133</v>
      </c>
      <c r="V47" s="5">
        <f t="shared" si="40"/>
        <v>161855</v>
      </c>
      <c r="W47" s="5">
        <f t="shared" si="41"/>
        <v>18148</v>
      </c>
      <c r="X47" s="5">
        <f t="shared" si="42"/>
        <v>261</v>
      </c>
      <c r="Y47" s="5">
        <f>VLOOKUP($B47,'251013_0시'!$A$1:$M$200,4,FALSE)</f>
        <v>1168075</v>
      </c>
      <c r="Z47" s="5">
        <f>VLOOKUP($B47,'251013_0시'!$A$1:$M$200,5,FALSE)</f>
        <v>1183</v>
      </c>
      <c r="AA47" s="5">
        <f t="shared" si="43"/>
        <v>176482</v>
      </c>
      <c r="AB47" s="5">
        <f t="shared" si="44"/>
        <v>14627</v>
      </c>
      <c r="AC47" s="5">
        <f t="shared" si="45"/>
        <v>50</v>
      </c>
      <c r="AD47" s="5">
        <f>VLOOKUP($B47,'251013_0시'!$A$1:$M$200,4,FALSE)</f>
        <v>1168075</v>
      </c>
      <c r="AF47" s="5" t="s">
        <v>769</v>
      </c>
      <c r="AG47" s="5">
        <f>VLOOKUP($AF47,'251013'!$A$1:$M$200,4,FALSE)</f>
        <v>192727</v>
      </c>
      <c r="AH47" s="5">
        <f>VLOOKUP($AF47,'251013'!$A$1:$M$200,5,FALSE)</f>
        <v>600</v>
      </c>
      <c r="AI47" s="5">
        <f>VLOOKUP($AF47,'251014'!$A$1:$M$200,4,FALSE)</f>
        <v>371039</v>
      </c>
      <c r="AJ47" s="5">
        <f>VLOOKUP($AF47,'251014'!$A$1:$M$200,5,FALSE)</f>
        <v>802</v>
      </c>
      <c r="AK47" s="5">
        <f t="shared" si="46"/>
        <v>178312</v>
      </c>
      <c r="AL47" s="5">
        <f t="shared" si="47"/>
        <v>-14415</v>
      </c>
      <c r="AM47" s="5">
        <f t="shared" si="48"/>
        <v>202</v>
      </c>
      <c r="AN47" s="5">
        <f>VLOOKUP($AF47,'251015'!$A$1:$M$200,4,FALSE)</f>
        <v>544657</v>
      </c>
      <c r="AO47" s="5">
        <f>VLOOKUP($AF47,'251015'!$A$1:$M$200,5,FALSE)</f>
        <v>802</v>
      </c>
      <c r="AP47" s="5">
        <f t="shared" si="49"/>
        <v>173618</v>
      </c>
      <c r="AQ47" s="5">
        <f t="shared" si="50"/>
        <v>-4694</v>
      </c>
      <c r="AR47" s="5">
        <f t="shared" si="51"/>
        <v>0</v>
      </c>
      <c r="AS47" s="5">
        <f>VLOOKUP($AF47,'251016'!$A$1:$M$200,4,FALSE)</f>
        <v>685581</v>
      </c>
      <c r="AT47" s="5">
        <f>VLOOKUP($AF47,'251016'!$A$1:$M$200,5,FALSE)</f>
        <v>802</v>
      </c>
      <c r="AU47" s="5">
        <f t="shared" si="52"/>
        <v>140924</v>
      </c>
      <c r="AV47" s="5">
        <f t="shared" si="53"/>
        <v>-32694</v>
      </c>
      <c r="AW47" s="5">
        <f t="shared" si="54"/>
        <v>0</v>
      </c>
      <c r="AX47" s="5">
        <f>VLOOKUP($AF47,'251017'!$A$1:$M$200,4,FALSE)</f>
        <v>874630</v>
      </c>
      <c r="AY47" s="5">
        <f>VLOOKUP($AF47,'251017'!$A$1:$M$200,5,FALSE)</f>
        <v>852</v>
      </c>
      <c r="AZ47" s="5">
        <f t="shared" si="55"/>
        <v>189049</v>
      </c>
      <c r="BA47" s="5">
        <f t="shared" si="56"/>
        <v>48125</v>
      </c>
      <c r="BB47" s="5">
        <f t="shared" si="57"/>
        <v>50</v>
      </c>
      <c r="BC47" s="5">
        <f>VLOOKUP($AF47,'251018'!$A$1:$M$200,4,FALSE)</f>
        <v>1059851</v>
      </c>
      <c r="BD47" s="5">
        <f>VLOOKUP($AF47,'251018'!$A$1:$M$200,5,FALSE)</f>
        <v>1052</v>
      </c>
      <c r="BE47" s="5">
        <f t="shared" si="58"/>
        <v>185221</v>
      </c>
      <c r="BF47" s="5">
        <f t="shared" si="59"/>
        <v>-3828</v>
      </c>
      <c r="BG47" s="5">
        <f t="shared" si="60"/>
        <v>200</v>
      </c>
      <c r="BH47" s="5">
        <f>VLOOKUP($AF47,'251018'!$A$1:$M$200,4,FALSE)</f>
        <v>1059851</v>
      </c>
    </row>
    <row r="48" spans="1:60" x14ac:dyDescent="0.3">
      <c r="B48" s="5" t="s">
        <v>770</v>
      </c>
      <c r="C48" s="5">
        <f>VLOOKUP($B48,'251008_0시'!$A$1:$M$200,4,FALSE)</f>
        <v>300721</v>
      </c>
      <c r="D48" s="5">
        <f>VLOOKUP($B48,'251008_0시'!$A$1:$M$200,5,FALSE)</f>
        <v>650</v>
      </c>
      <c r="E48" s="5">
        <f>VLOOKUP($B48,'251009_0시'!$A$1:$M$200,4,FALSE)</f>
        <v>464818</v>
      </c>
      <c r="F48" s="5">
        <f>VLOOKUP($B48,'251009_0시'!$A$1:$M$200,5,FALSE)</f>
        <v>870</v>
      </c>
      <c r="G48" s="5">
        <f t="shared" si="31"/>
        <v>164097</v>
      </c>
      <c r="H48" s="5">
        <f t="shared" si="32"/>
        <v>13736.5</v>
      </c>
      <c r="I48" s="5">
        <f t="shared" si="33"/>
        <v>220</v>
      </c>
      <c r="J48" s="5">
        <f>VLOOKUP($B48,'251010_0시'!$A$1:$M$200,4,FALSE)</f>
        <v>646039</v>
      </c>
      <c r="K48" s="5">
        <f>VLOOKUP($B48,'251010_0시'!$A$1:$M$200,5,FALSE)</f>
        <v>2677</v>
      </c>
      <c r="L48" s="5">
        <f t="shared" si="34"/>
        <v>181221</v>
      </c>
      <c r="M48" s="5">
        <f t="shared" si="35"/>
        <v>17124</v>
      </c>
      <c r="N48" s="5">
        <f t="shared" si="36"/>
        <v>1807</v>
      </c>
      <c r="O48" s="5">
        <f>VLOOKUP($B48,'251011_0시'!$A$1:$M$200,4,FALSE)</f>
        <v>815142</v>
      </c>
      <c r="P48" s="5">
        <f>VLOOKUP($B48,'251011_0시'!$A$1:$M$200,5,FALSE)</f>
        <v>4127</v>
      </c>
      <c r="Q48" s="5">
        <f t="shared" si="37"/>
        <v>169103</v>
      </c>
      <c r="R48" s="5">
        <f t="shared" si="38"/>
        <v>-12118</v>
      </c>
      <c r="S48" s="5">
        <f t="shared" si="39"/>
        <v>1450</v>
      </c>
      <c r="T48" s="5">
        <f>VLOOKUP($B48,'251012_0시'!$A$1:$M$200,4,FALSE)</f>
        <v>979729</v>
      </c>
      <c r="U48" s="5">
        <f>VLOOKUP($B48,'251012_0시'!$A$1:$M$200,5,FALSE)</f>
        <v>5247</v>
      </c>
      <c r="V48" s="5">
        <f t="shared" si="40"/>
        <v>164587</v>
      </c>
      <c r="W48" s="5">
        <f t="shared" si="41"/>
        <v>-4516</v>
      </c>
      <c r="X48" s="5">
        <f t="shared" si="42"/>
        <v>1120</v>
      </c>
      <c r="Y48" s="5">
        <f>VLOOKUP($B48,'251013_0시'!$A$1:$M$200,4,FALSE)</f>
        <v>1166059</v>
      </c>
      <c r="Z48" s="5">
        <f>VLOOKUP($B48,'251013_0시'!$A$1:$M$200,5,FALSE)</f>
        <v>6997</v>
      </c>
      <c r="AA48" s="5">
        <f t="shared" si="43"/>
        <v>186330</v>
      </c>
      <c r="AB48" s="5">
        <f t="shared" si="44"/>
        <v>21743</v>
      </c>
      <c r="AC48" s="5">
        <f t="shared" si="45"/>
        <v>1750</v>
      </c>
      <c r="AD48" s="5">
        <f>VLOOKUP($B48,'251013_0시'!$A$1:$M$200,4,FALSE)</f>
        <v>1166059</v>
      </c>
      <c r="AF48" s="5" t="s">
        <v>756</v>
      </c>
      <c r="AG48" s="5">
        <f>VLOOKUP($AF48,'251013'!$A$1:$M$200,4,FALSE)</f>
        <v>160998</v>
      </c>
      <c r="AH48" s="5">
        <f>VLOOKUP($AF48,'251013'!$A$1:$M$200,5,FALSE)</f>
        <v>376</v>
      </c>
      <c r="AI48" s="5">
        <f>VLOOKUP($AF48,'251014'!$A$1:$M$200,4,FALSE)</f>
        <v>302816</v>
      </c>
      <c r="AJ48" s="5">
        <f>VLOOKUP($AF48,'251014'!$A$1:$M$200,5,FALSE)</f>
        <v>376</v>
      </c>
      <c r="AK48" s="5">
        <f t="shared" si="46"/>
        <v>141818</v>
      </c>
      <c r="AL48" s="5">
        <f t="shared" si="47"/>
        <v>-19180</v>
      </c>
      <c r="AM48" s="5">
        <f t="shared" si="48"/>
        <v>0</v>
      </c>
      <c r="AN48" s="5">
        <f>VLOOKUP($AF48,'251015'!$A$1:$M$200,4,FALSE)</f>
        <v>495491</v>
      </c>
      <c r="AO48" s="5">
        <f>VLOOKUP($AF48,'251015'!$A$1:$M$200,5,FALSE)</f>
        <v>376</v>
      </c>
      <c r="AP48" s="5">
        <f t="shared" si="49"/>
        <v>192675</v>
      </c>
      <c r="AQ48" s="5">
        <f t="shared" si="50"/>
        <v>50857</v>
      </c>
      <c r="AR48" s="5">
        <f t="shared" si="51"/>
        <v>0</v>
      </c>
      <c r="AS48" s="5">
        <f>VLOOKUP($AF48,'251016'!$A$1:$M$200,4,FALSE)</f>
        <v>614131</v>
      </c>
      <c r="AT48" s="5">
        <f>VLOOKUP($AF48,'251016'!$A$1:$M$200,5,FALSE)</f>
        <v>426</v>
      </c>
      <c r="AU48" s="5">
        <f t="shared" si="52"/>
        <v>118640</v>
      </c>
      <c r="AV48" s="5">
        <f t="shared" si="53"/>
        <v>-74035</v>
      </c>
      <c r="AW48" s="5">
        <f t="shared" si="54"/>
        <v>50</v>
      </c>
      <c r="AX48" s="5">
        <f>VLOOKUP($AF48,'251017'!$A$1:$M$200,4,FALSE)</f>
        <v>841072</v>
      </c>
      <c r="AY48" s="5">
        <f>VLOOKUP($AF48,'251017'!$A$1:$M$200,5,FALSE)</f>
        <v>426</v>
      </c>
      <c r="AZ48" s="5">
        <f t="shared" si="55"/>
        <v>226941</v>
      </c>
      <c r="BA48" s="5">
        <f t="shared" si="56"/>
        <v>108301</v>
      </c>
      <c r="BB48" s="5">
        <f t="shared" si="57"/>
        <v>0</v>
      </c>
      <c r="BC48" s="5">
        <f>VLOOKUP($AF48,'251018'!$A$1:$M$200,4,FALSE)</f>
        <v>1055346</v>
      </c>
      <c r="BD48" s="5">
        <f>VLOOKUP($AF48,'251018'!$A$1:$M$200,5,FALSE)</f>
        <v>426</v>
      </c>
      <c r="BE48" s="5">
        <f t="shared" si="58"/>
        <v>214274</v>
      </c>
      <c r="BF48" s="5">
        <f t="shared" si="59"/>
        <v>-12667</v>
      </c>
      <c r="BG48" s="5">
        <f t="shared" si="60"/>
        <v>0</v>
      </c>
      <c r="BH48" s="5">
        <f>VLOOKUP($AF48,'251018'!$A$1:$M$200,4,FALSE)</f>
        <v>1055346</v>
      </c>
    </row>
    <row r="49" spans="2:60" x14ac:dyDescent="0.3">
      <c r="B49" s="5" t="s">
        <v>773</v>
      </c>
      <c r="C49" s="5">
        <f>VLOOKUP($B49,'251008_0시'!$A$1:$M$200,4,FALSE)</f>
        <v>270890</v>
      </c>
      <c r="D49" s="5">
        <f>VLOOKUP($B49,'251008_0시'!$A$1:$M$200,5,FALSE)</f>
        <v>350</v>
      </c>
      <c r="E49" s="5">
        <f>VLOOKUP($B49,'251009_0시'!$A$1:$M$200,4,FALSE)</f>
        <v>445287</v>
      </c>
      <c r="F49" s="5">
        <f>VLOOKUP($B49,'251009_0시'!$A$1:$M$200,5,FALSE)</f>
        <v>350</v>
      </c>
      <c r="G49" s="5">
        <f t="shared" si="31"/>
        <v>174397</v>
      </c>
      <c r="H49" s="5">
        <f t="shared" si="32"/>
        <v>38952</v>
      </c>
      <c r="I49" s="5">
        <f t="shared" si="33"/>
        <v>0</v>
      </c>
      <c r="J49" s="5">
        <f>VLOOKUP($B49,'251010_0시'!$A$1:$M$200,4,FALSE)</f>
        <v>616397</v>
      </c>
      <c r="K49" s="5">
        <f>VLOOKUP($B49,'251010_0시'!$A$1:$M$200,5,FALSE)</f>
        <v>350</v>
      </c>
      <c r="L49" s="5">
        <f t="shared" si="34"/>
        <v>171110</v>
      </c>
      <c r="M49" s="5">
        <f t="shared" si="35"/>
        <v>-3287</v>
      </c>
      <c r="N49" s="5">
        <f t="shared" si="36"/>
        <v>0</v>
      </c>
      <c r="O49" s="5">
        <f>VLOOKUP($B49,'251011_0시'!$A$1:$M$200,4,FALSE)</f>
        <v>822833</v>
      </c>
      <c r="P49" s="5">
        <f>VLOOKUP($B49,'251011_0시'!$A$1:$M$200,5,FALSE)</f>
        <v>350</v>
      </c>
      <c r="Q49" s="5">
        <f t="shared" si="37"/>
        <v>206436</v>
      </c>
      <c r="R49" s="5">
        <f t="shared" si="38"/>
        <v>35326</v>
      </c>
      <c r="S49" s="5">
        <f t="shared" si="39"/>
        <v>0</v>
      </c>
      <c r="T49" s="5">
        <f>VLOOKUP($B49,'251012_0시'!$A$1:$M$200,4,FALSE)</f>
        <v>975595</v>
      </c>
      <c r="U49" s="5">
        <f>VLOOKUP($B49,'251012_0시'!$A$1:$M$200,5,FALSE)</f>
        <v>350</v>
      </c>
      <c r="V49" s="5">
        <f t="shared" si="40"/>
        <v>152762</v>
      </c>
      <c r="W49" s="5">
        <f t="shared" si="41"/>
        <v>-53674</v>
      </c>
      <c r="X49" s="5">
        <f t="shared" si="42"/>
        <v>0</v>
      </c>
      <c r="Y49" s="5">
        <f>VLOOKUP($B49,'251013_0시'!$A$1:$M$200,4,FALSE)</f>
        <v>1161257</v>
      </c>
      <c r="Z49" s="5">
        <f>VLOOKUP($B49,'251013_0시'!$A$1:$M$200,5,FALSE)</f>
        <v>350</v>
      </c>
      <c r="AA49" s="5">
        <f t="shared" si="43"/>
        <v>185662</v>
      </c>
      <c r="AB49" s="5">
        <f t="shared" si="44"/>
        <v>32900</v>
      </c>
      <c r="AC49" s="5">
        <f t="shared" si="45"/>
        <v>0</v>
      </c>
      <c r="AD49" s="5">
        <f>VLOOKUP($B49,'251013_0시'!$A$1:$M$200,4,FALSE)</f>
        <v>1161257</v>
      </c>
      <c r="AF49" s="5" t="s">
        <v>799</v>
      </c>
      <c r="AG49" s="5">
        <f>VLOOKUP($AF49,'251013'!$A$1:$M$200,4,FALSE)</f>
        <v>139468</v>
      </c>
      <c r="AH49" s="5">
        <f>VLOOKUP($AF49,'251013'!$A$1:$M$200,5,FALSE)</f>
        <v>1430</v>
      </c>
      <c r="AI49" s="5">
        <f>VLOOKUP($AF49,'251014'!$A$1:$M$200,4,FALSE)</f>
        <v>318845</v>
      </c>
      <c r="AJ49" s="5">
        <f>VLOOKUP($AF49,'251014'!$A$1:$M$200,5,FALSE)</f>
        <v>1430</v>
      </c>
      <c r="AK49" s="5">
        <f t="shared" si="46"/>
        <v>179377</v>
      </c>
      <c r="AL49" s="5">
        <f t="shared" si="47"/>
        <v>39909</v>
      </c>
      <c r="AM49" s="5">
        <f t="shared" si="48"/>
        <v>0</v>
      </c>
      <c r="AN49" s="5">
        <f>VLOOKUP($AF49,'251015'!$A$1:$M$200,4,FALSE)</f>
        <v>438784</v>
      </c>
      <c r="AO49" s="5">
        <f>VLOOKUP($AF49,'251015'!$A$1:$M$200,5,FALSE)</f>
        <v>1430</v>
      </c>
      <c r="AP49" s="5">
        <f t="shared" si="49"/>
        <v>119939</v>
      </c>
      <c r="AQ49" s="5">
        <f t="shared" si="50"/>
        <v>-59438</v>
      </c>
      <c r="AR49" s="5">
        <f t="shared" si="51"/>
        <v>0</v>
      </c>
      <c r="AS49" s="5">
        <f>VLOOKUP($AF49,'251016'!$A$1:$M$200,4,FALSE)</f>
        <v>653153</v>
      </c>
      <c r="AT49" s="5">
        <f>VLOOKUP($AF49,'251016'!$A$1:$M$200,5,FALSE)</f>
        <v>1430</v>
      </c>
      <c r="AU49" s="5">
        <f t="shared" si="52"/>
        <v>214369</v>
      </c>
      <c r="AV49" s="5">
        <f t="shared" si="53"/>
        <v>94430</v>
      </c>
      <c r="AW49" s="5">
        <f t="shared" si="54"/>
        <v>0</v>
      </c>
      <c r="AX49" s="5">
        <f>VLOOKUP($AF49,'251017'!$A$1:$M$200,4,FALSE)</f>
        <v>814731</v>
      </c>
      <c r="AY49" s="5">
        <f>VLOOKUP($AF49,'251017'!$A$1:$M$200,5,FALSE)</f>
        <v>1430</v>
      </c>
      <c r="AZ49" s="5">
        <f t="shared" si="55"/>
        <v>161578</v>
      </c>
      <c r="BA49" s="5">
        <f t="shared" si="56"/>
        <v>-52791</v>
      </c>
      <c r="BB49" s="5">
        <f t="shared" si="57"/>
        <v>0</v>
      </c>
      <c r="BC49" s="5">
        <f>VLOOKUP($AF49,'251018'!$A$1:$M$200,4,FALSE)</f>
        <v>1050620</v>
      </c>
      <c r="BD49" s="5">
        <f>VLOOKUP($AF49,'251018'!$A$1:$M$200,5,FALSE)</f>
        <v>1430</v>
      </c>
      <c r="BE49" s="5">
        <f t="shared" si="58"/>
        <v>235889</v>
      </c>
      <c r="BF49" s="5">
        <f t="shared" si="59"/>
        <v>74311</v>
      </c>
      <c r="BG49" s="5">
        <f t="shared" si="60"/>
        <v>0</v>
      </c>
      <c r="BH49" s="5">
        <f>VLOOKUP($AF49,'251018'!$A$1:$M$200,4,FALSE)</f>
        <v>1050620</v>
      </c>
    </row>
    <row r="50" spans="2:60" x14ac:dyDescent="0.3">
      <c r="B50" s="5" t="s">
        <v>814</v>
      </c>
      <c r="C50" s="5">
        <f>VLOOKUP($B50,'251008_0시'!$A$1:$M$200,4,FALSE)</f>
        <v>305110</v>
      </c>
      <c r="D50" s="5">
        <f>VLOOKUP($B50,'251008_0시'!$A$1:$M$200,5,FALSE)</f>
        <v>0</v>
      </c>
      <c r="E50" s="5">
        <f>VLOOKUP($B50,'251009_0시'!$A$1:$M$200,4,FALSE)</f>
        <v>491869</v>
      </c>
      <c r="F50" s="5">
        <f>VLOOKUP($B50,'251009_0시'!$A$1:$M$200,5,FALSE)</f>
        <v>0</v>
      </c>
      <c r="G50" s="5">
        <f t="shared" si="31"/>
        <v>186759</v>
      </c>
      <c r="H50" s="5">
        <f t="shared" si="32"/>
        <v>34204</v>
      </c>
      <c r="I50" s="5">
        <f t="shared" si="33"/>
        <v>0</v>
      </c>
      <c r="J50" s="5">
        <f>VLOOKUP($B50,'251010_0시'!$A$1:$M$200,4,FALSE)</f>
        <v>635773</v>
      </c>
      <c r="K50" s="5">
        <f>VLOOKUP($B50,'251010_0시'!$A$1:$M$200,5,FALSE)</f>
        <v>303</v>
      </c>
      <c r="L50" s="5">
        <f t="shared" si="34"/>
        <v>143904</v>
      </c>
      <c r="M50" s="5">
        <f t="shared" si="35"/>
        <v>-42855</v>
      </c>
      <c r="N50" s="5">
        <f t="shared" si="36"/>
        <v>303</v>
      </c>
      <c r="O50" s="5">
        <f>VLOOKUP($B50,'251011_0시'!$A$1:$M$200,4,FALSE)</f>
        <v>781451</v>
      </c>
      <c r="P50" s="5">
        <f>VLOOKUP($B50,'251011_0시'!$A$1:$M$200,5,FALSE)</f>
        <v>303</v>
      </c>
      <c r="Q50" s="5">
        <f t="shared" si="37"/>
        <v>145678</v>
      </c>
      <c r="R50" s="5">
        <f t="shared" si="38"/>
        <v>1774</v>
      </c>
      <c r="S50" s="5">
        <f t="shared" si="39"/>
        <v>0</v>
      </c>
      <c r="T50" s="5">
        <f>VLOOKUP($B50,'251012_0시'!$A$1:$M$200,4,FALSE)</f>
        <v>977565</v>
      </c>
      <c r="U50" s="5">
        <f>VLOOKUP($B50,'251012_0시'!$A$1:$M$200,5,FALSE)</f>
        <v>303</v>
      </c>
      <c r="V50" s="5">
        <f t="shared" si="40"/>
        <v>196114</v>
      </c>
      <c r="W50" s="5">
        <f t="shared" si="41"/>
        <v>50436</v>
      </c>
      <c r="X50" s="5">
        <f t="shared" si="42"/>
        <v>0</v>
      </c>
      <c r="Y50" s="5">
        <f>VLOOKUP($B50,'251013_0시'!$A$1:$M$200,4,FALSE)</f>
        <v>1153847</v>
      </c>
      <c r="Z50" s="5">
        <f>VLOOKUP($B50,'251013_0시'!$A$1:$M$200,5,FALSE)</f>
        <v>303</v>
      </c>
      <c r="AA50" s="5">
        <f t="shared" si="43"/>
        <v>176282</v>
      </c>
      <c r="AB50" s="5">
        <f t="shared" si="44"/>
        <v>-19832</v>
      </c>
      <c r="AC50" s="5">
        <f t="shared" si="45"/>
        <v>0</v>
      </c>
      <c r="AD50" s="5">
        <f>VLOOKUP($B50,'251013_0시'!$A$1:$M$200,4,FALSE)</f>
        <v>1153847</v>
      </c>
      <c r="AF50" s="5" t="s">
        <v>805</v>
      </c>
      <c r="AG50" s="5">
        <f>VLOOKUP($AF50,'251013'!$A$1:$M$200,4,FALSE)</f>
        <v>178490</v>
      </c>
      <c r="AH50" s="5">
        <f>VLOOKUP($AF50,'251013'!$A$1:$M$200,5,FALSE)</f>
        <v>1403</v>
      </c>
      <c r="AI50" s="5">
        <f>VLOOKUP($AF50,'251014'!$A$1:$M$200,4,FALSE)</f>
        <v>343879</v>
      </c>
      <c r="AJ50" s="5">
        <f>VLOOKUP($AF50,'251014'!$A$1:$M$200,5,FALSE)</f>
        <v>2367</v>
      </c>
      <c r="AK50" s="5">
        <f t="shared" si="46"/>
        <v>165389</v>
      </c>
      <c r="AL50" s="5">
        <f t="shared" si="47"/>
        <v>-13101</v>
      </c>
      <c r="AM50" s="5">
        <f t="shared" si="48"/>
        <v>964</v>
      </c>
      <c r="AN50" s="5">
        <f>VLOOKUP($AF50,'251015'!$A$1:$M$200,4,FALSE)</f>
        <v>538011</v>
      </c>
      <c r="AO50" s="5">
        <f>VLOOKUP($AF50,'251015'!$A$1:$M$200,5,FALSE)</f>
        <v>2367</v>
      </c>
      <c r="AP50" s="5">
        <f t="shared" si="49"/>
        <v>194132</v>
      </c>
      <c r="AQ50" s="5">
        <f t="shared" si="50"/>
        <v>28743</v>
      </c>
      <c r="AR50" s="5">
        <f t="shared" si="51"/>
        <v>0</v>
      </c>
      <c r="AS50" s="5">
        <f>VLOOKUP($AF50,'251016'!$A$1:$M$200,4,FALSE)</f>
        <v>679730</v>
      </c>
      <c r="AT50" s="5">
        <f>VLOOKUP($AF50,'251016'!$A$1:$M$200,5,FALSE)</f>
        <v>2367</v>
      </c>
      <c r="AU50" s="5">
        <f t="shared" si="52"/>
        <v>141719</v>
      </c>
      <c r="AV50" s="5">
        <f t="shared" si="53"/>
        <v>-52413</v>
      </c>
      <c r="AW50" s="5">
        <f t="shared" si="54"/>
        <v>0</v>
      </c>
      <c r="AX50" s="5">
        <f>VLOOKUP($AF50,'251017'!$A$1:$M$200,4,FALSE)</f>
        <v>876789</v>
      </c>
      <c r="AY50" s="5">
        <f>VLOOKUP($AF50,'251017'!$A$1:$M$200,5,FALSE)</f>
        <v>2367</v>
      </c>
      <c r="AZ50" s="5">
        <f t="shared" si="55"/>
        <v>197059</v>
      </c>
      <c r="BA50" s="5">
        <f t="shared" si="56"/>
        <v>55340</v>
      </c>
      <c r="BB50" s="5">
        <f t="shared" si="57"/>
        <v>0</v>
      </c>
      <c r="BC50" s="5">
        <f>VLOOKUP($AF50,'251018'!$A$1:$M$200,4,FALSE)</f>
        <v>1050441</v>
      </c>
      <c r="BD50" s="5">
        <f>VLOOKUP($AF50,'251018'!$A$1:$M$200,5,FALSE)</f>
        <v>2367</v>
      </c>
      <c r="BE50" s="5">
        <f t="shared" si="58"/>
        <v>173652</v>
      </c>
      <c r="BF50" s="5">
        <f t="shared" si="59"/>
        <v>-23407</v>
      </c>
      <c r="BG50" s="5">
        <f t="shared" si="60"/>
        <v>0</v>
      </c>
      <c r="BH50" s="5">
        <f>VLOOKUP($AF50,'251018'!$A$1:$M$200,4,FALSE)</f>
        <v>1050441</v>
      </c>
    </row>
    <row r="51" spans="2:60" x14ac:dyDescent="0.3">
      <c r="B51" s="5" t="s">
        <v>805</v>
      </c>
      <c r="C51" s="5">
        <f>VLOOKUP($B51,'251008_0시'!$A$1:$M$200,4,FALSE)</f>
        <v>273010</v>
      </c>
      <c r="D51" s="5">
        <f>VLOOKUP($B51,'251008_0시'!$A$1:$M$200,5,FALSE)</f>
        <v>50</v>
      </c>
      <c r="E51" s="5">
        <f>VLOOKUP($B51,'251009_0시'!$A$1:$M$200,4,FALSE)</f>
        <v>447024</v>
      </c>
      <c r="F51" s="5">
        <f>VLOOKUP($B51,'251009_0시'!$A$1:$M$200,5,FALSE)</f>
        <v>50</v>
      </c>
      <c r="G51" s="5">
        <f t="shared" si="31"/>
        <v>174014</v>
      </c>
      <c r="H51" s="5">
        <f t="shared" si="32"/>
        <v>37509</v>
      </c>
      <c r="I51" s="5">
        <f t="shared" si="33"/>
        <v>0</v>
      </c>
      <c r="J51" s="5">
        <f>VLOOKUP($B51,'251010_0시'!$A$1:$M$200,4,FALSE)</f>
        <v>598738</v>
      </c>
      <c r="K51" s="5">
        <f>VLOOKUP($B51,'251010_0시'!$A$1:$M$200,5,FALSE)</f>
        <v>858</v>
      </c>
      <c r="L51" s="5">
        <f t="shared" si="34"/>
        <v>151714</v>
      </c>
      <c r="M51" s="5">
        <f t="shared" si="35"/>
        <v>-22300</v>
      </c>
      <c r="N51" s="5">
        <f t="shared" si="36"/>
        <v>808</v>
      </c>
      <c r="O51" s="5">
        <f>VLOOKUP($B51,'251011_0시'!$A$1:$M$200,4,FALSE)</f>
        <v>766967</v>
      </c>
      <c r="P51" s="5">
        <f>VLOOKUP($B51,'251011_0시'!$A$1:$M$200,5,FALSE)</f>
        <v>858</v>
      </c>
      <c r="Q51" s="5">
        <f t="shared" si="37"/>
        <v>168229</v>
      </c>
      <c r="R51" s="5">
        <f t="shared" si="38"/>
        <v>16515</v>
      </c>
      <c r="S51" s="5">
        <f t="shared" si="39"/>
        <v>0</v>
      </c>
      <c r="T51" s="5">
        <f>VLOOKUP($B51,'251012_0시'!$A$1:$M$200,4,FALSE)</f>
        <v>961465</v>
      </c>
      <c r="U51" s="5">
        <f>VLOOKUP($B51,'251012_0시'!$A$1:$M$200,5,FALSE)</f>
        <v>1358</v>
      </c>
      <c r="V51" s="5">
        <f t="shared" si="40"/>
        <v>194498</v>
      </c>
      <c r="W51" s="5">
        <f t="shared" si="41"/>
        <v>26269</v>
      </c>
      <c r="X51" s="5">
        <f t="shared" si="42"/>
        <v>500</v>
      </c>
      <c r="Y51" s="5">
        <f>VLOOKUP($B51,'251013_0시'!$A$1:$M$200,4,FALSE)</f>
        <v>1152968</v>
      </c>
      <c r="Z51" s="5">
        <f>VLOOKUP($B51,'251013_0시'!$A$1:$M$200,5,FALSE)</f>
        <v>1708</v>
      </c>
      <c r="AA51" s="5">
        <f t="shared" si="43"/>
        <v>191503</v>
      </c>
      <c r="AB51" s="5">
        <f t="shared" si="44"/>
        <v>-2995</v>
      </c>
      <c r="AC51" s="5">
        <f t="shared" si="45"/>
        <v>350</v>
      </c>
      <c r="AD51" s="5">
        <f>VLOOKUP($B51,'251013_0시'!$A$1:$M$200,4,FALSE)</f>
        <v>1152968</v>
      </c>
      <c r="AF51" s="5" t="s">
        <v>948</v>
      </c>
      <c r="AG51" s="5">
        <f>VLOOKUP($AF51,'251013'!$A$1:$M$200,4,FALSE)</f>
        <v>126586</v>
      </c>
      <c r="AH51" s="5">
        <f>VLOOKUP($AF51,'251013'!$A$1:$M$200,5,FALSE)</f>
        <v>350</v>
      </c>
      <c r="AI51" s="5">
        <f>VLOOKUP($AF51,'251014'!$A$1:$M$200,4,FALSE)</f>
        <v>322521</v>
      </c>
      <c r="AJ51" s="5">
        <f>VLOOKUP($AF51,'251014'!$A$1:$M$200,5,FALSE)</f>
        <v>762</v>
      </c>
      <c r="AK51" s="5">
        <f t="shared" si="46"/>
        <v>195935</v>
      </c>
      <c r="AL51" s="5">
        <f t="shared" si="47"/>
        <v>69349</v>
      </c>
      <c r="AM51" s="5">
        <f t="shared" si="48"/>
        <v>412</v>
      </c>
      <c r="AN51" s="5">
        <f>VLOOKUP($AF51,'251015'!$A$1:$M$200,4,FALSE)</f>
        <v>501975</v>
      </c>
      <c r="AO51" s="5">
        <f>VLOOKUP($AF51,'251015'!$A$1:$M$200,5,FALSE)</f>
        <v>1010</v>
      </c>
      <c r="AP51" s="5">
        <f t="shared" si="49"/>
        <v>179454</v>
      </c>
      <c r="AQ51" s="5">
        <f t="shared" si="50"/>
        <v>-16481</v>
      </c>
      <c r="AR51" s="5">
        <f t="shared" si="51"/>
        <v>248</v>
      </c>
      <c r="AS51" s="5">
        <f>VLOOKUP($AF51,'251016'!$A$1:$M$200,4,FALSE)</f>
        <v>619945</v>
      </c>
      <c r="AT51" s="5">
        <f>VLOOKUP($AF51,'251016'!$A$1:$M$200,5,FALSE)</f>
        <v>1010</v>
      </c>
      <c r="AU51" s="5">
        <f t="shared" si="52"/>
        <v>117970</v>
      </c>
      <c r="AV51" s="5">
        <f t="shared" si="53"/>
        <v>-61484</v>
      </c>
      <c r="AW51" s="5">
        <f t="shared" si="54"/>
        <v>0</v>
      </c>
      <c r="AX51" s="5">
        <f>VLOOKUP($AF51,'251017'!$A$1:$M$200,4,FALSE)</f>
        <v>850844</v>
      </c>
      <c r="AY51" s="5">
        <f>VLOOKUP($AF51,'251017'!$A$1:$M$200,5,FALSE)</f>
        <v>1010</v>
      </c>
      <c r="AZ51" s="5">
        <f t="shared" si="55"/>
        <v>230899</v>
      </c>
      <c r="BA51" s="5">
        <f t="shared" si="56"/>
        <v>112929</v>
      </c>
      <c r="BB51" s="5">
        <f t="shared" si="57"/>
        <v>0</v>
      </c>
      <c r="BC51" s="5">
        <f>VLOOKUP($AF51,'251018'!$A$1:$M$200,4,FALSE)</f>
        <v>1048023</v>
      </c>
      <c r="BD51" s="5">
        <f>VLOOKUP($AF51,'251018'!$A$1:$M$200,5,FALSE)</f>
        <v>1010</v>
      </c>
      <c r="BE51" s="5">
        <f t="shared" si="58"/>
        <v>197179</v>
      </c>
      <c r="BF51" s="5">
        <f t="shared" si="59"/>
        <v>-33720</v>
      </c>
      <c r="BG51" s="5">
        <f t="shared" si="60"/>
        <v>0</v>
      </c>
      <c r="BH51" s="5">
        <f>VLOOKUP($AF51,'251018'!$A$1:$M$200,4,FALSE)</f>
        <v>1048023</v>
      </c>
    </row>
    <row r="52" spans="2:60" x14ac:dyDescent="0.3">
      <c r="B52" s="5" t="s">
        <v>786</v>
      </c>
      <c r="C52" s="5">
        <f>VLOOKUP($B52,'251008_0시'!$A$1:$M$200,4,FALSE)</f>
        <v>318326</v>
      </c>
      <c r="D52" s="5">
        <f>VLOOKUP($B52,'251008_0시'!$A$1:$M$200,5,FALSE)</f>
        <v>2280</v>
      </c>
      <c r="E52" s="5">
        <f>VLOOKUP($B52,'251009_0시'!$A$1:$M$200,4,FALSE)</f>
        <v>511385</v>
      </c>
      <c r="F52" s="5">
        <f>VLOOKUP($B52,'251009_0시'!$A$1:$M$200,5,FALSE)</f>
        <v>6330</v>
      </c>
      <c r="G52" s="5">
        <f t="shared" si="31"/>
        <v>193059</v>
      </c>
      <c r="H52" s="5">
        <f t="shared" si="32"/>
        <v>33896</v>
      </c>
      <c r="I52" s="5">
        <f t="shared" si="33"/>
        <v>4050</v>
      </c>
      <c r="J52" s="5">
        <f>VLOOKUP($B52,'251010_0시'!$A$1:$M$200,4,FALSE)</f>
        <v>675856</v>
      </c>
      <c r="K52" s="5">
        <f>VLOOKUP($B52,'251010_0시'!$A$1:$M$200,5,FALSE)</f>
        <v>9380</v>
      </c>
      <c r="L52" s="5">
        <f t="shared" si="34"/>
        <v>164471</v>
      </c>
      <c r="M52" s="5">
        <f t="shared" si="35"/>
        <v>-28588</v>
      </c>
      <c r="N52" s="5">
        <f t="shared" si="36"/>
        <v>3050</v>
      </c>
      <c r="O52" s="5">
        <f>VLOOKUP($B52,'251011_0시'!$A$1:$M$200,4,FALSE)</f>
        <v>820069</v>
      </c>
      <c r="P52" s="5">
        <f>VLOOKUP($B52,'251011_0시'!$A$1:$M$200,5,FALSE)</f>
        <v>11180</v>
      </c>
      <c r="Q52" s="5">
        <f t="shared" si="37"/>
        <v>144213</v>
      </c>
      <c r="R52" s="5">
        <f t="shared" si="38"/>
        <v>-20258</v>
      </c>
      <c r="S52" s="5">
        <f t="shared" si="39"/>
        <v>1800</v>
      </c>
      <c r="T52" s="5">
        <f>VLOOKUP($B52,'251012_0시'!$A$1:$M$200,4,FALSE)</f>
        <v>1012521</v>
      </c>
      <c r="U52" s="5">
        <f>VLOOKUP($B52,'251012_0시'!$A$1:$M$200,5,FALSE)</f>
        <v>17030</v>
      </c>
      <c r="V52" s="5">
        <f t="shared" si="40"/>
        <v>192452</v>
      </c>
      <c r="W52" s="5">
        <f t="shared" si="41"/>
        <v>48239</v>
      </c>
      <c r="X52" s="5">
        <f t="shared" si="42"/>
        <v>5850</v>
      </c>
      <c r="Y52" s="5">
        <f>VLOOKUP($B52,'251013_0시'!$A$1:$M$200,4,FALSE)</f>
        <v>1152135</v>
      </c>
      <c r="Z52" s="5">
        <f>VLOOKUP($B52,'251013_0시'!$A$1:$M$200,5,FALSE)</f>
        <v>21080</v>
      </c>
      <c r="AA52" s="5">
        <f t="shared" si="43"/>
        <v>139614</v>
      </c>
      <c r="AB52" s="5">
        <f t="shared" si="44"/>
        <v>-52838</v>
      </c>
      <c r="AC52" s="5">
        <f t="shared" si="45"/>
        <v>4050</v>
      </c>
      <c r="AD52" s="5">
        <f>VLOOKUP($B52,'251013_0시'!$A$1:$M$200,4,FALSE)</f>
        <v>1152135</v>
      </c>
      <c r="AF52" s="5" t="s">
        <v>763</v>
      </c>
      <c r="AG52" s="5">
        <f>VLOOKUP($AF52,'251013'!$A$1:$M$200,4,FALSE)</f>
        <v>160051</v>
      </c>
      <c r="AH52" s="5">
        <f>VLOOKUP($AF52,'251013'!$A$1:$M$200,5,FALSE)</f>
        <v>0</v>
      </c>
      <c r="AI52" s="5">
        <f>VLOOKUP($AF52,'251014'!$A$1:$M$200,4,FALSE)</f>
        <v>267736</v>
      </c>
      <c r="AJ52" s="5">
        <f>VLOOKUP($AF52,'251014'!$A$1:$M$200,5,FALSE)</f>
        <v>0</v>
      </c>
      <c r="AK52" s="5">
        <f t="shared" si="46"/>
        <v>107685</v>
      </c>
      <c r="AL52" s="5">
        <f t="shared" si="47"/>
        <v>-52366</v>
      </c>
      <c r="AM52" s="5">
        <f t="shared" si="48"/>
        <v>0</v>
      </c>
      <c r="AN52" s="5">
        <f>VLOOKUP($AF52,'251015'!$A$1:$M$200,4,FALSE)</f>
        <v>459160</v>
      </c>
      <c r="AO52" s="5">
        <f>VLOOKUP($AF52,'251015'!$A$1:$M$200,5,FALSE)</f>
        <v>0</v>
      </c>
      <c r="AP52" s="5">
        <f t="shared" si="49"/>
        <v>191424</v>
      </c>
      <c r="AQ52" s="5">
        <f t="shared" si="50"/>
        <v>83739</v>
      </c>
      <c r="AR52" s="5">
        <f t="shared" si="51"/>
        <v>0</v>
      </c>
      <c r="AS52" s="5">
        <f>VLOOKUP($AF52,'251016'!$A$1:$M$200,4,FALSE)</f>
        <v>614780</v>
      </c>
      <c r="AT52" s="5">
        <f>VLOOKUP($AF52,'251016'!$A$1:$M$200,5,FALSE)</f>
        <v>0</v>
      </c>
      <c r="AU52" s="5">
        <f t="shared" si="52"/>
        <v>155620</v>
      </c>
      <c r="AV52" s="5">
        <f t="shared" si="53"/>
        <v>-35804</v>
      </c>
      <c r="AW52" s="5">
        <f t="shared" si="54"/>
        <v>0</v>
      </c>
      <c r="AX52" s="5">
        <f>VLOOKUP($AF52,'251017'!$A$1:$M$200,4,FALSE)</f>
        <v>852062</v>
      </c>
      <c r="AY52" s="5">
        <f>VLOOKUP($AF52,'251017'!$A$1:$M$200,5,FALSE)</f>
        <v>77</v>
      </c>
      <c r="AZ52" s="5">
        <f t="shared" si="55"/>
        <v>237282</v>
      </c>
      <c r="BA52" s="5">
        <f t="shared" si="56"/>
        <v>81662</v>
      </c>
      <c r="BB52" s="5">
        <f t="shared" si="57"/>
        <v>77</v>
      </c>
      <c r="BC52" s="5">
        <f>VLOOKUP($AF52,'251018'!$A$1:$M$200,4,FALSE)</f>
        <v>1039919</v>
      </c>
      <c r="BD52" s="5">
        <f>VLOOKUP($AF52,'251018'!$A$1:$M$200,5,FALSE)</f>
        <v>77</v>
      </c>
      <c r="BE52" s="5">
        <f t="shared" si="58"/>
        <v>187857</v>
      </c>
      <c r="BF52" s="5">
        <f t="shared" si="59"/>
        <v>-49425</v>
      </c>
      <c r="BG52" s="5">
        <f t="shared" si="60"/>
        <v>0</v>
      </c>
      <c r="BH52" s="5">
        <f>VLOOKUP($AF52,'251018'!$A$1:$M$200,4,FALSE)</f>
        <v>1039919</v>
      </c>
    </row>
    <row r="53" spans="2:60" x14ac:dyDescent="0.3">
      <c r="B53" s="5" t="s">
        <v>767</v>
      </c>
      <c r="C53" s="5">
        <f>VLOOKUP($B53,'251008_0시'!$A$1:$M$200,4,FALSE)</f>
        <v>324878</v>
      </c>
      <c r="D53" s="5">
        <f>VLOOKUP($B53,'251008_0시'!$A$1:$M$200,5,FALSE)</f>
        <v>100</v>
      </c>
      <c r="E53" s="5">
        <f>VLOOKUP($B53,'251009_0시'!$A$1:$M$200,4,FALSE)</f>
        <v>488099</v>
      </c>
      <c r="F53" s="5">
        <f>VLOOKUP($B53,'251009_0시'!$A$1:$M$200,5,FALSE)</f>
        <v>2350</v>
      </c>
      <c r="G53" s="5">
        <f t="shared" si="31"/>
        <v>163221</v>
      </c>
      <c r="H53" s="5">
        <f t="shared" si="32"/>
        <v>782</v>
      </c>
      <c r="I53" s="5">
        <f t="shared" si="33"/>
        <v>2250</v>
      </c>
      <c r="J53" s="5">
        <f>VLOOKUP($B53,'251010_0시'!$A$1:$M$200,4,FALSE)</f>
        <v>684758</v>
      </c>
      <c r="K53" s="5">
        <f>VLOOKUP($B53,'251010_0시'!$A$1:$M$200,5,FALSE)</f>
        <v>5500</v>
      </c>
      <c r="L53" s="5">
        <f t="shared" si="34"/>
        <v>196659</v>
      </c>
      <c r="M53" s="5">
        <f t="shared" si="35"/>
        <v>33438</v>
      </c>
      <c r="N53" s="5">
        <f t="shared" si="36"/>
        <v>3150</v>
      </c>
      <c r="O53" s="5">
        <f>VLOOKUP($B53,'251011_0시'!$A$1:$M$200,4,FALSE)</f>
        <v>818150</v>
      </c>
      <c r="P53" s="5">
        <f>VLOOKUP($B53,'251011_0시'!$A$1:$M$200,5,FALSE)</f>
        <v>7300</v>
      </c>
      <c r="Q53" s="5">
        <f t="shared" si="37"/>
        <v>133392</v>
      </c>
      <c r="R53" s="5">
        <f t="shared" si="38"/>
        <v>-63267</v>
      </c>
      <c r="S53" s="5">
        <f t="shared" si="39"/>
        <v>1800</v>
      </c>
      <c r="T53" s="5">
        <f>VLOOKUP($B53,'251012_0시'!$A$1:$M$200,4,FALSE)</f>
        <v>972584</v>
      </c>
      <c r="U53" s="5">
        <f>VLOOKUP($B53,'251012_0시'!$A$1:$M$200,5,FALSE)</f>
        <v>7300</v>
      </c>
      <c r="V53" s="5">
        <f t="shared" si="40"/>
        <v>154434</v>
      </c>
      <c r="W53" s="5">
        <f t="shared" si="41"/>
        <v>21042</v>
      </c>
      <c r="X53" s="5">
        <f t="shared" si="42"/>
        <v>0</v>
      </c>
      <c r="Y53" s="5">
        <f>VLOOKUP($B53,'251013_0시'!$A$1:$M$200,4,FALSE)</f>
        <v>1148082</v>
      </c>
      <c r="Z53" s="5">
        <f>VLOOKUP($B53,'251013_0시'!$A$1:$M$200,5,FALSE)</f>
        <v>7300</v>
      </c>
      <c r="AA53" s="5">
        <f t="shared" si="43"/>
        <v>175498</v>
      </c>
      <c r="AB53" s="5">
        <f t="shared" si="44"/>
        <v>21064</v>
      </c>
      <c r="AC53" s="5">
        <f t="shared" si="45"/>
        <v>0</v>
      </c>
      <c r="AD53" s="5">
        <f>VLOOKUP($B53,'251013_0시'!$A$1:$M$200,4,FALSE)</f>
        <v>1148082</v>
      </c>
      <c r="AF53" s="5" t="s">
        <v>955</v>
      </c>
      <c r="AG53" s="5">
        <f>VLOOKUP($AF53,'251013'!$A$1:$M$200,4,FALSE)</f>
        <v>149549</v>
      </c>
      <c r="AH53" s="5">
        <f>VLOOKUP($AF53,'251013'!$A$1:$M$200,5,FALSE)</f>
        <v>300</v>
      </c>
      <c r="AI53" s="5">
        <f>VLOOKUP($AF53,'251014'!$A$1:$M$200,4,FALSE)</f>
        <v>317343</v>
      </c>
      <c r="AJ53" s="5">
        <f>VLOOKUP($AF53,'251014'!$A$1:$M$200,5,FALSE)</f>
        <v>300</v>
      </c>
      <c r="AK53" s="5">
        <f t="shared" si="46"/>
        <v>167794</v>
      </c>
      <c r="AL53" s="5">
        <f t="shared" si="47"/>
        <v>18245</v>
      </c>
      <c r="AM53" s="5">
        <f t="shared" si="48"/>
        <v>0</v>
      </c>
      <c r="AN53" s="5">
        <f>VLOOKUP($AF53,'251015'!$A$1:$M$200,4,FALSE)</f>
        <v>509731</v>
      </c>
      <c r="AO53" s="5">
        <f>VLOOKUP($AF53,'251015'!$A$1:$M$200,5,FALSE)</f>
        <v>300</v>
      </c>
      <c r="AP53" s="5">
        <f t="shared" si="49"/>
        <v>192388</v>
      </c>
      <c r="AQ53" s="5">
        <f t="shared" si="50"/>
        <v>24594</v>
      </c>
      <c r="AR53" s="5">
        <f t="shared" si="51"/>
        <v>0</v>
      </c>
      <c r="AS53" s="5">
        <f>VLOOKUP($AF53,'251016'!$A$1:$M$200,4,FALSE)</f>
        <v>672404</v>
      </c>
      <c r="AT53" s="5">
        <f>VLOOKUP($AF53,'251016'!$A$1:$M$200,5,FALSE)</f>
        <v>300</v>
      </c>
      <c r="AU53" s="5">
        <f t="shared" si="52"/>
        <v>162673</v>
      </c>
      <c r="AV53" s="5">
        <f t="shared" si="53"/>
        <v>-29715</v>
      </c>
      <c r="AW53" s="5">
        <f t="shared" si="54"/>
        <v>0</v>
      </c>
      <c r="AX53" s="5">
        <f>VLOOKUP($AF53,'251017'!$A$1:$M$200,4,FALSE)</f>
        <v>894660</v>
      </c>
      <c r="AY53" s="5">
        <f>VLOOKUP($AF53,'251017'!$A$1:$M$200,5,FALSE)</f>
        <v>300</v>
      </c>
      <c r="AZ53" s="5">
        <f t="shared" si="55"/>
        <v>222256</v>
      </c>
      <c r="BA53" s="5">
        <f t="shared" si="56"/>
        <v>59583</v>
      </c>
      <c r="BB53" s="5">
        <f t="shared" si="57"/>
        <v>0</v>
      </c>
      <c r="BC53" s="5">
        <f>VLOOKUP($AF53,'251018'!$A$1:$M$200,4,FALSE)</f>
        <v>1034197</v>
      </c>
      <c r="BD53" s="5">
        <f>VLOOKUP($AF53,'251018'!$A$1:$M$200,5,FALSE)</f>
        <v>350</v>
      </c>
      <c r="BE53" s="5">
        <f t="shared" si="58"/>
        <v>139537</v>
      </c>
      <c r="BF53" s="5">
        <f t="shared" si="59"/>
        <v>-82719</v>
      </c>
      <c r="BG53" s="5">
        <f t="shared" si="60"/>
        <v>50</v>
      </c>
      <c r="BH53" s="5">
        <f>VLOOKUP($AF53,'251018'!$A$1:$M$200,4,FALSE)</f>
        <v>1034197</v>
      </c>
    </row>
    <row r="54" spans="2:60" x14ac:dyDescent="0.3">
      <c r="B54" s="5" t="s">
        <v>803</v>
      </c>
      <c r="C54" s="5">
        <f>VLOOKUP($B54,'251008_0시'!$A$1:$M$200,4,FALSE)</f>
        <v>312321</v>
      </c>
      <c r="D54" s="5">
        <f>VLOOKUP($B54,'251008_0시'!$A$1:$M$200,5,FALSE)</f>
        <v>2700</v>
      </c>
      <c r="E54" s="5">
        <f>VLOOKUP($B54,'251009_0시'!$A$1:$M$200,4,FALSE)</f>
        <v>482963</v>
      </c>
      <c r="F54" s="5">
        <f>VLOOKUP($B54,'251009_0시'!$A$1:$M$200,5,FALSE)</f>
        <v>3050</v>
      </c>
      <c r="G54" s="5">
        <f t="shared" si="31"/>
        <v>170642</v>
      </c>
      <c r="H54" s="5">
        <f t="shared" si="32"/>
        <v>14481.5</v>
      </c>
      <c r="I54" s="5">
        <f t="shared" si="33"/>
        <v>350</v>
      </c>
      <c r="J54" s="5">
        <f>VLOOKUP($B54,'251010_0시'!$A$1:$M$200,4,FALSE)</f>
        <v>629537</v>
      </c>
      <c r="K54" s="5">
        <f>VLOOKUP($B54,'251010_0시'!$A$1:$M$200,5,FALSE)</f>
        <v>3454</v>
      </c>
      <c r="L54" s="5">
        <f t="shared" si="34"/>
        <v>146574</v>
      </c>
      <c r="M54" s="5">
        <f t="shared" si="35"/>
        <v>-24068</v>
      </c>
      <c r="N54" s="5">
        <f t="shared" si="36"/>
        <v>404</v>
      </c>
      <c r="O54" s="5">
        <f>VLOOKUP($B54,'251011_0시'!$A$1:$M$200,4,FALSE)</f>
        <v>820307</v>
      </c>
      <c r="P54" s="5">
        <f>VLOOKUP($B54,'251011_0시'!$A$1:$M$200,5,FALSE)</f>
        <v>3454</v>
      </c>
      <c r="Q54" s="5">
        <f t="shared" si="37"/>
        <v>190770</v>
      </c>
      <c r="R54" s="5">
        <f t="shared" si="38"/>
        <v>44196</v>
      </c>
      <c r="S54" s="5">
        <f t="shared" si="39"/>
        <v>0</v>
      </c>
      <c r="T54" s="5">
        <f>VLOOKUP($B54,'251012_0시'!$A$1:$M$200,4,FALSE)</f>
        <v>985100</v>
      </c>
      <c r="U54" s="5">
        <f>VLOOKUP($B54,'251012_0시'!$A$1:$M$200,5,FALSE)</f>
        <v>3454</v>
      </c>
      <c r="V54" s="5">
        <f t="shared" si="40"/>
        <v>164793</v>
      </c>
      <c r="W54" s="5">
        <f t="shared" si="41"/>
        <v>-25977</v>
      </c>
      <c r="X54" s="5">
        <f t="shared" si="42"/>
        <v>0</v>
      </c>
      <c r="Y54" s="5">
        <f>VLOOKUP($B54,'251013_0시'!$A$1:$M$200,4,FALSE)</f>
        <v>1143029</v>
      </c>
      <c r="Z54" s="5">
        <f>VLOOKUP($B54,'251013_0시'!$A$1:$M$200,5,FALSE)</f>
        <v>3454</v>
      </c>
      <c r="AA54" s="5">
        <f t="shared" si="43"/>
        <v>157929</v>
      </c>
      <c r="AB54" s="5">
        <f t="shared" si="44"/>
        <v>-6864</v>
      </c>
      <c r="AC54" s="5">
        <f t="shared" si="45"/>
        <v>0</v>
      </c>
      <c r="AD54" s="5">
        <f>VLOOKUP($B54,'251013_0시'!$A$1:$M$200,4,FALSE)</f>
        <v>1143029</v>
      </c>
      <c r="AF54" s="5" t="s">
        <v>786</v>
      </c>
      <c r="AG54" s="5">
        <f>VLOOKUP($AF54,'251013'!$A$1:$M$200,4,FALSE)</f>
        <v>168422</v>
      </c>
      <c r="AH54" s="5">
        <f>VLOOKUP($AF54,'251013'!$A$1:$M$200,5,FALSE)</f>
        <v>4950</v>
      </c>
      <c r="AI54" s="5">
        <f>VLOOKUP($AF54,'251014'!$A$1:$M$200,4,FALSE)</f>
        <v>321336</v>
      </c>
      <c r="AJ54" s="5">
        <f>VLOOKUP($AF54,'251014'!$A$1:$M$200,5,FALSE)</f>
        <v>6750</v>
      </c>
      <c r="AK54" s="5">
        <f t="shared" si="46"/>
        <v>152914</v>
      </c>
      <c r="AL54" s="5">
        <f t="shared" si="47"/>
        <v>-15508</v>
      </c>
      <c r="AM54" s="5">
        <f t="shared" si="48"/>
        <v>1800</v>
      </c>
      <c r="AN54" s="5">
        <f>VLOOKUP($AF54,'251015'!$A$1:$M$200,4,FALSE)</f>
        <v>452490</v>
      </c>
      <c r="AO54" s="5">
        <f>VLOOKUP($AF54,'251015'!$A$1:$M$200,5,FALSE)</f>
        <v>9000</v>
      </c>
      <c r="AP54" s="5">
        <f t="shared" si="49"/>
        <v>131154</v>
      </c>
      <c r="AQ54" s="5">
        <f t="shared" si="50"/>
        <v>-21760</v>
      </c>
      <c r="AR54" s="5">
        <f t="shared" si="51"/>
        <v>2250</v>
      </c>
      <c r="AS54" s="5">
        <f>VLOOKUP($AF54,'251016'!$A$1:$M$200,4,FALSE)</f>
        <v>648105</v>
      </c>
      <c r="AT54" s="5">
        <f>VLOOKUP($AF54,'251016'!$A$1:$M$200,5,FALSE)</f>
        <v>16301</v>
      </c>
      <c r="AU54" s="5">
        <f t="shared" si="52"/>
        <v>195615</v>
      </c>
      <c r="AV54" s="5">
        <f t="shared" si="53"/>
        <v>64461</v>
      </c>
      <c r="AW54" s="5">
        <f t="shared" si="54"/>
        <v>7301</v>
      </c>
      <c r="AX54" s="5">
        <f>VLOOKUP($AF54,'251017'!$A$1:$M$200,4,FALSE)</f>
        <v>809200</v>
      </c>
      <c r="AY54" s="5">
        <f>VLOOKUP($AF54,'251017'!$A$1:$M$200,5,FALSE)</f>
        <v>18601</v>
      </c>
      <c r="AZ54" s="5">
        <f t="shared" si="55"/>
        <v>161095</v>
      </c>
      <c r="BA54" s="5">
        <f t="shared" si="56"/>
        <v>-34520</v>
      </c>
      <c r="BB54" s="5">
        <f t="shared" si="57"/>
        <v>2300</v>
      </c>
      <c r="BC54" s="5">
        <f>VLOOKUP($AF54,'251018'!$A$1:$M$200,4,FALSE)</f>
        <v>1033227</v>
      </c>
      <c r="BD54" s="5">
        <f>VLOOKUP($AF54,'251018'!$A$1:$M$200,5,FALSE)</f>
        <v>20851</v>
      </c>
      <c r="BE54" s="5">
        <f t="shared" si="58"/>
        <v>224027</v>
      </c>
      <c r="BF54" s="5">
        <f t="shared" si="59"/>
        <v>62932</v>
      </c>
      <c r="BG54" s="5">
        <f t="shared" si="60"/>
        <v>2250</v>
      </c>
      <c r="BH54" s="5">
        <f>VLOOKUP($AF54,'251018'!$A$1:$M$200,4,FALSE)</f>
        <v>1033227</v>
      </c>
    </row>
    <row r="55" spans="2:60" x14ac:dyDescent="0.3">
      <c r="B55" s="5" t="s">
        <v>952</v>
      </c>
      <c r="C55" s="5">
        <f>VLOOKUP($B55,'251008_0시'!$A$1:$M$200,4,FALSE)</f>
        <v>293711</v>
      </c>
      <c r="D55" s="5">
        <f>VLOOKUP($B55,'251008_0시'!$A$1:$M$200,5,FALSE)</f>
        <v>700</v>
      </c>
      <c r="E55" s="5">
        <f>VLOOKUP($B55,'251009_0시'!$A$1:$M$200,4,FALSE)</f>
        <v>507998</v>
      </c>
      <c r="F55" s="5">
        <f>VLOOKUP($B55,'251009_0시'!$A$1:$M$200,5,FALSE)</f>
        <v>1100</v>
      </c>
      <c r="G55" s="5">
        <f t="shared" si="31"/>
        <v>214287</v>
      </c>
      <c r="H55" s="5">
        <f t="shared" si="32"/>
        <v>67431.5</v>
      </c>
      <c r="I55" s="5">
        <f t="shared" si="33"/>
        <v>400</v>
      </c>
      <c r="J55" s="5">
        <f>VLOOKUP($B55,'251010_0시'!$A$1:$M$200,4,FALSE)</f>
        <v>645967</v>
      </c>
      <c r="K55" s="5">
        <f>VLOOKUP($B55,'251010_0시'!$A$1:$M$200,5,FALSE)</f>
        <v>1696</v>
      </c>
      <c r="L55" s="5">
        <f t="shared" si="34"/>
        <v>137969</v>
      </c>
      <c r="M55" s="5">
        <f t="shared" si="35"/>
        <v>-76318</v>
      </c>
      <c r="N55" s="5">
        <f t="shared" si="36"/>
        <v>596</v>
      </c>
      <c r="O55" s="5">
        <f>VLOOKUP($B55,'251011_0시'!$A$1:$M$200,4,FALSE)</f>
        <v>811621</v>
      </c>
      <c r="P55" s="5">
        <f>VLOOKUP($B55,'251011_0시'!$A$1:$M$200,5,FALSE)</f>
        <v>1696</v>
      </c>
      <c r="Q55" s="5">
        <f t="shared" si="37"/>
        <v>165654</v>
      </c>
      <c r="R55" s="5">
        <f t="shared" si="38"/>
        <v>27685</v>
      </c>
      <c r="S55" s="5">
        <f t="shared" si="39"/>
        <v>0</v>
      </c>
      <c r="T55" s="5">
        <f>VLOOKUP($B55,'251012_0시'!$A$1:$M$200,4,FALSE)</f>
        <v>978399</v>
      </c>
      <c r="U55" s="5">
        <f>VLOOKUP($B55,'251012_0시'!$A$1:$M$200,5,FALSE)</f>
        <v>1696</v>
      </c>
      <c r="V55" s="5">
        <f t="shared" si="40"/>
        <v>166778</v>
      </c>
      <c r="W55" s="5">
        <f t="shared" si="41"/>
        <v>1124</v>
      </c>
      <c r="X55" s="5">
        <f t="shared" si="42"/>
        <v>0</v>
      </c>
      <c r="Y55" s="5">
        <f>VLOOKUP($B55,'251013_0시'!$A$1:$M$200,4,FALSE)</f>
        <v>1138353</v>
      </c>
      <c r="Z55" s="5">
        <f>VLOOKUP($B55,'251013_0시'!$A$1:$M$200,5,FALSE)</f>
        <v>1696</v>
      </c>
      <c r="AA55" s="5">
        <f t="shared" si="43"/>
        <v>159954</v>
      </c>
      <c r="AB55" s="5">
        <f t="shared" si="44"/>
        <v>-6824</v>
      </c>
      <c r="AC55" s="5">
        <f t="shared" si="45"/>
        <v>0</v>
      </c>
      <c r="AD55" s="5">
        <f>VLOOKUP($B55,'251013_0시'!$A$1:$M$200,4,FALSE)</f>
        <v>1138353</v>
      </c>
      <c r="AF55" s="5" t="s">
        <v>800</v>
      </c>
      <c r="AG55" s="5">
        <f>VLOOKUP($AF55,'251013'!$A$1:$M$200,4,FALSE)</f>
        <v>157109</v>
      </c>
      <c r="AH55" s="5">
        <f>VLOOKUP($AF55,'251013'!$A$1:$M$200,5,FALSE)</f>
        <v>303</v>
      </c>
      <c r="AI55" s="5">
        <f>VLOOKUP($AF55,'251014'!$A$1:$M$200,4,FALSE)</f>
        <v>259324</v>
      </c>
      <c r="AJ55" s="5">
        <f>VLOOKUP($AF55,'251014'!$A$1:$M$200,5,FALSE)</f>
        <v>303</v>
      </c>
      <c r="AK55" s="5">
        <f t="shared" si="46"/>
        <v>102215</v>
      </c>
      <c r="AL55" s="5">
        <f t="shared" si="47"/>
        <v>-54894</v>
      </c>
      <c r="AM55" s="5">
        <f t="shared" si="48"/>
        <v>0</v>
      </c>
      <c r="AN55" s="5">
        <f>VLOOKUP($AF55,'251015'!$A$1:$M$200,4,FALSE)</f>
        <v>468557</v>
      </c>
      <c r="AO55" s="5">
        <f>VLOOKUP($AF55,'251015'!$A$1:$M$200,5,FALSE)</f>
        <v>303</v>
      </c>
      <c r="AP55" s="5">
        <f t="shared" si="49"/>
        <v>209233</v>
      </c>
      <c r="AQ55" s="5">
        <f t="shared" si="50"/>
        <v>107018</v>
      </c>
      <c r="AR55" s="5">
        <f t="shared" si="51"/>
        <v>0</v>
      </c>
      <c r="AS55" s="5">
        <f>VLOOKUP($AF55,'251016'!$A$1:$M$200,4,FALSE)</f>
        <v>581620</v>
      </c>
      <c r="AT55" s="5">
        <f>VLOOKUP($AF55,'251016'!$A$1:$M$200,5,FALSE)</f>
        <v>303</v>
      </c>
      <c r="AU55" s="5">
        <f t="shared" si="52"/>
        <v>113063</v>
      </c>
      <c r="AV55" s="5">
        <f t="shared" si="53"/>
        <v>-96170</v>
      </c>
      <c r="AW55" s="5">
        <f t="shared" si="54"/>
        <v>0</v>
      </c>
      <c r="AX55" s="5">
        <f>VLOOKUP($AF55,'251017'!$A$1:$M$200,4,FALSE)</f>
        <v>807909</v>
      </c>
      <c r="AY55" s="5">
        <f>VLOOKUP($AF55,'251017'!$A$1:$M$200,5,FALSE)</f>
        <v>303</v>
      </c>
      <c r="AZ55" s="5">
        <f t="shared" si="55"/>
        <v>226289</v>
      </c>
      <c r="BA55" s="5">
        <f t="shared" si="56"/>
        <v>113226</v>
      </c>
      <c r="BB55" s="5">
        <f t="shared" si="57"/>
        <v>0</v>
      </c>
      <c r="BC55" s="5">
        <f>VLOOKUP($AF55,'251018'!$A$1:$M$200,4,FALSE)</f>
        <v>1031212</v>
      </c>
      <c r="BD55" s="5">
        <f>VLOOKUP($AF55,'251018'!$A$1:$M$200,5,FALSE)</f>
        <v>303</v>
      </c>
      <c r="BE55" s="5">
        <f t="shared" si="58"/>
        <v>223303</v>
      </c>
      <c r="BF55" s="5">
        <f t="shared" si="59"/>
        <v>-2986</v>
      </c>
      <c r="BG55" s="5">
        <f t="shared" si="60"/>
        <v>0</v>
      </c>
      <c r="BH55" s="5">
        <f>VLOOKUP($AF55,'251018'!$A$1:$M$200,4,FALSE)</f>
        <v>1031212</v>
      </c>
    </row>
    <row r="56" spans="2:60" x14ac:dyDescent="0.3">
      <c r="B56" s="5" t="s">
        <v>759</v>
      </c>
      <c r="C56" s="5">
        <f>VLOOKUP($B56,'251008_0시'!$A$1:$M$200,4,FALSE)</f>
        <v>359033</v>
      </c>
      <c r="D56" s="5">
        <f>VLOOKUP($B56,'251008_0시'!$A$1:$M$200,5,FALSE)</f>
        <v>1250</v>
      </c>
      <c r="E56" s="5">
        <f>VLOOKUP($B56,'251009_0시'!$A$1:$M$200,4,FALSE)</f>
        <v>412514</v>
      </c>
      <c r="F56" s="5">
        <f>VLOOKUP($B56,'251009_0시'!$A$1:$M$200,5,FALSE)</f>
        <v>2701</v>
      </c>
      <c r="G56" s="5">
        <f t="shared" si="31"/>
        <v>53481</v>
      </c>
      <c r="H56" s="5">
        <f t="shared" si="32"/>
        <v>-126035.5</v>
      </c>
      <c r="I56" s="5">
        <f t="shared" si="33"/>
        <v>1451</v>
      </c>
      <c r="J56" s="5">
        <f>VLOOKUP($B56,'251010_0시'!$A$1:$M$200,4,FALSE)</f>
        <v>656231</v>
      </c>
      <c r="K56" s="5">
        <f>VLOOKUP($B56,'251010_0시'!$A$1:$M$200,5,FALSE)</f>
        <v>4501</v>
      </c>
      <c r="L56" s="5">
        <f t="shared" si="34"/>
        <v>243717</v>
      </c>
      <c r="M56" s="5">
        <f t="shared" si="35"/>
        <v>190236</v>
      </c>
      <c r="N56" s="5">
        <f t="shared" si="36"/>
        <v>1800</v>
      </c>
      <c r="O56" s="5">
        <f>VLOOKUP($B56,'251011_0시'!$A$1:$M$200,4,FALSE)</f>
        <v>794181</v>
      </c>
      <c r="P56" s="5">
        <f>VLOOKUP($B56,'251011_0시'!$A$1:$M$200,5,FALSE)</f>
        <v>4602</v>
      </c>
      <c r="Q56" s="5">
        <f t="shared" si="37"/>
        <v>137950</v>
      </c>
      <c r="R56" s="5">
        <f t="shared" si="38"/>
        <v>-105767</v>
      </c>
      <c r="S56" s="5">
        <f t="shared" si="39"/>
        <v>101</v>
      </c>
      <c r="T56" s="5">
        <f>VLOOKUP($B56,'251012_0시'!$A$1:$M$200,4,FALSE)</f>
        <v>950579</v>
      </c>
      <c r="U56" s="5">
        <f>VLOOKUP($B56,'251012_0시'!$A$1:$M$200,5,FALSE)</f>
        <v>5952</v>
      </c>
      <c r="V56" s="5">
        <f t="shared" si="40"/>
        <v>156398</v>
      </c>
      <c r="W56" s="5">
        <f t="shared" si="41"/>
        <v>18448</v>
      </c>
      <c r="X56" s="5">
        <f t="shared" si="42"/>
        <v>1350</v>
      </c>
      <c r="Y56" s="5">
        <f>VLOOKUP($B56,'251013_0시'!$A$1:$M$200,4,FALSE)</f>
        <v>1131713</v>
      </c>
      <c r="Z56" s="5">
        <f>VLOOKUP($B56,'251013_0시'!$A$1:$M$200,5,FALSE)</f>
        <v>6402</v>
      </c>
      <c r="AA56" s="5">
        <f t="shared" si="43"/>
        <v>181134</v>
      </c>
      <c r="AB56" s="5">
        <f t="shared" si="44"/>
        <v>24736</v>
      </c>
      <c r="AC56" s="5">
        <f t="shared" si="45"/>
        <v>450</v>
      </c>
      <c r="AD56" s="5">
        <f>VLOOKUP($B56,'251013_0시'!$A$1:$M$200,4,FALSE)</f>
        <v>1131713</v>
      </c>
      <c r="AF56" s="5" t="s">
        <v>814</v>
      </c>
      <c r="AG56" s="5">
        <f>VLOOKUP($AF56,'251013'!$A$1:$M$200,4,FALSE)</f>
        <v>100316</v>
      </c>
      <c r="AH56" s="5">
        <f>VLOOKUP($AF56,'251013'!$A$1:$M$200,5,FALSE)</f>
        <v>350</v>
      </c>
      <c r="AI56" s="5">
        <f>VLOOKUP($AF56,'251014'!$A$1:$M$200,4,FALSE)</f>
        <v>300339</v>
      </c>
      <c r="AJ56" s="5">
        <f>VLOOKUP($AF56,'251014'!$A$1:$M$200,5,FALSE)</f>
        <v>350</v>
      </c>
      <c r="AK56" s="5">
        <f t="shared" si="46"/>
        <v>200023</v>
      </c>
      <c r="AL56" s="5">
        <f t="shared" si="47"/>
        <v>99707</v>
      </c>
      <c r="AM56" s="5">
        <f t="shared" si="48"/>
        <v>0</v>
      </c>
      <c r="AN56" s="5">
        <f>VLOOKUP($AF56,'251015'!$A$1:$M$200,4,FALSE)</f>
        <v>506036</v>
      </c>
      <c r="AO56" s="5">
        <f>VLOOKUP($AF56,'251015'!$A$1:$M$200,5,FALSE)</f>
        <v>350</v>
      </c>
      <c r="AP56" s="5">
        <f t="shared" si="49"/>
        <v>205697</v>
      </c>
      <c r="AQ56" s="5">
        <f t="shared" si="50"/>
        <v>5674</v>
      </c>
      <c r="AR56" s="5">
        <f t="shared" si="51"/>
        <v>0</v>
      </c>
      <c r="AS56" s="5">
        <f>VLOOKUP($AF56,'251016'!$A$1:$M$200,4,FALSE)</f>
        <v>671175</v>
      </c>
      <c r="AT56" s="5">
        <f>VLOOKUP($AF56,'251016'!$A$1:$M$200,5,FALSE)</f>
        <v>350</v>
      </c>
      <c r="AU56" s="5">
        <f t="shared" si="52"/>
        <v>165139</v>
      </c>
      <c r="AV56" s="5">
        <f t="shared" si="53"/>
        <v>-40558</v>
      </c>
      <c r="AW56" s="5">
        <f t="shared" si="54"/>
        <v>0</v>
      </c>
      <c r="AX56" s="5">
        <f>VLOOKUP($AF56,'251017'!$A$1:$M$200,4,FALSE)</f>
        <v>850977</v>
      </c>
      <c r="AY56" s="5">
        <f>VLOOKUP($AF56,'251017'!$A$1:$M$200,5,FALSE)</f>
        <v>350</v>
      </c>
      <c r="AZ56" s="5">
        <f t="shared" si="55"/>
        <v>179802</v>
      </c>
      <c r="BA56" s="5">
        <f t="shared" si="56"/>
        <v>14663</v>
      </c>
      <c r="BB56" s="5">
        <f t="shared" si="57"/>
        <v>0</v>
      </c>
      <c r="BC56" s="5">
        <f>VLOOKUP($AF56,'251018'!$A$1:$M$200,4,FALSE)</f>
        <v>1028779</v>
      </c>
      <c r="BD56" s="5">
        <f>VLOOKUP($AF56,'251018'!$A$1:$M$200,5,FALSE)</f>
        <v>350</v>
      </c>
      <c r="BE56" s="5">
        <f t="shared" si="58"/>
        <v>177802</v>
      </c>
      <c r="BF56" s="5">
        <f t="shared" si="59"/>
        <v>-2000</v>
      </c>
      <c r="BG56" s="5">
        <f t="shared" si="60"/>
        <v>0</v>
      </c>
      <c r="BH56" s="5">
        <f>VLOOKUP($AF56,'251018'!$A$1:$M$200,4,FALSE)</f>
        <v>1028779</v>
      </c>
    </row>
    <row r="57" spans="2:60" x14ac:dyDescent="0.3">
      <c r="B57" s="5" t="s">
        <v>769</v>
      </c>
      <c r="C57" s="5">
        <f>VLOOKUP($B57,'251008_0시'!$A$1:$M$200,4,FALSE)</f>
        <v>325869</v>
      </c>
      <c r="D57" s="5">
        <f>VLOOKUP($B57,'251008_0시'!$A$1:$M$200,5,FALSE)</f>
        <v>700</v>
      </c>
      <c r="E57" s="5">
        <f>VLOOKUP($B57,'251009_0시'!$A$1:$M$200,4,FALSE)</f>
        <v>516333</v>
      </c>
      <c r="F57" s="5">
        <f>VLOOKUP($B57,'251009_0시'!$A$1:$M$200,5,FALSE)</f>
        <v>750</v>
      </c>
      <c r="G57" s="5">
        <f t="shared" si="31"/>
        <v>190464</v>
      </c>
      <c r="H57" s="5">
        <f t="shared" si="32"/>
        <v>27529.5</v>
      </c>
      <c r="I57" s="5">
        <f t="shared" si="33"/>
        <v>50</v>
      </c>
      <c r="J57" s="5">
        <f>VLOOKUP($B57,'251010_0시'!$A$1:$M$200,4,FALSE)</f>
        <v>672721</v>
      </c>
      <c r="K57" s="5">
        <f>VLOOKUP($B57,'251010_0시'!$A$1:$M$200,5,FALSE)</f>
        <v>1053</v>
      </c>
      <c r="L57" s="5">
        <f t="shared" si="34"/>
        <v>156388</v>
      </c>
      <c r="M57" s="5">
        <f t="shared" si="35"/>
        <v>-34076</v>
      </c>
      <c r="N57" s="5">
        <f t="shared" si="36"/>
        <v>303</v>
      </c>
      <c r="O57" s="5">
        <f>VLOOKUP($B57,'251011_0시'!$A$1:$M$200,4,FALSE)</f>
        <v>841481</v>
      </c>
      <c r="P57" s="5">
        <f>VLOOKUP($B57,'251011_0시'!$A$1:$M$200,5,FALSE)</f>
        <v>1253</v>
      </c>
      <c r="Q57" s="5">
        <f t="shared" si="37"/>
        <v>168760</v>
      </c>
      <c r="R57" s="5">
        <f t="shared" si="38"/>
        <v>12372</v>
      </c>
      <c r="S57" s="5">
        <f t="shared" si="39"/>
        <v>200</v>
      </c>
      <c r="T57" s="5">
        <f>VLOOKUP($B57,'251012_0시'!$A$1:$M$200,4,FALSE)</f>
        <v>958629</v>
      </c>
      <c r="U57" s="5">
        <f>VLOOKUP($B57,'251012_0시'!$A$1:$M$200,5,FALSE)</f>
        <v>1489</v>
      </c>
      <c r="V57" s="5">
        <f t="shared" si="40"/>
        <v>117148</v>
      </c>
      <c r="W57" s="5">
        <f t="shared" si="41"/>
        <v>-51612</v>
      </c>
      <c r="X57" s="5">
        <f t="shared" si="42"/>
        <v>236</v>
      </c>
      <c r="Y57" s="5">
        <f>VLOOKUP($B57,'251013_0시'!$A$1:$M$200,4,FALSE)</f>
        <v>1127331</v>
      </c>
      <c r="Z57" s="5">
        <f>VLOOKUP($B57,'251013_0시'!$A$1:$M$200,5,FALSE)</f>
        <v>1589</v>
      </c>
      <c r="AA57" s="5">
        <f t="shared" si="43"/>
        <v>168702</v>
      </c>
      <c r="AB57" s="5">
        <f t="shared" si="44"/>
        <v>51554</v>
      </c>
      <c r="AC57" s="5">
        <f t="shared" si="45"/>
        <v>100</v>
      </c>
      <c r="AD57" s="5">
        <f>VLOOKUP($B57,'251013_0시'!$A$1:$M$200,4,FALSE)</f>
        <v>1127331</v>
      </c>
      <c r="AF57" s="5" t="s">
        <v>803</v>
      </c>
      <c r="AG57" s="5">
        <f>VLOOKUP($AF57,'251013'!$A$1:$M$200,4,FALSE)</f>
        <v>173572</v>
      </c>
      <c r="AH57" s="5">
        <f>VLOOKUP($AF57,'251013'!$A$1:$M$200,5,FALSE)</f>
        <v>0</v>
      </c>
      <c r="AI57" s="5">
        <f>VLOOKUP($AF57,'251014'!$A$1:$M$200,4,FALSE)</f>
        <v>336667</v>
      </c>
      <c r="AJ57" s="5">
        <f>VLOOKUP($AF57,'251014'!$A$1:$M$200,5,FALSE)</f>
        <v>0</v>
      </c>
      <c r="AK57" s="5">
        <f t="shared" si="46"/>
        <v>163095</v>
      </c>
      <c r="AL57" s="5">
        <f t="shared" si="47"/>
        <v>-10477</v>
      </c>
      <c r="AM57" s="5">
        <f t="shared" si="48"/>
        <v>0</v>
      </c>
      <c r="AN57" s="5">
        <f>VLOOKUP($AF57,'251015'!$A$1:$M$200,4,FALSE)</f>
        <v>502884</v>
      </c>
      <c r="AO57" s="5">
        <f>VLOOKUP($AF57,'251015'!$A$1:$M$200,5,FALSE)</f>
        <v>0</v>
      </c>
      <c r="AP57" s="5">
        <f t="shared" si="49"/>
        <v>166217</v>
      </c>
      <c r="AQ57" s="5">
        <f t="shared" si="50"/>
        <v>3122</v>
      </c>
      <c r="AR57" s="5">
        <f t="shared" si="51"/>
        <v>0</v>
      </c>
      <c r="AS57" s="5">
        <f>VLOOKUP($AF57,'251016'!$A$1:$M$200,4,FALSE)</f>
        <v>675318</v>
      </c>
      <c r="AT57" s="5">
        <f>VLOOKUP($AF57,'251016'!$A$1:$M$200,5,FALSE)</f>
        <v>0</v>
      </c>
      <c r="AU57" s="5">
        <f t="shared" si="52"/>
        <v>172434</v>
      </c>
      <c r="AV57" s="5">
        <f t="shared" si="53"/>
        <v>6217</v>
      </c>
      <c r="AW57" s="5">
        <f t="shared" si="54"/>
        <v>0</v>
      </c>
      <c r="AX57" s="5">
        <f>VLOOKUP($AF57,'251017'!$A$1:$M$200,4,FALSE)</f>
        <v>842658</v>
      </c>
      <c r="AY57" s="5">
        <f>VLOOKUP($AF57,'251017'!$A$1:$M$200,5,FALSE)</f>
        <v>0</v>
      </c>
      <c r="AZ57" s="5">
        <f t="shared" si="55"/>
        <v>167340</v>
      </c>
      <c r="BA57" s="5">
        <f t="shared" si="56"/>
        <v>-5094</v>
      </c>
      <c r="BB57" s="5">
        <f t="shared" si="57"/>
        <v>0</v>
      </c>
      <c r="BC57" s="5">
        <f>VLOOKUP($AF57,'251018'!$A$1:$M$200,4,FALSE)</f>
        <v>1022556</v>
      </c>
      <c r="BD57" s="5">
        <f>VLOOKUP($AF57,'251018'!$A$1:$M$200,5,FALSE)</f>
        <v>0</v>
      </c>
      <c r="BE57" s="5">
        <f t="shared" si="58"/>
        <v>179898</v>
      </c>
      <c r="BF57" s="5">
        <f t="shared" si="59"/>
        <v>12558</v>
      </c>
      <c r="BG57" s="5">
        <f t="shared" si="60"/>
        <v>0</v>
      </c>
      <c r="BH57" s="5">
        <f>VLOOKUP($AF57,'251018'!$A$1:$M$200,4,FALSE)</f>
        <v>1022556</v>
      </c>
    </row>
    <row r="58" spans="2:60" x14ac:dyDescent="0.3">
      <c r="B58" s="5" t="s">
        <v>601</v>
      </c>
      <c r="C58" s="5">
        <f>VLOOKUP($B58,'251008_0시'!$A$1:$M$200,4,FALSE)</f>
        <v>285879</v>
      </c>
      <c r="D58" s="5">
        <f>VLOOKUP($B58,'251008_0시'!$A$1:$M$200,5,FALSE)</f>
        <v>446</v>
      </c>
      <c r="E58" s="5">
        <f>VLOOKUP($B58,'251009_0시'!$A$1:$M$200,4,FALSE)</f>
        <v>443040</v>
      </c>
      <c r="F58" s="5">
        <f>VLOOKUP($B58,'251009_0시'!$A$1:$M$200,5,FALSE)</f>
        <v>796</v>
      </c>
      <c r="G58" s="5">
        <f t="shared" si="31"/>
        <v>157161</v>
      </c>
      <c r="H58" s="5">
        <f t="shared" si="32"/>
        <v>14221.5</v>
      </c>
      <c r="I58" s="5">
        <f t="shared" si="33"/>
        <v>350</v>
      </c>
      <c r="J58" s="5">
        <f>VLOOKUP($B58,'251010_0시'!$A$1:$M$200,4,FALSE)</f>
        <v>603948</v>
      </c>
      <c r="K58" s="5">
        <f>VLOOKUP($B58,'251010_0시'!$A$1:$M$200,5,FALSE)</f>
        <v>998</v>
      </c>
      <c r="L58" s="5">
        <f t="shared" si="34"/>
        <v>160908</v>
      </c>
      <c r="M58" s="5">
        <f t="shared" si="35"/>
        <v>3747</v>
      </c>
      <c r="N58" s="5">
        <f t="shared" si="36"/>
        <v>202</v>
      </c>
      <c r="O58" s="5">
        <f>VLOOKUP($B58,'251011_0시'!$A$1:$M$200,4,FALSE)</f>
        <v>756567</v>
      </c>
      <c r="P58" s="5">
        <f>VLOOKUP($B58,'251011_0시'!$A$1:$M$200,5,FALSE)</f>
        <v>998</v>
      </c>
      <c r="Q58" s="5">
        <f t="shared" si="37"/>
        <v>152619</v>
      </c>
      <c r="R58" s="5">
        <f t="shared" si="38"/>
        <v>-8289</v>
      </c>
      <c r="S58" s="5">
        <f t="shared" si="39"/>
        <v>0</v>
      </c>
      <c r="T58" s="5">
        <f>VLOOKUP($B58,'251012_0시'!$A$1:$M$200,4,FALSE)</f>
        <v>893178</v>
      </c>
      <c r="U58" s="5">
        <f>VLOOKUP($B58,'251012_0시'!$A$1:$M$200,5,FALSE)</f>
        <v>998</v>
      </c>
      <c r="V58" s="5">
        <f t="shared" si="40"/>
        <v>136611</v>
      </c>
      <c r="W58" s="5">
        <f t="shared" si="41"/>
        <v>-16008</v>
      </c>
      <c r="X58" s="5">
        <f t="shared" si="42"/>
        <v>0</v>
      </c>
      <c r="Y58" s="5">
        <f>VLOOKUP($B58,'251013_0시'!$A$1:$M$200,4,FALSE)</f>
        <v>1104757</v>
      </c>
      <c r="Z58" s="5">
        <f>VLOOKUP($B58,'251013_0시'!$A$1:$M$200,5,FALSE)</f>
        <v>998</v>
      </c>
      <c r="AA58" s="5">
        <f t="shared" si="43"/>
        <v>211579</v>
      </c>
      <c r="AB58" s="5">
        <f t="shared" si="44"/>
        <v>74968</v>
      </c>
      <c r="AC58" s="5">
        <f t="shared" si="45"/>
        <v>0</v>
      </c>
      <c r="AD58" s="5">
        <f>VLOOKUP($B58,'251013_0시'!$A$1:$M$200,4,FALSE)</f>
        <v>1104757</v>
      </c>
      <c r="AF58" s="5" t="s">
        <v>780</v>
      </c>
      <c r="AG58" s="5">
        <f>VLOOKUP($AF58,'251013'!$A$1:$M$200,4,FALSE)</f>
        <v>137533</v>
      </c>
      <c r="AH58" s="5">
        <f>VLOOKUP($AF58,'251013'!$A$1:$M$200,5,FALSE)</f>
        <v>0</v>
      </c>
      <c r="AI58" s="5">
        <f>VLOOKUP($AF58,'251014'!$A$1:$M$200,4,FALSE)</f>
        <v>310833</v>
      </c>
      <c r="AJ58" s="5">
        <f>VLOOKUP($AF58,'251014'!$A$1:$M$200,5,FALSE)</f>
        <v>0</v>
      </c>
      <c r="AK58" s="5">
        <f t="shared" si="46"/>
        <v>173300</v>
      </c>
      <c r="AL58" s="5">
        <f t="shared" si="47"/>
        <v>35767</v>
      </c>
      <c r="AM58" s="5">
        <f t="shared" si="48"/>
        <v>0</v>
      </c>
      <c r="AN58" s="5">
        <f>VLOOKUP($AF58,'251015'!$A$1:$M$200,4,FALSE)</f>
        <v>487737</v>
      </c>
      <c r="AO58" s="5">
        <f>VLOOKUP($AF58,'251015'!$A$1:$M$200,5,FALSE)</f>
        <v>0</v>
      </c>
      <c r="AP58" s="5">
        <f t="shared" si="49"/>
        <v>176904</v>
      </c>
      <c r="AQ58" s="5">
        <f t="shared" si="50"/>
        <v>3604</v>
      </c>
      <c r="AR58" s="5">
        <f t="shared" si="51"/>
        <v>0</v>
      </c>
      <c r="AS58" s="5">
        <f>VLOOKUP($AF58,'251016'!$A$1:$M$200,4,FALSE)</f>
        <v>585602</v>
      </c>
      <c r="AT58" s="5">
        <f>VLOOKUP($AF58,'251016'!$A$1:$M$200,5,FALSE)</f>
        <v>0</v>
      </c>
      <c r="AU58" s="5">
        <f t="shared" si="52"/>
        <v>97865</v>
      </c>
      <c r="AV58" s="5">
        <f t="shared" si="53"/>
        <v>-79039</v>
      </c>
      <c r="AW58" s="5">
        <f t="shared" si="54"/>
        <v>0</v>
      </c>
      <c r="AX58" s="5">
        <f>VLOOKUP($AF58,'251017'!$A$1:$M$200,4,FALSE)</f>
        <v>803856</v>
      </c>
      <c r="AY58" s="5">
        <f>VLOOKUP($AF58,'251017'!$A$1:$M$200,5,FALSE)</f>
        <v>0</v>
      </c>
      <c r="AZ58" s="5">
        <f t="shared" si="55"/>
        <v>218254</v>
      </c>
      <c r="BA58" s="5">
        <f t="shared" si="56"/>
        <v>120389</v>
      </c>
      <c r="BB58" s="5">
        <f t="shared" si="57"/>
        <v>0</v>
      </c>
      <c r="BC58" s="5">
        <f>VLOOKUP($AF58,'251018'!$A$1:$M$200,4,FALSE)</f>
        <v>1017652</v>
      </c>
      <c r="BD58" s="5">
        <f>VLOOKUP($AF58,'251018'!$A$1:$M$200,5,FALSE)</f>
        <v>0</v>
      </c>
      <c r="BE58" s="5">
        <f t="shared" si="58"/>
        <v>213796</v>
      </c>
      <c r="BF58" s="5">
        <f t="shared" si="59"/>
        <v>-4458</v>
      </c>
      <c r="BG58" s="5">
        <f t="shared" si="60"/>
        <v>0</v>
      </c>
      <c r="BH58" s="5">
        <f>VLOOKUP($AF58,'251018'!$A$1:$M$200,4,FALSE)</f>
        <v>1017652</v>
      </c>
    </row>
    <row r="59" spans="2:60" x14ac:dyDescent="0.3">
      <c r="B59" s="5" t="s">
        <v>799</v>
      </c>
      <c r="C59" s="5">
        <f>VLOOKUP($B59,'251008_0시'!$A$1:$M$200,4,FALSE)</f>
        <v>330625</v>
      </c>
      <c r="D59" s="5">
        <f>VLOOKUP($B59,'251008_0시'!$A$1:$M$200,5,FALSE)</f>
        <v>50</v>
      </c>
      <c r="E59" s="5">
        <f>VLOOKUP($B59,'251009_0시'!$A$1:$M$200,4,FALSE)</f>
        <v>484955</v>
      </c>
      <c r="F59" s="5">
        <f>VLOOKUP($B59,'251009_0시'!$A$1:$M$200,5,FALSE)</f>
        <v>50</v>
      </c>
      <c r="G59" s="5">
        <f t="shared" si="31"/>
        <v>154330</v>
      </c>
      <c r="H59" s="5">
        <f t="shared" si="32"/>
        <v>-10982.5</v>
      </c>
      <c r="I59" s="5">
        <f t="shared" si="33"/>
        <v>0</v>
      </c>
      <c r="J59" s="5">
        <f>VLOOKUP($B59,'251010_0시'!$A$1:$M$200,4,FALSE)</f>
        <v>673035</v>
      </c>
      <c r="K59" s="5">
        <f>VLOOKUP($B59,'251010_0시'!$A$1:$M$200,5,FALSE)</f>
        <v>50</v>
      </c>
      <c r="L59" s="5">
        <f t="shared" si="34"/>
        <v>188080</v>
      </c>
      <c r="M59" s="5">
        <f t="shared" si="35"/>
        <v>33750</v>
      </c>
      <c r="N59" s="5">
        <f t="shared" si="36"/>
        <v>0</v>
      </c>
      <c r="O59" s="5">
        <f>VLOOKUP($B59,'251011_0시'!$A$1:$M$200,4,FALSE)</f>
        <v>821661</v>
      </c>
      <c r="P59" s="5">
        <f>VLOOKUP($B59,'251011_0시'!$A$1:$M$200,5,FALSE)</f>
        <v>50</v>
      </c>
      <c r="Q59" s="5">
        <f t="shared" si="37"/>
        <v>148626</v>
      </c>
      <c r="R59" s="5">
        <f t="shared" si="38"/>
        <v>-39454</v>
      </c>
      <c r="S59" s="5">
        <f t="shared" si="39"/>
        <v>0</v>
      </c>
      <c r="T59" s="5">
        <f>VLOOKUP($B59,'251012_0시'!$A$1:$M$200,4,FALSE)</f>
        <v>968804</v>
      </c>
      <c r="U59" s="5">
        <f>VLOOKUP($B59,'251012_0시'!$A$1:$M$200,5,FALSE)</f>
        <v>341</v>
      </c>
      <c r="V59" s="5">
        <f t="shared" si="40"/>
        <v>147143</v>
      </c>
      <c r="W59" s="5">
        <f t="shared" si="41"/>
        <v>-1483</v>
      </c>
      <c r="X59" s="5">
        <f t="shared" si="42"/>
        <v>291</v>
      </c>
      <c r="Y59" s="5">
        <f>VLOOKUP($B59,'251013_0시'!$A$1:$M$200,4,FALSE)</f>
        <v>1090817</v>
      </c>
      <c r="Z59" s="5">
        <f>VLOOKUP($B59,'251013_0시'!$A$1:$M$200,5,FALSE)</f>
        <v>631</v>
      </c>
      <c r="AA59" s="5">
        <f t="shared" si="43"/>
        <v>122013</v>
      </c>
      <c r="AB59" s="5">
        <f t="shared" si="44"/>
        <v>-25130</v>
      </c>
      <c r="AC59" s="5">
        <f t="shared" si="45"/>
        <v>290</v>
      </c>
      <c r="AD59" s="5">
        <f>VLOOKUP($B59,'251013_0시'!$A$1:$M$200,4,FALSE)</f>
        <v>1090817</v>
      </c>
      <c r="AF59" s="5" t="s">
        <v>773</v>
      </c>
      <c r="AG59" s="5">
        <f>VLOOKUP($AF59,'251013'!$A$1:$M$200,4,FALSE)</f>
        <v>190598</v>
      </c>
      <c r="AH59" s="5">
        <f>VLOOKUP($AF59,'251013'!$A$1:$M$200,5,FALSE)</f>
        <v>0</v>
      </c>
      <c r="AI59" s="5">
        <f>VLOOKUP($AF59,'251014'!$A$1:$M$200,4,FALSE)</f>
        <v>351814</v>
      </c>
      <c r="AJ59" s="5">
        <f>VLOOKUP($AF59,'251014'!$A$1:$M$200,5,FALSE)</f>
        <v>0</v>
      </c>
      <c r="AK59" s="5">
        <f t="shared" si="46"/>
        <v>161216</v>
      </c>
      <c r="AL59" s="5">
        <f t="shared" si="47"/>
        <v>-29382</v>
      </c>
      <c r="AM59" s="5">
        <f t="shared" si="48"/>
        <v>0</v>
      </c>
      <c r="AN59" s="5">
        <f>VLOOKUP($AF59,'251015'!$A$1:$M$200,4,FALSE)</f>
        <v>548607</v>
      </c>
      <c r="AO59" s="5">
        <f>VLOOKUP($AF59,'251015'!$A$1:$M$200,5,FALSE)</f>
        <v>0</v>
      </c>
      <c r="AP59" s="5">
        <f t="shared" si="49"/>
        <v>196793</v>
      </c>
      <c r="AQ59" s="5">
        <f t="shared" si="50"/>
        <v>35577</v>
      </c>
      <c r="AR59" s="5">
        <f t="shared" si="51"/>
        <v>0</v>
      </c>
      <c r="AS59" s="5">
        <f>VLOOKUP($AF59,'251016'!$A$1:$M$200,4,FALSE)</f>
        <v>660562</v>
      </c>
      <c r="AT59" s="5">
        <f>VLOOKUP($AF59,'251016'!$A$1:$M$200,5,FALSE)</f>
        <v>0</v>
      </c>
      <c r="AU59" s="5">
        <f t="shared" si="52"/>
        <v>111955</v>
      </c>
      <c r="AV59" s="5">
        <f t="shared" si="53"/>
        <v>-84838</v>
      </c>
      <c r="AW59" s="5">
        <f t="shared" si="54"/>
        <v>0</v>
      </c>
      <c r="AX59" s="5">
        <f>VLOOKUP($AF59,'251017'!$A$1:$M$200,4,FALSE)</f>
        <v>871190</v>
      </c>
      <c r="AY59" s="5">
        <f>VLOOKUP($AF59,'251017'!$A$1:$M$200,5,FALSE)</f>
        <v>505</v>
      </c>
      <c r="AZ59" s="5">
        <f t="shared" si="55"/>
        <v>210628</v>
      </c>
      <c r="BA59" s="5">
        <f t="shared" si="56"/>
        <v>98673</v>
      </c>
      <c r="BB59" s="5">
        <f t="shared" si="57"/>
        <v>505</v>
      </c>
      <c r="BC59" s="5">
        <f>VLOOKUP($AF59,'251018'!$A$1:$M$200,4,FALSE)</f>
        <v>1003833</v>
      </c>
      <c r="BD59" s="5">
        <f>VLOOKUP($AF59,'251018'!$A$1:$M$200,5,FALSE)</f>
        <v>505</v>
      </c>
      <c r="BE59" s="5">
        <f t="shared" si="58"/>
        <v>132643</v>
      </c>
      <c r="BF59" s="5">
        <f t="shared" si="59"/>
        <v>-77985</v>
      </c>
      <c r="BG59" s="5">
        <f t="shared" si="60"/>
        <v>0</v>
      </c>
      <c r="BH59" s="5">
        <f>VLOOKUP($AF59,'251018'!$A$1:$M$200,4,FALSE)</f>
        <v>1003833</v>
      </c>
    </row>
    <row r="60" spans="2:60" x14ac:dyDescent="0.3">
      <c r="B60" s="5" t="s">
        <v>771</v>
      </c>
      <c r="C60" s="5">
        <f>VLOOKUP($B60,'251008_0시'!$A$1:$M$200,4,FALSE)</f>
        <v>325151</v>
      </c>
      <c r="D60" s="5">
        <f>VLOOKUP($B60,'251008_0시'!$A$1:$M$200,5,FALSE)</f>
        <v>500</v>
      </c>
      <c r="E60" s="5">
        <f>VLOOKUP($B60,'251009_0시'!$A$1:$M$200,4,FALSE)</f>
        <v>477827</v>
      </c>
      <c r="F60" s="5">
        <f>VLOOKUP($B60,'251009_0시'!$A$1:$M$200,5,FALSE)</f>
        <v>500</v>
      </c>
      <c r="G60" s="5">
        <f t="shared" si="31"/>
        <v>152676</v>
      </c>
      <c r="H60" s="5">
        <f t="shared" si="32"/>
        <v>-9899.5</v>
      </c>
      <c r="I60" s="5">
        <f t="shared" si="33"/>
        <v>0</v>
      </c>
      <c r="J60" s="5">
        <f>VLOOKUP($B60,'251010_0시'!$A$1:$M$200,4,FALSE)</f>
        <v>646612</v>
      </c>
      <c r="K60" s="5">
        <f>VLOOKUP($B60,'251010_0시'!$A$1:$M$200,5,FALSE)</f>
        <v>500</v>
      </c>
      <c r="L60" s="5">
        <f t="shared" si="34"/>
        <v>168785</v>
      </c>
      <c r="M60" s="5">
        <f t="shared" si="35"/>
        <v>16109</v>
      </c>
      <c r="N60" s="5">
        <f t="shared" si="36"/>
        <v>0</v>
      </c>
      <c r="O60" s="5">
        <f>VLOOKUP($B60,'251011_0시'!$A$1:$M$200,4,FALSE)</f>
        <v>811098</v>
      </c>
      <c r="P60" s="5">
        <f>VLOOKUP($B60,'251011_0시'!$A$1:$M$200,5,FALSE)</f>
        <v>500</v>
      </c>
      <c r="Q60" s="5">
        <f t="shared" si="37"/>
        <v>164486</v>
      </c>
      <c r="R60" s="5">
        <f t="shared" si="38"/>
        <v>-4299</v>
      </c>
      <c r="S60" s="5">
        <f t="shared" si="39"/>
        <v>0</v>
      </c>
      <c r="T60" s="5">
        <f>VLOOKUP($B60,'251012_0시'!$A$1:$M$200,4,FALSE)</f>
        <v>954293</v>
      </c>
      <c r="U60" s="5">
        <f>VLOOKUP($B60,'251012_0시'!$A$1:$M$200,5,FALSE)</f>
        <v>500</v>
      </c>
      <c r="V60" s="5">
        <f t="shared" si="40"/>
        <v>143195</v>
      </c>
      <c r="W60" s="5">
        <f t="shared" si="41"/>
        <v>-21291</v>
      </c>
      <c r="X60" s="5">
        <f t="shared" si="42"/>
        <v>0</v>
      </c>
      <c r="Y60" s="5">
        <f>VLOOKUP($B60,'251013_0시'!$A$1:$M$200,4,FALSE)</f>
        <v>1086152</v>
      </c>
      <c r="Z60" s="5">
        <f>VLOOKUP($B60,'251013_0시'!$A$1:$M$200,5,FALSE)</f>
        <v>500</v>
      </c>
      <c r="AA60" s="5">
        <f t="shared" si="43"/>
        <v>131859</v>
      </c>
      <c r="AB60" s="5">
        <f t="shared" si="44"/>
        <v>-11336</v>
      </c>
      <c r="AC60" s="5">
        <f t="shared" si="45"/>
        <v>0</v>
      </c>
      <c r="AD60" s="5">
        <f>VLOOKUP($B60,'251013_0시'!$A$1:$M$200,4,FALSE)</f>
        <v>1086152</v>
      </c>
      <c r="AF60" s="5" t="s">
        <v>770</v>
      </c>
      <c r="AG60" s="5">
        <f>VLOOKUP($AF60,'251013'!$A$1:$M$200,4,FALSE)</f>
        <v>154402</v>
      </c>
      <c r="AH60" s="5">
        <f>VLOOKUP($AF60,'251013'!$A$1:$M$200,5,FALSE)</f>
        <v>1640</v>
      </c>
      <c r="AI60" s="5">
        <f>VLOOKUP($AF60,'251014'!$A$1:$M$200,4,FALSE)</f>
        <v>312459</v>
      </c>
      <c r="AJ60" s="5">
        <f>VLOOKUP($AF60,'251014'!$A$1:$M$200,5,FALSE)</f>
        <v>8220</v>
      </c>
      <c r="AK60" s="5">
        <f t="shared" si="46"/>
        <v>158057</v>
      </c>
      <c r="AL60" s="5">
        <f t="shared" si="47"/>
        <v>3655</v>
      </c>
      <c r="AM60" s="5">
        <f t="shared" si="48"/>
        <v>6580</v>
      </c>
      <c r="AN60" s="5">
        <f>VLOOKUP($AF60,'251015'!$A$1:$M$200,4,FALSE)</f>
        <v>499829</v>
      </c>
      <c r="AO60" s="5">
        <f>VLOOKUP($AF60,'251015'!$A$1:$M$200,5,FALSE)</f>
        <v>8370</v>
      </c>
      <c r="AP60" s="5">
        <f t="shared" si="49"/>
        <v>187370</v>
      </c>
      <c r="AQ60" s="5">
        <f t="shared" si="50"/>
        <v>29313</v>
      </c>
      <c r="AR60" s="5">
        <f t="shared" si="51"/>
        <v>150</v>
      </c>
      <c r="AS60" s="5">
        <f>VLOOKUP($AF60,'251016'!$A$1:$M$200,4,FALSE)</f>
        <v>629289</v>
      </c>
      <c r="AT60" s="5">
        <f>VLOOKUP($AF60,'251016'!$A$1:$M$200,5,FALSE)</f>
        <v>8558</v>
      </c>
      <c r="AU60" s="5">
        <f t="shared" si="52"/>
        <v>129460</v>
      </c>
      <c r="AV60" s="5">
        <f t="shared" si="53"/>
        <v>-57910</v>
      </c>
      <c r="AW60" s="5">
        <f t="shared" si="54"/>
        <v>188</v>
      </c>
      <c r="AX60" s="5">
        <f>VLOOKUP($AF60,'251017'!$A$1:$M$200,4,FALSE)</f>
        <v>811400</v>
      </c>
      <c r="AY60" s="5">
        <f>VLOOKUP($AF60,'251017'!$A$1:$M$200,5,FALSE)</f>
        <v>8745</v>
      </c>
      <c r="AZ60" s="5">
        <f t="shared" si="55"/>
        <v>182111</v>
      </c>
      <c r="BA60" s="5">
        <f t="shared" si="56"/>
        <v>52651</v>
      </c>
      <c r="BB60" s="5">
        <f t="shared" si="57"/>
        <v>187</v>
      </c>
      <c r="BC60" s="5">
        <f>VLOOKUP($AF60,'251018'!$A$1:$M$200,4,FALSE)</f>
        <v>987731</v>
      </c>
      <c r="BD60" s="5">
        <f>VLOOKUP($AF60,'251018'!$A$1:$M$200,5,FALSE)</f>
        <v>9825</v>
      </c>
      <c r="BE60" s="5">
        <f t="shared" si="58"/>
        <v>176331</v>
      </c>
      <c r="BF60" s="5">
        <f t="shared" si="59"/>
        <v>-5780</v>
      </c>
      <c r="BG60" s="5">
        <f t="shared" si="60"/>
        <v>1080</v>
      </c>
      <c r="BH60" s="5">
        <f>VLOOKUP($AF60,'251018'!$A$1:$M$200,4,FALSE)</f>
        <v>987731</v>
      </c>
    </row>
    <row r="61" spans="2:60" x14ac:dyDescent="0.3">
      <c r="B61" s="5" t="s">
        <v>951</v>
      </c>
      <c r="C61" s="5">
        <f>VLOOKUP($B61,'251008_0시'!$A$1:$M$200,4,FALSE)</f>
        <v>304945</v>
      </c>
      <c r="D61" s="5">
        <f>VLOOKUP($B61,'251008_0시'!$A$1:$M$200,5,FALSE)</f>
        <v>50</v>
      </c>
      <c r="E61" s="5">
        <f>VLOOKUP($B61,'251009_0시'!$A$1:$M$200,4,FALSE)</f>
        <v>466008</v>
      </c>
      <c r="F61" s="5">
        <f>VLOOKUP($B61,'251009_0시'!$A$1:$M$200,5,FALSE)</f>
        <v>387</v>
      </c>
      <c r="G61" s="5">
        <f t="shared" si="31"/>
        <v>161063</v>
      </c>
      <c r="H61" s="5">
        <f t="shared" si="32"/>
        <v>8590.5</v>
      </c>
      <c r="I61" s="5">
        <f t="shared" si="33"/>
        <v>337</v>
      </c>
      <c r="J61" s="5">
        <f>VLOOKUP($B61,'251010_0시'!$A$1:$M$200,4,FALSE)</f>
        <v>615670</v>
      </c>
      <c r="K61" s="5">
        <f>VLOOKUP($B61,'251010_0시'!$A$1:$M$200,5,FALSE)</f>
        <v>690</v>
      </c>
      <c r="L61" s="5">
        <f t="shared" si="34"/>
        <v>149662</v>
      </c>
      <c r="M61" s="5">
        <f t="shared" si="35"/>
        <v>-11401</v>
      </c>
      <c r="N61" s="5">
        <f t="shared" si="36"/>
        <v>303</v>
      </c>
      <c r="O61" s="5">
        <f>VLOOKUP($B61,'251011_0시'!$A$1:$M$200,4,FALSE)</f>
        <v>748064</v>
      </c>
      <c r="P61" s="5">
        <f>VLOOKUP($B61,'251011_0시'!$A$1:$M$200,5,FALSE)</f>
        <v>1030</v>
      </c>
      <c r="Q61" s="5">
        <f t="shared" si="37"/>
        <v>132394</v>
      </c>
      <c r="R61" s="5">
        <f t="shared" si="38"/>
        <v>-17268</v>
      </c>
      <c r="S61" s="5">
        <f t="shared" si="39"/>
        <v>340</v>
      </c>
      <c r="T61" s="5">
        <f>VLOOKUP($B61,'251012_0시'!$A$1:$M$200,4,FALSE)</f>
        <v>898580</v>
      </c>
      <c r="U61" s="5">
        <f>VLOOKUP($B61,'251012_0시'!$A$1:$M$200,5,FALSE)</f>
        <v>1263</v>
      </c>
      <c r="V61" s="5">
        <f t="shared" si="40"/>
        <v>150516</v>
      </c>
      <c r="W61" s="5">
        <f t="shared" si="41"/>
        <v>18122</v>
      </c>
      <c r="X61" s="5">
        <f t="shared" si="42"/>
        <v>233</v>
      </c>
      <c r="Y61" s="5">
        <f>VLOOKUP($B61,'251013_0시'!$A$1:$M$200,4,FALSE)</f>
        <v>1061420</v>
      </c>
      <c r="Z61" s="5">
        <f>VLOOKUP($B61,'251013_0시'!$A$1:$M$200,5,FALSE)</f>
        <v>1263</v>
      </c>
      <c r="AA61" s="5">
        <f t="shared" si="43"/>
        <v>162840</v>
      </c>
      <c r="AB61" s="5">
        <f t="shared" si="44"/>
        <v>12324</v>
      </c>
      <c r="AC61" s="5">
        <f t="shared" si="45"/>
        <v>0</v>
      </c>
      <c r="AD61" s="5">
        <f>VLOOKUP($B61,'251013_0시'!$A$1:$M$200,4,FALSE)</f>
        <v>1061420</v>
      </c>
      <c r="AF61" s="5" t="s">
        <v>775</v>
      </c>
      <c r="AG61" s="5">
        <f>VLOOKUP($AF61,'251013'!$A$1:$M$200,4,FALSE)</f>
        <v>141193</v>
      </c>
      <c r="AH61" s="5">
        <f>VLOOKUP($AF61,'251013'!$A$1:$M$200,5,FALSE)</f>
        <v>0</v>
      </c>
      <c r="AI61" s="5">
        <f>VLOOKUP($AF61,'251014'!$A$1:$M$200,4,FALSE)</f>
        <v>283272</v>
      </c>
      <c r="AJ61" s="5">
        <f>VLOOKUP($AF61,'251014'!$A$1:$M$200,5,FALSE)</f>
        <v>0</v>
      </c>
      <c r="AK61" s="5">
        <f t="shared" si="46"/>
        <v>142079</v>
      </c>
      <c r="AL61" s="5">
        <f t="shared" si="47"/>
        <v>886</v>
      </c>
      <c r="AM61" s="5">
        <f t="shared" si="48"/>
        <v>0</v>
      </c>
      <c r="AN61" s="5">
        <f>VLOOKUP($AF61,'251015'!$A$1:$M$200,4,FALSE)</f>
        <v>467534</v>
      </c>
      <c r="AO61" s="5">
        <f>VLOOKUP($AF61,'251015'!$A$1:$M$200,5,FALSE)</f>
        <v>0</v>
      </c>
      <c r="AP61" s="5">
        <f t="shared" si="49"/>
        <v>184262</v>
      </c>
      <c r="AQ61" s="5">
        <f t="shared" si="50"/>
        <v>42183</v>
      </c>
      <c r="AR61" s="5">
        <f t="shared" si="51"/>
        <v>0</v>
      </c>
      <c r="AS61" s="5">
        <f>VLOOKUP($AF61,'251016'!$A$1:$M$200,4,FALSE)</f>
        <v>640565</v>
      </c>
      <c r="AT61" s="5">
        <f>VLOOKUP($AF61,'251016'!$A$1:$M$200,5,FALSE)</f>
        <v>0</v>
      </c>
      <c r="AU61" s="5">
        <f t="shared" si="52"/>
        <v>173031</v>
      </c>
      <c r="AV61" s="5">
        <f t="shared" si="53"/>
        <v>-11231</v>
      </c>
      <c r="AW61" s="5">
        <f t="shared" si="54"/>
        <v>0</v>
      </c>
      <c r="AX61" s="5">
        <f>VLOOKUP($AF61,'251017'!$A$1:$M$200,4,FALSE)</f>
        <v>797903</v>
      </c>
      <c r="AY61" s="5">
        <f>VLOOKUP($AF61,'251017'!$A$1:$M$200,5,FALSE)</f>
        <v>0</v>
      </c>
      <c r="AZ61" s="5">
        <f t="shared" si="55"/>
        <v>157338</v>
      </c>
      <c r="BA61" s="5">
        <f t="shared" si="56"/>
        <v>-15693</v>
      </c>
      <c r="BB61" s="5">
        <f t="shared" si="57"/>
        <v>0</v>
      </c>
      <c r="BC61" s="5">
        <f>VLOOKUP($AF61,'251018'!$A$1:$M$200,4,FALSE)</f>
        <v>980179</v>
      </c>
      <c r="BD61" s="5">
        <f>VLOOKUP($AF61,'251018'!$A$1:$M$200,5,FALSE)</f>
        <v>220</v>
      </c>
      <c r="BE61" s="5">
        <f t="shared" si="58"/>
        <v>182276</v>
      </c>
      <c r="BF61" s="5">
        <f t="shared" si="59"/>
        <v>24938</v>
      </c>
      <c r="BG61" s="5">
        <f t="shared" si="60"/>
        <v>220</v>
      </c>
      <c r="BH61" s="5">
        <f>VLOOKUP($AF61,'251018'!$A$1:$M$200,4,FALSE)</f>
        <v>980179</v>
      </c>
    </row>
    <row r="62" spans="2:60" x14ac:dyDescent="0.3">
      <c r="B62" s="5" t="s">
        <v>748</v>
      </c>
      <c r="C62" s="5">
        <f>VLOOKUP($B62,'251008_0시'!$A$1:$M$200,4,FALSE)</f>
        <v>324138</v>
      </c>
      <c r="D62" s="5">
        <f>VLOOKUP($B62,'251008_0시'!$A$1:$M$200,5,FALSE)</f>
        <v>0</v>
      </c>
      <c r="E62" s="5">
        <f>VLOOKUP($B62,'251009_0시'!$A$1:$M$200,4,FALSE)</f>
        <v>552203</v>
      </c>
      <c r="F62" s="5">
        <f>VLOOKUP($B62,'251009_0시'!$A$1:$M$200,5,FALSE)</f>
        <v>120</v>
      </c>
      <c r="G62" s="5">
        <f t="shared" si="31"/>
        <v>228065</v>
      </c>
      <c r="H62" s="5">
        <f t="shared" si="32"/>
        <v>65996</v>
      </c>
      <c r="I62" s="5">
        <f t="shared" si="33"/>
        <v>120</v>
      </c>
      <c r="J62" s="5">
        <f>VLOOKUP($B62,'251010_0시'!$A$1:$M$200,4,FALSE)</f>
        <v>683825</v>
      </c>
      <c r="K62" s="5">
        <f>VLOOKUP($B62,'251010_0시'!$A$1:$M$200,5,FALSE)</f>
        <v>514</v>
      </c>
      <c r="L62" s="5">
        <f t="shared" si="34"/>
        <v>131622</v>
      </c>
      <c r="M62" s="5">
        <f t="shared" si="35"/>
        <v>-96443</v>
      </c>
      <c r="N62" s="5">
        <f t="shared" si="36"/>
        <v>394</v>
      </c>
      <c r="O62" s="5">
        <f>VLOOKUP($B62,'251011_0시'!$A$1:$M$200,4,FALSE)</f>
        <v>816401</v>
      </c>
      <c r="P62" s="5">
        <f>VLOOKUP($B62,'251011_0시'!$A$1:$M$200,5,FALSE)</f>
        <v>514</v>
      </c>
      <c r="Q62" s="5">
        <f t="shared" si="37"/>
        <v>132576</v>
      </c>
      <c r="R62" s="5">
        <f t="shared" si="38"/>
        <v>954</v>
      </c>
      <c r="S62" s="5">
        <f t="shared" si="39"/>
        <v>0</v>
      </c>
      <c r="T62" s="5">
        <f>VLOOKUP($B62,'251012_0시'!$A$1:$M$200,4,FALSE)</f>
        <v>956738</v>
      </c>
      <c r="U62" s="5">
        <f>VLOOKUP($B62,'251012_0시'!$A$1:$M$200,5,FALSE)</f>
        <v>514</v>
      </c>
      <c r="V62" s="5">
        <f t="shared" si="40"/>
        <v>140337</v>
      </c>
      <c r="W62" s="5">
        <f t="shared" si="41"/>
        <v>7761</v>
      </c>
      <c r="X62" s="5">
        <f t="shared" si="42"/>
        <v>0</v>
      </c>
      <c r="Y62" s="5">
        <f>VLOOKUP($B62,'251013_0시'!$A$1:$M$200,4,FALSE)</f>
        <v>1059817</v>
      </c>
      <c r="Z62" s="5">
        <f>VLOOKUP($B62,'251013_0시'!$A$1:$M$200,5,FALSE)</f>
        <v>514</v>
      </c>
      <c r="AA62" s="5">
        <f t="shared" si="43"/>
        <v>103079</v>
      </c>
      <c r="AB62" s="5">
        <f t="shared" si="44"/>
        <v>-37258</v>
      </c>
      <c r="AC62" s="5">
        <f t="shared" si="45"/>
        <v>0</v>
      </c>
      <c r="AD62" s="5">
        <f>VLOOKUP($B62,'251013_0시'!$A$1:$M$200,4,FALSE)</f>
        <v>1059817</v>
      </c>
      <c r="AF62" s="5" t="s">
        <v>767</v>
      </c>
      <c r="AG62" s="5">
        <f>VLOOKUP($AF62,'251013'!$A$1:$M$200,4,FALSE)</f>
        <v>140856</v>
      </c>
      <c r="AH62" s="5">
        <f>VLOOKUP($AF62,'251013'!$A$1:$M$200,5,FALSE)</f>
        <v>0</v>
      </c>
      <c r="AI62" s="5">
        <f>VLOOKUP($AF62,'251014'!$A$1:$M$200,4,FALSE)</f>
        <v>280329</v>
      </c>
      <c r="AJ62" s="5">
        <f>VLOOKUP($AF62,'251014'!$A$1:$M$200,5,FALSE)</f>
        <v>0</v>
      </c>
      <c r="AK62" s="5">
        <f t="shared" si="46"/>
        <v>139473</v>
      </c>
      <c r="AL62" s="5">
        <f t="shared" si="47"/>
        <v>-1383</v>
      </c>
      <c r="AM62" s="5">
        <f t="shared" si="48"/>
        <v>0</v>
      </c>
      <c r="AN62" s="5">
        <f>VLOOKUP($AF62,'251015'!$A$1:$M$200,4,FALSE)</f>
        <v>491244</v>
      </c>
      <c r="AO62" s="5">
        <f>VLOOKUP($AF62,'251015'!$A$1:$M$200,5,FALSE)</f>
        <v>50</v>
      </c>
      <c r="AP62" s="5">
        <f t="shared" si="49"/>
        <v>210915</v>
      </c>
      <c r="AQ62" s="5">
        <f t="shared" si="50"/>
        <v>71442</v>
      </c>
      <c r="AR62" s="5">
        <f t="shared" si="51"/>
        <v>50</v>
      </c>
      <c r="AS62" s="5">
        <f>VLOOKUP($AF62,'251016'!$A$1:$M$200,4,FALSE)</f>
        <v>619113</v>
      </c>
      <c r="AT62" s="5">
        <f>VLOOKUP($AF62,'251016'!$A$1:$M$200,5,FALSE)</f>
        <v>50</v>
      </c>
      <c r="AU62" s="5">
        <f t="shared" si="52"/>
        <v>127869</v>
      </c>
      <c r="AV62" s="5">
        <f t="shared" si="53"/>
        <v>-83046</v>
      </c>
      <c r="AW62" s="5">
        <f t="shared" si="54"/>
        <v>0</v>
      </c>
      <c r="AX62" s="5">
        <f>VLOOKUP($AF62,'251017'!$A$1:$M$200,4,FALSE)</f>
        <v>764836</v>
      </c>
      <c r="AY62" s="5">
        <f>VLOOKUP($AF62,'251017'!$A$1:$M$200,5,FALSE)</f>
        <v>50</v>
      </c>
      <c r="AZ62" s="5">
        <f t="shared" si="55"/>
        <v>145723</v>
      </c>
      <c r="BA62" s="5">
        <f t="shared" si="56"/>
        <v>17854</v>
      </c>
      <c r="BB62" s="5">
        <f t="shared" si="57"/>
        <v>0</v>
      </c>
      <c r="BC62" s="5">
        <f>VLOOKUP($AF62,'251018'!$A$1:$M$200,4,FALSE)</f>
        <v>975691</v>
      </c>
      <c r="BD62" s="5">
        <f>VLOOKUP($AF62,'251018'!$A$1:$M$200,5,FALSE)</f>
        <v>500</v>
      </c>
      <c r="BE62" s="5">
        <f t="shared" si="58"/>
        <v>210855</v>
      </c>
      <c r="BF62" s="5">
        <f t="shared" si="59"/>
        <v>65132</v>
      </c>
      <c r="BG62" s="5">
        <f t="shared" si="60"/>
        <v>450</v>
      </c>
      <c r="BH62" s="5">
        <f>VLOOKUP($AF62,'251018'!$A$1:$M$200,4,FALSE)</f>
        <v>975691</v>
      </c>
    </row>
    <row r="63" spans="2:60" x14ac:dyDescent="0.3">
      <c r="B63" s="5" t="s">
        <v>808</v>
      </c>
      <c r="C63" s="5">
        <f>VLOOKUP($B63,'251008_0시'!$A$1:$M$200,4,FALSE)</f>
        <v>285307</v>
      </c>
      <c r="D63" s="5">
        <f>VLOOKUP($B63,'251008_0시'!$A$1:$M$200,5,FALSE)</f>
        <v>350</v>
      </c>
      <c r="E63" s="5">
        <f>VLOOKUP($B63,'251009_0시'!$A$1:$M$200,4,FALSE)</f>
        <v>464685</v>
      </c>
      <c r="F63" s="5">
        <f>VLOOKUP($B63,'251009_0시'!$A$1:$M$200,5,FALSE)</f>
        <v>350</v>
      </c>
      <c r="G63" s="5">
        <f t="shared" si="31"/>
        <v>179378</v>
      </c>
      <c r="H63" s="5">
        <f t="shared" si="32"/>
        <v>36724.5</v>
      </c>
      <c r="I63" s="5">
        <f t="shared" si="33"/>
        <v>0</v>
      </c>
      <c r="J63" s="5">
        <f>VLOOKUP($B63,'251010_0시'!$A$1:$M$200,4,FALSE)</f>
        <v>613953</v>
      </c>
      <c r="K63" s="5">
        <f>VLOOKUP($B63,'251010_0시'!$A$1:$M$200,5,FALSE)</f>
        <v>648</v>
      </c>
      <c r="L63" s="5">
        <f t="shared" si="34"/>
        <v>149268</v>
      </c>
      <c r="M63" s="5">
        <f t="shared" si="35"/>
        <v>-30110</v>
      </c>
      <c r="N63" s="5">
        <f t="shared" si="36"/>
        <v>298</v>
      </c>
      <c r="O63" s="5">
        <f>VLOOKUP($B63,'251011_0시'!$A$1:$M$200,4,FALSE)</f>
        <v>759512</v>
      </c>
      <c r="P63" s="5">
        <f>VLOOKUP($B63,'251011_0시'!$A$1:$M$200,5,FALSE)</f>
        <v>648</v>
      </c>
      <c r="Q63" s="5">
        <f t="shared" si="37"/>
        <v>145559</v>
      </c>
      <c r="R63" s="5">
        <f t="shared" si="38"/>
        <v>-3709</v>
      </c>
      <c r="S63" s="5">
        <f t="shared" si="39"/>
        <v>0</v>
      </c>
      <c r="T63" s="5">
        <f>VLOOKUP($B63,'251012_0시'!$A$1:$M$200,4,FALSE)</f>
        <v>913537</v>
      </c>
      <c r="U63" s="5">
        <f>VLOOKUP($B63,'251012_0시'!$A$1:$M$200,5,FALSE)</f>
        <v>648</v>
      </c>
      <c r="V63" s="5">
        <f t="shared" si="40"/>
        <v>154025</v>
      </c>
      <c r="W63" s="5">
        <f t="shared" si="41"/>
        <v>8466</v>
      </c>
      <c r="X63" s="5">
        <f t="shared" si="42"/>
        <v>0</v>
      </c>
      <c r="Y63" s="5">
        <f>VLOOKUP($B63,'251013_0시'!$A$1:$M$200,4,FALSE)</f>
        <v>1051641</v>
      </c>
      <c r="Z63" s="5">
        <f>VLOOKUP($B63,'251013_0시'!$A$1:$M$200,5,FALSE)</f>
        <v>768</v>
      </c>
      <c r="AA63" s="5">
        <f t="shared" si="43"/>
        <v>138104</v>
      </c>
      <c r="AB63" s="5">
        <f t="shared" si="44"/>
        <v>-15921</v>
      </c>
      <c r="AC63" s="5">
        <f t="shared" si="45"/>
        <v>120</v>
      </c>
      <c r="AD63" s="5">
        <f>VLOOKUP($B63,'251013_0시'!$A$1:$M$200,4,FALSE)</f>
        <v>1051641</v>
      </c>
      <c r="AF63" s="5" t="s">
        <v>785</v>
      </c>
      <c r="AG63" s="5">
        <f>VLOOKUP($AF63,'251013'!$A$1:$M$200,4,FALSE)</f>
        <v>175518</v>
      </c>
      <c r="AH63" s="5">
        <f>VLOOKUP($AF63,'251013'!$A$1:$M$200,5,FALSE)</f>
        <v>5083</v>
      </c>
      <c r="AI63" s="5">
        <f>VLOOKUP($AF63,'251014'!$A$1:$M$200,4,FALSE)</f>
        <v>337993</v>
      </c>
      <c r="AJ63" s="5">
        <f>VLOOKUP($AF63,'251014'!$A$1:$M$200,5,FALSE)</f>
        <v>8838</v>
      </c>
      <c r="AK63" s="5">
        <f t="shared" si="46"/>
        <v>162475</v>
      </c>
      <c r="AL63" s="5">
        <f t="shared" si="47"/>
        <v>-13043</v>
      </c>
      <c r="AM63" s="5">
        <f t="shared" si="48"/>
        <v>3755</v>
      </c>
      <c r="AN63" s="5">
        <f>VLOOKUP($AF63,'251015'!$A$1:$M$200,4,FALSE)</f>
        <v>512340</v>
      </c>
      <c r="AO63" s="5">
        <f>VLOOKUP($AF63,'251015'!$A$1:$M$200,5,FALSE)</f>
        <v>10638</v>
      </c>
      <c r="AP63" s="5">
        <f t="shared" si="49"/>
        <v>174347</v>
      </c>
      <c r="AQ63" s="5">
        <f t="shared" si="50"/>
        <v>11872</v>
      </c>
      <c r="AR63" s="5">
        <f t="shared" si="51"/>
        <v>1800</v>
      </c>
      <c r="AS63" s="5">
        <f>VLOOKUP($AF63,'251016'!$A$1:$M$200,4,FALSE)</f>
        <v>677499</v>
      </c>
      <c r="AT63" s="5">
        <f>VLOOKUP($AF63,'251016'!$A$1:$M$200,5,FALSE)</f>
        <v>13338</v>
      </c>
      <c r="AU63" s="5">
        <f t="shared" si="52"/>
        <v>165159</v>
      </c>
      <c r="AV63" s="5">
        <f t="shared" si="53"/>
        <v>-9188</v>
      </c>
      <c r="AW63" s="5">
        <f t="shared" si="54"/>
        <v>2700</v>
      </c>
      <c r="AX63" s="5">
        <f>VLOOKUP($AF63,'251017'!$A$1:$M$200,4,FALSE)</f>
        <v>824938</v>
      </c>
      <c r="AY63" s="5">
        <f>VLOOKUP($AF63,'251017'!$A$1:$M$200,5,FALSE)</f>
        <v>14588</v>
      </c>
      <c r="AZ63" s="5">
        <f t="shared" si="55"/>
        <v>147439</v>
      </c>
      <c r="BA63" s="5">
        <f t="shared" si="56"/>
        <v>-17720</v>
      </c>
      <c r="BB63" s="5">
        <f t="shared" si="57"/>
        <v>1250</v>
      </c>
      <c r="BC63" s="5">
        <f>VLOOKUP($AF63,'251018'!$A$1:$M$200,4,FALSE)</f>
        <v>971541</v>
      </c>
      <c r="BD63" s="5">
        <f>VLOOKUP($AF63,'251018'!$A$1:$M$200,5,FALSE)</f>
        <v>19088</v>
      </c>
      <c r="BE63" s="5">
        <f t="shared" si="58"/>
        <v>146603</v>
      </c>
      <c r="BF63" s="5">
        <f t="shared" si="59"/>
        <v>-836</v>
      </c>
      <c r="BG63" s="5">
        <f t="shared" si="60"/>
        <v>4500</v>
      </c>
      <c r="BH63" s="5">
        <f>VLOOKUP($AF63,'251018'!$A$1:$M$200,4,FALSE)</f>
        <v>971541</v>
      </c>
    </row>
    <row r="64" spans="2:60" x14ac:dyDescent="0.3">
      <c r="B64" s="5" t="s">
        <v>781</v>
      </c>
      <c r="C64" s="5">
        <f>VLOOKUP($B64,'251008_0시'!$A$1:$M$200,4,FALSE)</f>
        <v>303753</v>
      </c>
      <c r="D64" s="5">
        <f>VLOOKUP($B64,'251008_0시'!$A$1:$M$200,5,FALSE)</f>
        <v>0</v>
      </c>
      <c r="E64" s="5">
        <f>VLOOKUP($B64,'251009_0시'!$A$1:$M$200,4,FALSE)</f>
        <v>470974</v>
      </c>
      <c r="F64" s="5">
        <f>VLOOKUP($B64,'251009_0시'!$A$1:$M$200,5,FALSE)</f>
        <v>101</v>
      </c>
      <c r="G64" s="5">
        <f t="shared" si="31"/>
        <v>167221</v>
      </c>
      <c r="H64" s="5">
        <f t="shared" si="32"/>
        <v>15344.5</v>
      </c>
      <c r="I64" s="5">
        <f t="shared" si="33"/>
        <v>101</v>
      </c>
      <c r="J64" s="5">
        <f>VLOOKUP($B64,'251010_0시'!$A$1:$M$200,4,FALSE)</f>
        <v>622778</v>
      </c>
      <c r="K64" s="5">
        <f>VLOOKUP($B64,'251010_0시'!$A$1:$M$200,5,FALSE)</f>
        <v>101</v>
      </c>
      <c r="L64" s="5">
        <f t="shared" si="34"/>
        <v>151804</v>
      </c>
      <c r="M64" s="5">
        <f t="shared" si="35"/>
        <v>-15417</v>
      </c>
      <c r="N64" s="5">
        <f t="shared" si="36"/>
        <v>0</v>
      </c>
      <c r="O64" s="5">
        <f>VLOOKUP($B64,'251011_0시'!$A$1:$M$200,4,FALSE)</f>
        <v>774565</v>
      </c>
      <c r="P64" s="5">
        <f>VLOOKUP($B64,'251011_0시'!$A$1:$M$200,5,FALSE)</f>
        <v>101</v>
      </c>
      <c r="Q64" s="5">
        <f t="shared" si="37"/>
        <v>151787</v>
      </c>
      <c r="R64" s="5">
        <f t="shared" si="38"/>
        <v>-17</v>
      </c>
      <c r="S64" s="5">
        <f t="shared" si="39"/>
        <v>0</v>
      </c>
      <c r="T64" s="5">
        <f>VLOOKUP($B64,'251012_0시'!$A$1:$M$200,4,FALSE)</f>
        <v>923970</v>
      </c>
      <c r="U64" s="5">
        <f>VLOOKUP($B64,'251012_0시'!$A$1:$M$200,5,FALSE)</f>
        <v>101</v>
      </c>
      <c r="V64" s="5">
        <f t="shared" si="40"/>
        <v>149405</v>
      </c>
      <c r="W64" s="5">
        <f t="shared" si="41"/>
        <v>-2382</v>
      </c>
      <c r="X64" s="5">
        <f t="shared" si="42"/>
        <v>0</v>
      </c>
      <c r="Y64" s="5">
        <f>VLOOKUP($B64,'251013_0시'!$A$1:$M$200,4,FALSE)</f>
        <v>1046877</v>
      </c>
      <c r="Z64" s="5">
        <f>VLOOKUP($B64,'251013_0시'!$A$1:$M$200,5,FALSE)</f>
        <v>101</v>
      </c>
      <c r="AA64" s="5">
        <f t="shared" si="43"/>
        <v>122907</v>
      </c>
      <c r="AB64" s="5">
        <f t="shared" si="44"/>
        <v>-26498</v>
      </c>
      <c r="AC64" s="5">
        <f t="shared" si="45"/>
        <v>0</v>
      </c>
      <c r="AD64" s="5">
        <f>VLOOKUP($B64,'251013_0시'!$A$1:$M$200,4,FALSE)</f>
        <v>1046877</v>
      </c>
      <c r="AF64" s="5" t="s">
        <v>774</v>
      </c>
      <c r="AG64" s="5">
        <f>VLOOKUP($AF64,'251013'!$A$1:$M$200,4,FALSE)</f>
        <v>178548</v>
      </c>
      <c r="AH64" s="5">
        <f>VLOOKUP($AF64,'251013'!$A$1:$M$200,5,FALSE)</f>
        <v>0</v>
      </c>
      <c r="AI64" s="5">
        <f>VLOOKUP($AF64,'251014'!$A$1:$M$200,4,FALSE)</f>
        <v>274323</v>
      </c>
      <c r="AJ64" s="5">
        <f>VLOOKUP($AF64,'251014'!$A$1:$M$200,5,FALSE)</f>
        <v>0</v>
      </c>
      <c r="AK64" s="5">
        <f t="shared" si="46"/>
        <v>95775</v>
      </c>
      <c r="AL64" s="5">
        <f t="shared" si="47"/>
        <v>-82773</v>
      </c>
      <c r="AM64" s="5">
        <f t="shared" si="48"/>
        <v>0</v>
      </c>
      <c r="AN64" s="5">
        <f>VLOOKUP($AF64,'251015'!$A$1:$M$200,4,FALSE)</f>
        <v>489851</v>
      </c>
      <c r="AO64" s="5">
        <f>VLOOKUP($AF64,'251015'!$A$1:$M$200,5,FALSE)</f>
        <v>0</v>
      </c>
      <c r="AP64" s="5">
        <f t="shared" si="49"/>
        <v>215528</v>
      </c>
      <c r="AQ64" s="5">
        <f t="shared" si="50"/>
        <v>119753</v>
      </c>
      <c r="AR64" s="5">
        <f t="shared" si="51"/>
        <v>0</v>
      </c>
      <c r="AS64" s="5">
        <f>VLOOKUP($AF64,'251016'!$A$1:$M$200,4,FALSE)</f>
        <v>678499</v>
      </c>
      <c r="AT64" s="5">
        <f>VLOOKUP($AF64,'251016'!$A$1:$M$200,5,FALSE)</f>
        <v>0</v>
      </c>
      <c r="AU64" s="5">
        <f t="shared" si="52"/>
        <v>188648</v>
      </c>
      <c r="AV64" s="5">
        <f t="shared" si="53"/>
        <v>-26880</v>
      </c>
      <c r="AW64" s="5">
        <f t="shared" si="54"/>
        <v>0</v>
      </c>
      <c r="AX64" s="5">
        <f>VLOOKUP($AF64,'251017'!$A$1:$M$200,4,FALSE)</f>
        <v>826903</v>
      </c>
      <c r="AY64" s="5">
        <f>VLOOKUP($AF64,'251017'!$A$1:$M$200,5,FALSE)</f>
        <v>0</v>
      </c>
      <c r="AZ64" s="5">
        <f t="shared" si="55"/>
        <v>148404</v>
      </c>
      <c r="BA64" s="5">
        <f t="shared" si="56"/>
        <v>-40244</v>
      </c>
      <c r="BB64" s="5">
        <f t="shared" si="57"/>
        <v>0</v>
      </c>
      <c r="BC64" s="5">
        <f>VLOOKUP($AF64,'251018'!$A$1:$M$200,4,FALSE)</f>
        <v>967534</v>
      </c>
      <c r="BD64" s="5">
        <f>VLOOKUP($AF64,'251018'!$A$1:$M$200,5,FALSE)</f>
        <v>0</v>
      </c>
      <c r="BE64" s="5">
        <f t="shared" si="58"/>
        <v>140631</v>
      </c>
      <c r="BF64" s="5">
        <f t="shared" si="59"/>
        <v>-7773</v>
      </c>
      <c r="BG64" s="5">
        <f t="shared" si="60"/>
        <v>0</v>
      </c>
      <c r="BH64" s="5">
        <f>VLOOKUP($AF64,'251018'!$A$1:$M$200,4,FALSE)</f>
        <v>967534</v>
      </c>
    </row>
    <row r="65" spans="1:60" x14ac:dyDescent="0.3">
      <c r="B65" s="5" t="s">
        <v>600</v>
      </c>
      <c r="C65" s="5">
        <f>VLOOKUP($B65,'251008_0시'!$A$1:$M$200,4,FALSE)</f>
        <v>301039</v>
      </c>
      <c r="D65" s="5">
        <f>VLOOKUP($B65,'251008_0시'!$A$1:$M$200,5,FALSE)</f>
        <v>50</v>
      </c>
      <c r="E65" s="5">
        <f>VLOOKUP($B65,'251009_0시'!$A$1:$M$200,4,FALSE)</f>
        <v>409750</v>
      </c>
      <c r="F65" s="5">
        <f>VLOOKUP($B65,'251009_0시'!$A$1:$M$200,5,FALSE)</f>
        <v>50</v>
      </c>
      <c r="G65" s="5">
        <f t="shared" si="31"/>
        <v>108711</v>
      </c>
      <c r="H65" s="5">
        <f t="shared" si="32"/>
        <v>-41808.5</v>
      </c>
      <c r="I65" s="5">
        <f t="shared" si="33"/>
        <v>0</v>
      </c>
      <c r="J65" s="5">
        <f>VLOOKUP($B65,'251010_0시'!$A$1:$M$200,4,FALSE)</f>
        <v>523681</v>
      </c>
      <c r="K65" s="5">
        <f>VLOOKUP($B65,'251010_0시'!$A$1:$M$200,5,FALSE)</f>
        <v>998</v>
      </c>
      <c r="L65" s="5">
        <f t="shared" si="34"/>
        <v>113931</v>
      </c>
      <c r="M65" s="5">
        <f t="shared" si="35"/>
        <v>5220</v>
      </c>
      <c r="N65" s="5">
        <f t="shared" si="36"/>
        <v>948</v>
      </c>
      <c r="O65" s="5">
        <f>VLOOKUP($B65,'251011_0시'!$A$1:$M$200,4,FALSE)</f>
        <v>695897</v>
      </c>
      <c r="P65" s="5">
        <f>VLOOKUP($B65,'251011_0시'!$A$1:$M$200,5,FALSE)</f>
        <v>1938</v>
      </c>
      <c r="Q65" s="5">
        <f t="shared" si="37"/>
        <v>172216</v>
      </c>
      <c r="R65" s="5">
        <f t="shared" si="38"/>
        <v>58285</v>
      </c>
      <c r="S65" s="5">
        <f t="shared" si="39"/>
        <v>940</v>
      </c>
      <c r="T65" s="5">
        <f>VLOOKUP($B65,'251012_0시'!$A$1:$M$200,4,FALSE)</f>
        <v>875112</v>
      </c>
      <c r="U65" s="5">
        <f>VLOOKUP($B65,'251012_0시'!$A$1:$M$200,5,FALSE)</f>
        <v>1938</v>
      </c>
      <c r="V65" s="5">
        <f t="shared" si="40"/>
        <v>179215</v>
      </c>
      <c r="W65" s="5">
        <f t="shared" si="41"/>
        <v>6999</v>
      </c>
      <c r="X65" s="5">
        <f t="shared" si="42"/>
        <v>0</v>
      </c>
      <c r="Y65" s="5">
        <f>VLOOKUP($B65,'251013_0시'!$A$1:$M$200,4,FALSE)</f>
        <v>1031589</v>
      </c>
      <c r="Z65" s="5">
        <f>VLOOKUP($B65,'251013_0시'!$A$1:$M$200,5,FALSE)</f>
        <v>2338</v>
      </c>
      <c r="AA65" s="5">
        <f t="shared" si="43"/>
        <v>156477</v>
      </c>
      <c r="AB65" s="5">
        <f t="shared" si="44"/>
        <v>-22738</v>
      </c>
      <c r="AC65" s="5">
        <f t="shared" si="45"/>
        <v>400</v>
      </c>
      <c r="AD65" s="5">
        <f>VLOOKUP($B65,'251013_0시'!$A$1:$M$200,4,FALSE)</f>
        <v>1031589</v>
      </c>
      <c r="AF65" s="5" t="s">
        <v>778</v>
      </c>
      <c r="AG65" s="5">
        <f>VLOOKUP($AF65,'251013'!$A$1:$M$200,4,FALSE)</f>
        <v>136904</v>
      </c>
      <c r="AH65" s="5">
        <f>VLOOKUP($AF65,'251013'!$A$1:$M$200,5,FALSE)</f>
        <v>0</v>
      </c>
      <c r="AI65" s="5">
        <f>VLOOKUP($AF65,'251014'!$A$1:$M$200,4,FALSE)</f>
        <v>304512</v>
      </c>
      <c r="AJ65" s="5">
        <f>VLOOKUP($AF65,'251014'!$A$1:$M$200,5,FALSE)</f>
        <v>1350</v>
      </c>
      <c r="AK65" s="5">
        <f t="shared" si="46"/>
        <v>167608</v>
      </c>
      <c r="AL65" s="5">
        <f t="shared" si="47"/>
        <v>30704</v>
      </c>
      <c r="AM65" s="5">
        <f t="shared" si="48"/>
        <v>1350</v>
      </c>
      <c r="AN65" s="5">
        <f>VLOOKUP($AF65,'251015'!$A$1:$M$200,4,FALSE)</f>
        <v>425697</v>
      </c>
      <c r="AO65" s="5">
        <f>VLOOKUP($AF65,'251015'!$A$1:$M$200,5,FALSE)</f>
        <v>1350</v>
      </c>
      <c r="AP65" s="5">
        <f t="shared" si="49"/>
        <v>121185</v>
      </c>
      <c r="AQ65" s="5">
        <f t="shared" si="50"/>
        <v>-46423</v>
      </c>
      <c r="AR65" s="5">
        <f t="shared" si="51"/>
        <v>0</v>
      </c>
      <c r="AS65" s="5">
        <f>VLOOKUP($AF65,'251016'!$A$1:$M$200,4,FALSE)</f>
        <v>566831</v>
      </c>
      <c r="AT65" s="5">
        <f>VLOOKUP($AF65,'251016'!$A$1:$M$200,5,FALSE)</f>
        <v>1350</v>
      </c>
      <c r="AU65" s="5">
        <f t="shared" si="52"/>
        <v>141134</v>
      </c>
      <c r="AV65" s="5">
        <f t="shared" si="53"/>
        <v>19949</v>
      </c>
      <c r="AW65" s="5">
        <f t="shared" si="54"/>
        <v>0</v>
      </c>
      <c r="AX65" s="5">
        <f>VLOOKUP($AF65,'251017'!$A$1:$M$200,4,FALSE)</f>
        <v>777634</v>
      </c>
      <c r="AY65" s="5">
        <f>VLOOKUP($AF65,'251017'!$A$1:$M$200,5,FALSE)</f>
        <v>1634</v>
      </c>
      <c r="AZ65" s="5">
        <f t="shared" si="55"/>
        <v>210803</v>
      </c>
      <c r="BA65" s="5">
        <f t="shared" si="56"/>
        <v>69669</v>
      </c>
      <c r="BB65" s="5">
        <f t="shared" si="57"/>
        <v>284</v>
      </c>
      <c r="BC65" s="5">
        <f>VLOOKUP($AF65,'251018'!$A$1:$M$200,4,FALSE)</f>
        <v>963099</v>
      </c>
      <c r="BD65" s="5">
        <f>VLOOKUP($AF65,'251018'!$A$1:$M$200,5,FALSE)</f>
        <v>1634</v>
      </c>
      <c r="BE65" s="5">
        <f t="shared" si="58"/>
        <v>185465</v>
      </c>
      <c r="BF65" s="5">
        <f t="shared" si="59"/>
        <v>-25338</v>
      </c>
      <c r="BG65" s="5">
        <f t="shared" si="60"/>
        <v>0</v>
      </c>
      <c r="BH65" s="5">
        <f>VLOOKUP($AF65,'251018'!$A$1:$M$200,4,FALSE)</f>
        <v>963099</v>
      </c>
    </row>
    <row r="66" spans="1:60" x14ac:dyDescent="0.3">
      <c r="A66" t="s">
        <v>700</v>
      </c>
      <c r="B66" s="5" t="s">
        <v>818</v>
      </c>
      <c r="C66" s="5">
        <f>VLOOKUP($B66,'251008_0시'!$A$1:$M$200,4,FALSE)</f>
        <v>314470</v>
      </c>
      <c r="D66" s="5">
        <f>VLOOKUP($B66,'251008_0시'!$A$1:$M$200,5,FALSE)</f>
        <v>10990</v>
      </c>
      <c r="E66" s="5">
        <f>VLOOKUP($B66,'251009_0시'!$A$1:$M$200,4,FALSE)</f>
        <v>458128</v>
      </c>
      <c r="F66" s="5">
        <f>VLOOKUP($B66,'251009_0시'!$A$1:$M$200,5,FALSE)</f>
        <v>17290</v>
      </c>
      <c r="G66" s="5">
        <f t="shared" si="31"/>
        <v>143658</v>
      </c>
      <c r="H66" s="5">
        <f t="shared" si="32"/>
        <v>-13577</v>
      </c>
      <c r="I66" s="5">
        <f t="shared" si="33"/>
        <v>6300</v>
      </c>
      <c r="J66" s="5">
        <f>VLOOKUP($B66,'251010_0시'!$A$1:$M$200,4,FALSE)</f>
        <v>586360</v>
      </c>
      <c r="K66" s="5">
        <f>VLOOKUP($B66,'251010_0시'!$A$1:$M$200,5,FALSE)</f>
        <v>22240</v>
      </c>
      <c r="L66" s="5">
        <f t="shared" si="34"/>
        <v>128232</v>
      </c>
      <c r="M66" s="5">
        <f t="shared" si="35"/>
        <v>-15426</v>
      </c>
      <c r="N66" s="5">
        <f t="shared" si="36"/>
        <v>4950</v>
      </c>
      <c r="O66" s="5">
        <f>VLOOKUP($B66,'251011_0시'!$A$1:$M$200,4,FALSE)</f>
        <v>717087</v>
      </c>
      <c r="P66" s="5">
        <f>VLOOKUP($B66,'251011_0시'!$A$1:$M$200,5,FALSE)</f>
        <v>24940</v>
      </c>
      <c r="Q66" s="5">
        <f t="shared" si="37"/>
        <v>130727</v>
      </c>
      <c r="R66" s="5">
        <f t="shared" si="38"/>
        <v>2495</v>
      </c>
      <c r="S66" s="5">
        <f t="shared" si="39"/>
        <v>2700</v>
      </c>
      <c r="T66" s="5">
        <f>VLOOKUP($B66,'251012_0시'!$A$1:$M$200,4,FALSE)</f>
        <v>894334</v>
      </c>
      <c r="U66" s="5">
        <f>VLOOKUP($B66,'251012_0시'!$A$1:$M$200,5,FALSE)</f>
        <v>30441</v>
      </c>
      <c r="V66" s="5">
        <f t="shared" si="40"/>
        <v>177247</v>
      </c>
      <c r="W66" s="5">
        <f t="shared" si="41"/>
        <v>46520</v>
      </c>
      <c r="X66" s="5">
        <f t="shared" si="42"/>
        <v>5501</v>
      </c>
      <c r="Y66" s="5">
        <f>VLOOKUP($B66,'251013_0시'!$A$1:$M$200,4,FALSE)</f>
        <v>1029728</v>
      </c>
      <c r="Z66" s="5">
        <f>VLOOKUP($B66,'251013_0시'!$A$1:$M$200,5,FALSE)</f>
        <v>35841</v>
      </c>
      <c r="AA66" s="5">
        <f t="shared" si="43"/>
        <v>135394</v>
      </c>
      <c r="AB66" s="5">
        <f t="shared" si="44"/>
        <v>-41853</v>
      </c>
      <c r="AC66" s="5">
        <f t="shared" si="45"/>
        <v>5400</v>
      </c>
      <c r="AD66" s="5">
        <f>VLOOKUP($B66,'251013_0시'!$A$1:$M$200,4,FALSE)</f>
        <v>1029728</v>
      </c>
      <c r="AF66" s="5" t="s">
        <v>952</v>
      </c>
      <c r="AG66" s="5">
        <f>VLOOKUP($AF66,'251013'!$A$1:$M$200,4,FALSE)</f>
        <v>154623</v>
      </c>
      <c r="AH66" s="5">
        <f>VLOOKUP($AF66,'251013'!$A$1:$M$200,5,FALSE)</f>
        <v>303</v>
      </c>
      <c r="AI66" s="5">
        <f>VLOOKUP($AF66,'251014'!$A$1:$M$200,4,FALSE)</f>
        <v>340954</v>
      </c>
      <c r="AJ66" s="5">
        <f>VLOOKUP($AF66,'251014'!$A$1:$M$200,5,FALSE)</f>
        <v>1203</v>
      </c>
      <c r="AK66" s="5">
        <f t="shared" si="46"/>
        <v>186331</v>
      </c>
      <c r="AL66" s="5">
        <f t="shared" si="47"/>
        <v>31708</v>
      </c>
      <c r="AM66" s="5">
        <f t="shared" si="48"/>
        <v>900</v>
      </c>
      <c r="AN66" s="5">
        <f>VLOOKUP($AF66,'251015'!$A$1:$M$200,4,FALSE)</f>
        <v>509862</v>
      </c>
      <c r="AO66" s="5">
        <f>VLOOKUP($AF66,'251015'!$A$1:$M$200,5,FALSE)</f>
        <v>1203</v>
      </c>
      <c r="AP66" s="5">
        <f t="shared" si="49"/>
        <v>168908</v>
      </c>
      <c r="AQ66" s="5">
        <f t="shared" si="50"/>
        <v>-17423</v>
      </c>
      <c r="AR66" s="5">
        <f t="shared" si="51"/>
        <v>0</v>
      </c>
      <c r="AS66" s="5">
        <f>VLOOKUP($AF66,'251016'!$A$1:$M$200,4,FALSE)</f>
        <v>628662</v>
      </c>
      <c r="AT66" s="5">
        <f>VLOOKUP($AF66,'251016'!$A$1:$M$200,5,FALSE)</f>
        <v>1203</v>
      </c>
      <c r="AU66" s="5">
        <f t="shared" si="52"/>
        <v>118800</v>
      </c>
      <c r="AV66" s="5">
        <f t="shared" si="53"/>
        <v>-50108</v>
      </c>
      <c r="AW66" s="5">
        <f t="shared" si="54"/>
        <v>0</v>
      </c>
      <c r="AX66" s="5">
        <f>VLOOKUP($AF66,'251017'!$A$1:$M$200,4,FALSE)</f>
        <v>730272</v>
      </c>
      <c r="AY66" s="5">
        <f>VLOOKUP($AF66,'251017'!$A$1:$M$200,5,FALSE)</f>
        <v>1203</v>
      </c>
      <c r="AZ66" s="5">
        <f t="shared" si="55"/>
        <v>101610</v>
      </c>
      <c r="BA66" s="5">
        <f t="shared" si="56"/>
        <v>-17190</v>
      </c>
      <c r="BB66" s="5">
        <f t="shared" si="57"/>
        <v>0</v>
      </c>
      <c r="BC66" s="5">
        <f>VLOOKUP($AF66,'251018'!$A$1:$M$200,4,FALSE)</f>
        <v>955833</v>
      </c>
      <c r="BD66" s="5">
        <f>VLOOKUP($AF66,'251018'!$A$1:$M$200,5,FALSE)</f>
        <v>1653</v>
      </c>
      <c r="BE66" s="5">
        <f t="shared" si="58"/>
        <v>225561</v>
      </c>
      <c r="BF66" s="5">
        <f t="shared" si="59"/>
        <v>123951</v>
      </c>
      <c r="BG66" s="5">
        <f t="shared" si="60"/>
        <v>450</v>
      </c>
      <c r="BH66" s="5">
        <f>VLOOKUP($AF66,'251018'!$A$1:$M$200,4,FALSE)</f>
        <v>955833</v>
      </c>
    </row>
    <row r="67" spans="1:60" x14ac:dyDescent="0.3">
      <c r="B67" s="5" t="s">
        <v>777</v>
      </c>
      <c r="C67" s="5">
        <f>VLOOKUP($B67,'251008_0시'!$A$1:$M$200,4,FALSE)</f>
        <v>277236</v>
      </c>
      <c r="D67" s="5">
        <f>VLOOKUP($B67,'251008_0시'!$A$1:$M$200,5,FALSE)</f>
        <v>3600</v>
      </c>
      <c r="E67" s="5">
        <f>VLOOKUP($B67,'251009_0시'!$A$1:$M$200,4,FALSE)</f>
        <v>432255</v>
      </c>
      <c r="F67" s="5">
        <f>VLOOKUP($B67,'251009_0시'!$A$1:$M$200,5,FALSE)</f>
        <v>3950</v>
      </c>
      <c r="G67" s="5">
        <f t="shared" si="31"/>
        <v>155019</v>
      </c>
      <c r="H67" s="5">
        <f t="shared" si="32"/>
        <v>16401</v>
      </c>
      <c r="I67" s="5">
        <f t="shared" si="33"/>
        <v>350</v>
      </c>
      <c r="J67" s="5">
        <f>VLOOKUP($B67,'251010_0시'!$A$1:$M$200,4,FALSE)</f>
        <v>581260</v>
      </c>
      <c r="K67" s="5">
        <f>VLOOKUP($B67,'251010_0시'!$A$1:$M$200,5,FALSE)</f>
        <v>6650</v>
      </c>
      <c r="L67" s="5">
        <f t="shared" si="34"/>
        <v>149005</v>
      </c>
      <c r="M67" s="5">
        <f t="shared" si="35"/>
        <v>-6014</v>
      </c>
      <c r="N67" s="5">
        <f t="shared" si="36"/>
        <v>2700</v>
      </c>
      <c r="O67" s="5">
        <f>VLOOKUP($B67,'251011_0시'!$A$1:$M$200,4,FALSE)</f>
        <v>749693</v>
      </c>
      <c r="P67" s="5">
        <f>VLOOKUP($B67,'251011_0시'!$A$1:$M$200,5,FALSE)</f>
        <v>6650</v>
      </c>
      <c r="Q67" s="5">
        <f t="shared" si="37"/>
        <v>168433</v>
      </c>
      <c r="R67" s="5">
        <f t="shared" si="38"/>
        <v>19428</v>
      </c>
      <c r="S67" s="5">
        <f t="shared" si="39"/>
        <v>0</v>
      </c>
      <c r="T67" s="5">
        <f>VLOOKUP($B67,'251012_0시'!$A$1:$M$200,4,FALSE)</f>
        <v>859103</v>
      </c>
      <c r="U67" s="5">
        <f>VLOOKUP($B67,'251012_0시'!$A$1:$M$200,5,FALSE)</f>
        <v>6650</v>
      </c>
      <c r="V67" s="5">
        <f t="shared" si="40"/>
        <v>109410</v>
      </c>
      <c r="W67" s="5">
        <f t="shared" si="41"/>
        <v>-59023</v>
      </c>
      <c r="X67" s="5">
        <f t="shared" si="42"/>
        <v>0</v>
      </c>
      <c r="Y67" s="5">
        <f>VLOOKUP($B67,'251013_0시'!$A$1:$M$200,4,FALSE)</f>
        <v>1029687</v>
      </c>
      <c r="Z67" s="5">
        <f>VLOOKUP($B67,'251013_0시'!$A$1:$M$200,5,FALSE)</f>
        <v>14650</v>
      </c>
      <c r="AA67" s="5">
        <f t="shared" si="43"/>
        <v>170584</v>
      </c>
      <c r="AB67" s="5">
        <f t="shared" si="44"/>
        <v>61174</v>
      </c>
      <c r="AC67" s="5">
        <f t="shared" si="45"/>
        <v>8000</v>
      </c>
      <c r="AD67" s="5">
        <f>VLOOKUP($B67,'251013_0시'!$A$1:$M$200,4,FALSE)</f>
        <v>1029687</v>
      </c>
      <c r="AF67" s="5" t="s">
        <v>972</v>
      </c>
      <c r="AG67" s="5">
        <f>VLOOKUP($AF67,'251013'!$A$1:$M$200,4,FALSE)</f>
        <v>91467</v>
      </c>
      <c r="AH67" s="5">
        <f>VLOOKUP($AF67,'251013'!$A$1:$M$200,5,FALSE)</f>
        <v>0</v>
      </c>
      <c r="AI67" s="5">
        <f>VLOOKUP($AF67,'251014'!$A$1:$M$200,4,FALSE)</f>
        <v>215789</v>
      </c>
      <c r="AJ67" s="5">
        <f>VLOOKUP($AF67,'251014'!$A$1:$M$200,5,FALSE)</f>
        <v>0</v>
      </c>
      <c r="AK67" s="5">
        <f t="shared" si="46"/>
        <v>124322</v>
      </c>
      <c r="AL67" s="5">
        <f t="shared" si="47"/>
        <v>32855</v>
      </c>
      <c r="AM67" s="5">
        <f t="shared" si="48"/>
        <v>0</v>
      </c>
      <c r="AN67" s="5">
        <f>VLOOKUP($AF67,'251015'!$A$1:$M$200,4,FALSE)</f>
        <v>365136</v>
      </c>
      <c r="AO67" s="5">
        <f>VLOOKUP($AF67,'251015'!$A$1:$M$200,5,FALSE)</f>
        <v>0</v>
      </c>
      <c r="AP67" s="5">
        <f t="shared" si="49"/>
        <v>149347</v>
      </c>
      <c r="AQ67" s="5">
        <f t="shared" si="50"/>
        <v>25025</v>
      </c>
      <c r="AR67" s="5">
        <f t="shared" si="51"/>
        <v>0</v>
      </c>
      <c r="AS67" s="5">
        <f>VLOOKUP($AF67,'251016'!$A$1:$M$200,4,FALSE)</f>
        <v>523747</v>
      </c>
      <c r="AT67" s="5">
        <f>VLOOKUP($AF67,'251016'!$A$1:$M$200,5,FALSE)</f>
        <v>0</v>
      </c>
      <c r="AU67" s="5">
        <f t="shared" si="52"/>
        <v>158611</v>
      </c>
      <c r="AV67" s="5">
        <f t="shared" si="53"/>
        <v>9264</v>
      </c>
      <c r="AW67" s="5">
        <f t="shared" si="54"/>
        <v>0</v>
      </c>
      <c r="AX67" s="5">
        <f>VLOOKUP($AF67,'251017'!$A$1:$M$200,4,FALSE)</f>
        <v>753241</v>
      </c>
      <c r="AY67" s="5">
        <f>VLOOKUP($AF67,'251017'!$A$1:$M$200,5,FALSE)</f>
        <v>0</v>
      </c>
      <c r="AZ67" s="5">
        <f t="shared" si="55"/>
        <v>229494</v>
      </c>
      <c r="BA67" s="5">
        <f t="shared" si="56"/>
        <v>70883</v>
      </c>
      <c r="BB67" s="5">
        <f t="shared" si="57"/>
        <v>0</v>
      </c>
      <c r="BC67" s="5">
        <f>VLOOKUP($AF67,'251018'!$A$1:$M$200,4,FALSE)</f>
        <v>946933</v>
      </c>
      <c r="BD67" s="5">
        <f>VLOOKUP($AF67,'251018'!$A$1:$M$200,5,FALSE)</f>
        <v>0</v>
      </c>
      <c r="BE67" s="5">
        <f t="shared" si="58"/>
        <v>193692</v>
      </c>
      <c r="BF67" s="5">
        <f t="shared" si="59"/>
        <v>-35802</v>
      </c>
      <c r="BG67" s="5">
        <f t="shared" si="60"/>
        <v>0</v>
      </c>
      <c r="BH67" s="5">
        <f>VLOOKUP($AF67,'251018'!$A$1:$M$200,4,FALSE)</f>
        <v>946933</v>
      </c>
    </row>
    <row r="68" spans="1:60" x14ac:dyDescent="0.3">
      <c r="B68" s="5" t="s">
        <v>798</v>
      </c>
      <c r="C68" s="5">
        <f>VLOOKUP($B68,'251008_0시'!$A$1:$M$200,4,FALSE)</f>
        <v>270003</v>
      </c>
      <c r="D68" s="5">
        <f>VLOOKUP($B68,'251008_0시'!$A$1:$M$200,5,FALSE)</f>
        <v>470</v>
      </c>
      <c r="E68" s="5">
        <f>VLOOKUP($B68,'251009_0시'!$A$1:$M$200,4,FALSE)</f>
        <v>440683</v>
      </c>
      <c r="F68" s="5">
        <f>VLOOKUP($B68,'251009_0시'!$A$1:$M$200,5,FALSE)</f>
        <v>640</v>
      </c>
      <c r="G68" s="5">
        <f t="shared" si="31"/>
        <v>170680</v>
      </c>
      <c r="H68" s="5">
        <f t="shared" si="32"/>
        <v>35678.5</v>
      </c>
      <c r="I68" s="5">
        <f t="shared" si="33"/>
        <v>170</v>
      </c>
      <c r="J68" s="5">
        <f>VLOOKUP($B68,'251010_0시'!$A$1:$M$200,4,FALSE)</f>
        <v>623331</v>
      </c>
      <c r="K68" s="5">
        <f>VLOOKUP($B68,'251010_0시'!$A$1:$M$200,5,FALSE)</f>
        <v>3085</v>
      </c>
      <c r="L68" s="5">
        <f t="shared" si="34"/>
        <v>182648</v>
      </c>
      <c r="M68" s="5">
        <f t="shared" si="35"/>
        <v>11968</v>
      </c>
      <c r="N68" s="5">
        <f t="shared" si="36"/>
        <v>2445</v>
      </c>
      <c r="O68" s="5">
        <f>VLOOKUP($B68,'251011_0시'!$A$1:$M$200,4,FALSE)</f>
        <v>776117</v>
      </c>
      <c r="P68" s="5">
        <f>VLOOKUP($B68,'251011_0시'!$A$1:$M$200,5,FALSE)</f>
        <v>3085</v>
      </c>
      <c r="Q68" s="5">
        <f t="shared" si="37"/>
        <v>152786</v>
      </c>
      <c r="R68" s="5">
        <f t="shared" si="38"/>
        <v>-29862</v>
      </c>
      <c r="S68" s="5">
        <f t="shared" si="39"/>
        <v>0</v>
      </c>
      <c r="T68" s="5">
        <f>VLOOKUP($B68,'251012_0시'!$A$1:$M$200,4,FALSE)</f>
        <v>928479</v>
      </c>
      <c r="U68" s="5">
        <f>VLOOKUP($B68,'251012_0시'!$A$1:$M$200,5,FALSE)</f>
        <v>3185</v>
      </c>
      <c r="V68" s="5">
        <f t="shared" si="40"/>
        <v>152362</v>
      </c>
      <c r="W68" s="5">
        <f t="shared" si="41"/>
        <v>-424</v>
      </c>
      <c r="X68" s="5">
        <f t="shared" si="42"/>
        <v>100</v>
      </c>
      <c r="Y68" s="5">
        <f>VLOOKUP($B68,'251013_0시'!$A$1:$M$200,4,FALSE)</f>
        <v>1029196</v>
      </c>
      <c r="Z68" s="5">
        <f>VLOOKUP($B68,'251013_0시'!$A$1:$M$200,5,FALSE)</f>
        <v>3235</v>
      </c>
      <c r="AA68" s="5">
        <f t="shared" si="43"/>
        <v>100717</v>
      </c>
      <c r="AB68" s="5">
        <f t="shared" si="44"/>
        <v>-51645</v>
      </c>
      <c r="AC68" s="5">
        <f t="shared" si="45"/>
        <v>50</v>
      </c>
      <c r="AD68" s="5">
        <f>VLOOKUP($B68,'251013_0시'!$A$1:$M$200,4,FALSE)</f>
        <v>1029196</v>
      </c>
      <c r="AF68" s="5" t="s">
        <v>771</v>
      </c>
      <c r="AG68" s="5">
        <f>VLOOKUP($AF68,'251013'!$A$1:$M$200,4,FALSE)</f>
        <v>153177</v>
      </c>
      <c r="AH68" s="5">
        <f>VLOOKUP($AF68,'251013'!$A$1:$M$200,5,FALSE)</f>
        <v>50</v>
      </c>
      <c r="AI68" s="5">
        <f>VLOOKUP($AF68,'251014'!$A$1:$M$200,4,FALSE)</f>
        <v>247851</v>
      </c>
      <c r="AJ68" s="5">
        <f>VLOOKUP($AF68,'251014'!$A$1:$M$200,5,FALSE)</f>
        <v>50</v>
      </c>
      <c r="AK68" s="5">
        <f t="shared" si="46"/>
        <v>94674</v>
      </c>
      <c r="AL68" s="5">
        <f t="shared" si="47"/>
        <v>-58503</v>
      </c>
      <c r="AM68" s="5">
        <f t="shared" si="48"/>
        <v>0</v>
      </c>
      <c r="AN68" s="5">
        <f>VLOOKUP($AF68,'251015'!$A$1:$M$200,4,FALSE)</f>
        <v>462859</v>
      </c>
      <c r="AO68" s="5">
        <f>VLOOKUP($AF68,'251015'!$A$1:$M$200,5,FALSE)</f>
        <v>50</v>
      </c>
      <c r="AP68" s="5">
        <f t="shared" si="49"/>
        <v>215008</v>
      </c>
      <c r="AQ68" s="5">
        <f t="shared" si="50"/>
        <v>120334</v>
      </c>
      <c r="AR68" s="5">
        <f t="shared" si="51"/>
        <v>0</v>
      </c>
      <c r="AS68" s="5">
        <f>VLOOKUP($AF68,'251016'!$A$1:$M$200,4,FALSE)</f>
        <v>580434</v>
      </c>
      <c r="AT68" s="5">
        <f>VLOOKUP($AF68,'251016'!$A$1:$M$200,5,FALSE)</f>
        <v>50</v>
      </c>
      <c r="AU68" s="5">
        <f t="shared" si="52"/>
        <v>117575</v>
      </c>
      <c r="AV68" s="5">
        <f t="shared" si="53"/>
        <v>-97433</v>
      </c>
      <c r="AW68" s="5">
        <f t="shared" si="54"/>
        <v>0</v>
      </c>
      <c r="AX68" s="5">
        <f>VLOOKUP($AF68,'251017'!$A$1:$M$200,4,FALSE)</f>
        <v>771841</v>
      </c>
      <c r="AY68" s="5">
        <f>VLOOKUP($AF68,'251017'!$A$1:$M$200,5,FALSE)</f>
        <v>50</v>
      </c>
      <c r="AZ68" s="5">
        <f t="shared" si="55"/>
        <v>191407</v>
      </c>
      <c r="BA68" s="5">
        <f t="shared" si="56"/>
        <v>73832</v>
      </c>
      <c r="BB68" s="5">
        <f t="shared" si="57"/>
        <v>0</v>
      </c>
      <c r="BC68" s="5">
        <f>VLOOKUP($AF68,'251018'!$A$1:$M$200,4,FALSE)</f>
        <v>937486</v>
      </c>
      <c r="BD68" s="5">
        <f>VLOOKUP($AF68,'251018'!$A$1:$M$200,5,FALSE)</f>
        <v>100</v>
      </c>
      <c r="BE68" s="5">
        <f t="shared" si="58"/>
        <v>165645</v>
      </c>
      <c r="BF68" s="5">
        <f t="shared" si="59"/>
        <v>-25762</v>
      </c>
      <c r="BG68" s="5">
        <f t="shared" si="60"/>
        <v>50</v>
      </c>
      <c r="BH68" s="5">
        <f>VLOOKUP($AF68,'251018'!$A$1:$M$200,4,FALSE)</f>
        <v>937486</v>
      </c>
    </row>
    <row r="69" spans="1:60" x14ac:dyDescent="0.3">
      <c r="A69" t="s">
        <v>700</v>
      </c>
      <c r="B69" s="5" t="s">
        <v>750</v>
      </c>
      <c r="C69" s="5">
        <f>VLOOKUP($B69,'251008_0시'!$A$1:$M$200,4,FALSE)</f>
        <v>399527</v>
      </c>
      <c r="D69" s="5">
        <f>VLOOKUP($B69,'251008_0시'!$A$1:$M$200,5,FALSE)</f>
        <v>497</v>
      </c>
      <c r="E69" s="5">
        <f>VLOOKUP($B69,'251009_0시'!$A$1:$M$200,4,FALSE)</f>
        <v>624467</v>
      </c>
      <c r="F69" s="5">
        <f>VLOOKUP($B69,'251009_0시'!$A$1:$M$200,5,FALSE)</f>
        <v>877</v>
      </c>
      <c r="G69" s="5">
        <f t="shared" si="31"/>
        <v>224940</v>
      </c>
      <c r="H69" s="5">
        <f t="shared" si="32"/>
        <v>25176.5</v>
      </c>
      <c r="I69" s="5">
        <f t="shared" si="33"/>
        <v>380</v>
      </c>
      <c r="J69" s="5">
        <f>VLOOKUP($B69,'251010_0시'!$A$1:$M$200,4,FALSE)</f>
        <v>821637</v>
      </c>
      <c r="K69" s="5">
        <f>VLOOKUP($B69,'251010_0시'!$A$1:$M$200,5,FALSE)</f>
        <v>1372</v>
      </c>
      <c r="L69" s="5">
        <f t="shared" si="34"/>
        <v>197170</v>
      </c>
      <c r="M69" s="5">
        <f t="shared" si="35"/>
        <v>-27770</v>
      </c>
      <c r="N69" s="5">
        <f t="shared" si="36"/>
        <v>495</v>
      </c>
      <c r="O69" s="5">
        <f>VLOOKUP($B69,'251011_0시'!$A$1:$M$200,4,FALSE)</f>
        <v>871612</v>
      </c>
      <c r="P69" s="5">
        <f>VLOOKUP($B69,'251011_0시'!$A$1:$M$200,5,FALSE)</f>
        <v>1372</v>
      </c>
      <c r="Q69" s="5">
        <f t="shared" si="37"/>
        <v>49975</v>
      </c>
      <c r="R69" s="5">
        <f t="shared" si="38"/>
        <v>-147195</v>
      </c>
      <c r="S69" s="5">
        <f t="shared" si="39"/>
        <v>0</v>
      </c>
      <c r="T69" s="5">
        <f>VLOOKUP($B69,'251012_0시'!$A$1:$M$200,4,FALSE)</f>
        <v>934214</v>
      </c>
      <c r="U69" s="5">
        <f>VLOOKUP($B69,'251012_0시'!$A$1:$M$200,5,FALSE)</f>
        <v>1422</v>
      </c>
      <c r="V69" s="5">
        <f t="shared" si="40"/>
        <v>62602</v>
      </c>
      <c r="W69" s="5">
        <f t="shared" si="41"/>
        <v>12627</v>
      </c>
      <c r="X69" s="5">
        <f t="shared" si="42"/>
        <v>50</v>
      </c>
      <c r="Y69" s="5">
        <f>VLOOKUP($B69,'251013_0시'!$A$1:$M$200,4,FALSE)</f>
        <v>1027797</v>
      </c>
      <c r="Z69" s="5">
        <f>VLOOKUP($B69,'251013_0시'!$A$1:$M$200,5,FALSE)</f>
        <v>1422</v>
      </c>
      <c r="AA69" s="5">
        <f t="shared" si="43"/>
        <v>93583</v>
      </c>
      <c r="AB69" s="5">
        <f t="shared" si="44"/>
        <v>30981</v>
      </c>
      <c r="AC69" s="5">
        <f t="shared" si="45"/>
        <v>0</v>
      </c>
      <c r="AD69" s="5">
        <f>VLOOKUP($B69,'251013_0시'!$A$1:$M$200,4,FALSE)</f>
        <v>1027797</v>
      </c>
      <c r="AF69" s="5" t="s">
        <v>602</v>
      </c>
      <c r="AG69" s="5">
        <f>VLOOKUP($AF69,'251013'!$A$1:$M$200,4,FALSE)</f>
        <v>155239</v>
      </c>
      <c r="AH69" s="5">
        <f>VLOOKUP($AF69,'251013'!$A$1:$M$200,5,FALSE)</f>
        <v>1403</v>
      </c>
      <c r="AI69" s="5">
        <f>VLOOKUP($AF69,'251014'!$A$1:$M$200,4,FALSE)</f>
        <v>281010</v>
      </c>
      <c r="AJ69" s="5">
        <f>VLOOKUP($AF69,'251014'!$A$1:$M$200,5,FALSE)</f>
        <v>1523</v>
      </c>
      <c r="AK69" s="5">
        <f t="shared" si="46"/>
        <v>125771</v>
      </c>
      <c r="AL69" s="5">
        <f t="shared" si="47"/>
        <v>-29468</v>
      </c>
      <c r="AM69" s="5">
        <f t="shared" si="48"/>
        <v>120</v>
      </c>
      <c r="AN69" s="5">
        <f>VLOOKUP($AF69,'251015'!$A$1:$M$200,4,FALSE)</f>
        <v>434741</v>
      </c>
      <c r="AO69" s="5">
        <f>VLOOKUP($AF69,'251015'!$A$1:$M$200,5,FALSE)</f>
        <v>1523</v>
      </c>
      <c r="AP69" s="5">
        <f t="shared" si="49"/>
        <v>153731</v>
      </c>
      <c r="AQ69" s="5">
        <f t="shared" si="50"/>
        <v>27960</v>
      </c>
      <c r="AR69" s="5">
        <f t="shared" si="51"/>
        <v>0</v>
      </c>
      <c r="AS69" s="5">
        <f>VLOOKUP($AF69,'251016'!$A$1:$M$200,4,FALSE)</f>
        <v>584549</v>
      </c>
      <c r="AT69" s="5">
        <f>VLOOKUP($AF69,'251016'!$A$1:$M$200,5,FALSE)</f>
        <v>1523</v>
      </c>
      <c r="AU69" s="5">
        <f t="shared" si="52"/>
        <v>149808</v>
      </c>
      <c r="AV69" s="5">
        <f t="shared" si="53"/>
        <v>-3923</v>
      </c>
      <c r="AW69" s="5">
        <f t="shared" si="54"/>
        <v>0</v>
      </c>
      <c r="AX69" s="5">
        <f>VLOOKUP($AF69,'251017'!$A$1:$M$200,4,FALSE)</f>
        <v>731701</v>
      </c>
      <c r="AY69" s="5">
        <f>VLOOKUP($AF69,'251017'!$A$1:$M$200,5,FALSE)</f>
        <v>1523</v>
      </c>
      <c r="AZ69" s="5">
        <f t="shared" si="55"/>
        <v>147152</v>
      </c>
      <c r="BA69" s="5">
        <f t="shared" si="56"/>
        <v>-2656</v>
      </c>
      <c r="BB69" s="5">
        <f t="shared" si="57"/>
        <v>0</v>
      </c>
      <c r="BC69" s="5">
        <f>VLOOKUP($AF69,'251018'!$A$1:$M$200,4,FALSE)</f>
        <v>936464</v>
      </c>
      <c r="BD69" s="5">
        <f>VLOOKUP($AF69,'251018'!$A$1:$M$200,5,FALSE)</f>
        <v>1523</v>
      </c>
      <c r="BE69" s="5">
        <f t="shared" si="58"/>
        <v>204763</v>
      </c>
      <c r="BF69" s="5">
        <f t="shared" si="59"/>
        <v>57611</v>
      </c>
      <c r="BG69" s="5">
        <f t="shared" si="60"/>
        <v>0</v>
      </c>
      <c r="BH69" s="5">
        <f>VLOOKUP($AF69,'251018'!$A$1:$M$200,4,FALSE)</f>
        <v>936464</v>
      </c>
    </row>
    <row r="70" spans="1:60" x14ac:dyDescent="0.3">
      <c r="B70" s="5" t="s">
        <v>763</v>
      </c>
      <c r="C70" s="5">
        <f>VLOOKUP($B70,'251008_0시'!$A$1:$M$200,4,FALSE)</f>
        <v>274674</v>
      </c>
      <c r="D70" s="5">
        <f>VLOOKUP($B70,'251008_0시'!$A$1:$M$200,5,FALSE)</f>
        <v>0</v>
      </c>
      <c r="E70" s="5">
        <f>VLOOKUP($B70,'251009_0시'!$A$1:$M$200,4,FALSE)</f>
        <v>434124</v>
      </c>
      <c r="F70" s="5">
        <f>VLOOKUP($B70,'251009_0시'!$A$1:$M$200,5,FALSE)</f>
        <v>350</v>
      </c>
      <c r="G70" s="5">
        <f t="shared" ref="G70:G101" si="61">E70-C70</f>
        <v>159450</v>
      </c>
      <c r="H70" s="5">
        <f t="shared" ref="H70:H101" si="62">G70-(C70/2)</f>
        <v>22113</v>
      </c>
      <c r="I70" s="5">
        <f t="shared" ref="I70:I101" si="63">F70-D70</f>
        <v>350</v>
      </c>
      <c r="J70" s="5">
        <f>VLOOKUP($B70,'251010_0시'!$A$1:$M$200,4,FALSE)</f>
        <v>603667</v>
      </c>
      <c r="K70" s="5">
        <f>VLOOKUP($B70,'251010_0시'!$A$1:$M$200,5,FALSE)</f>
        <v>538</v>
      </c>
      <c r="L70" s="5">
        <f t="shared" ref="L70:L101" si="64">J70-E70</f>
        <v>169543</v>
      </c>
      <c r="M70" s="5">
        <f t="shared" ref="M70:M101" si="65">L70-G70</f>
        <v>10093</v>
      </c>
      <c r="N70" s="5">
        <f t="shared" ref="N70:N101" si="66">K70-F70</f>
        <v>188</v>
      </c>
      <c r="O70" s="5">
        <f>VLOOKUP($B70,'251011_0시'!$A$1:$M$200,4,FALSE)</f>
        <v>742658</v>
      </c>
      <c r="P70" s="5">
        <f>VLOOKUP($B70,'251011_0시'!$A$1:$M$200,5,FALSE)</f>
        <v>588</v>
      </c>
      <c r="Q70" s="5">
        <f t="shared" ref="Q70:Q101" si="67">O70-J70</f>
        <v>138991</v>
      </c>
      <c r="R70" s="5">
        <f t="shared" ref="R70:R101" si="68">Q70-L70</f>
        <v>-30552</v>
      </c>
      <c r="S70" s="5">
        <f t="shared" ref="S70:S101" si="69">P70-K70</f>
        <v>50</v>
      </c>
      <c r="T70" s="5">
        <f>VLOOKUP($B70,'251012_0시'!$A$1:$M$200,4,FALSE)</f>
        <v>900756</v>
      </c>
      <c r="U70" s="5">
        <f>VLOOKUP($B70,'251012_0시'!$A$1:$M$200,5,FALSE)</f>
        <v>588</v>
      </c>
      <c r="V70" s="5">
        <f t="shared" ref="V70:V101" si="70">T70-O70</f>
        <v>158098</v>
      </c>
      <c r="W70" s="5">
        <f t="shared" ref="W70:W101" si="71">V70-Q70</f>
        <v>19107</v>
      </c>
      <c r="X70" s="5">
        <f t="shared" ref="X70:X101" si="72">U70-P70</f>
        <v>0</v>
      </c>
      <c r="Y70" s="5">
        <f>VLOOKUP($B70,'251013_0시'!$A$1:$M$200,4,FALSE)</f>
        <v>1017993</v>
      </c>
      <c r="Z70" s="5">
        <f>VLOOKUP($B70,'251013_0시'!$A$1:$M$200,5,FALSE)</f>
        <v>588</v>
      </c>
      <c r="AA70" s="5">
        <f t="shared" ref="AA70:AA101" si="73">Y70-T70</f>
        <v>117237</v>
      </c>
      <c r="AB70" s="5">
        <f t="shared" ref="AB70:AB101" si="74">AA70-V70</f>
        <v>-40861</v>
      </c>
      <c r="AC70" s="5">
        <f t="shared" ref="AC70:AC101" si="75">Z70-U70</f>
        <v>0</v>
      </c>
      <c r="AD70" s="5">
        <f>VLOOKUP($B70,'251013_0시'!$A$1:$M$200,4,FALSE)</f>
        <v>1017993</v>
      </c>
      <c r="AF70" s="5" t="s">
        <v>801</v>
      </c>
      <c r="AG70" s="5">
        <f>VLOOKUP($AF70,'251013'!$A$1:$M$200,4,FALSE)</f>
        <v>148979</v>
      </c>
      <c r="AH70" s="5">
        <f>VLOOKUP($AF70,'251013'!$A$1:$M$200,5,FALSE)</f>
        <v>385</v>
      </c>
      <c r="AI70" s="5">
        <f>VLOOKUP($AF70,'251014'!$A$1:$M$200,4,FALSE)</f>
        <v>301197</v>
      </c>
      <c r="AJ70" s="5">
        <f>VLOOKUP($AF70,'251014'!$A$1:$M$200,5,FALSE)</f>
        <v>385</v>
      </c>
      <c r="AK70" s="5">
        <f t="shared" ref="AK70:AK101" si="76">AI70-AG70</f>
        <v>152218</v>
      </c>
      <c r="AL70" s="5">
        <f t="shared" ref="AL70:AL101" si="77">AK70-AG70</f>
        <v>3239</v>
      </c>
      <c r="AM70" s="5">
        <f t="shared" ref="AM70:AM101" si="78">AJ70-AH70</f>
        <v>0</v>
      </c>
      <c r="AN70" s="5">
        <f>VLOOKUP($AF70,'251015'!$A$1:$M$200,4,FALSE)</f>
        <v>449725</v>
      </c>
      <c r="AO70" s="5">
        <f>VLOOKUP($AF70,'251015'!$A$1:$M$200,5,FALSE)</f>
        <v>385</v>
      </c>
      <c r="AP70" s="5">
        <f t="shared" ref="AP70:AP101" si="79">AN70-AI70</f>
        <v>148528</v>
      </c>
      <c r="AQ70" s="5">
        <f t="shared" ref="AQ70:AQ101" si="80">AP70-AK70</f>
        <v>-3690</v>
      </c>
      <c r="AR70" s="5">
        <f t="shared" ref="AR70:AR101" si="81">AO70-AJ70</f>
        <v>0</v>
      </c>
      <c r="AS70" s="5">
        <f>VLOOKUP($AF70,'251016'!$A$1:$M$200,4,FALSE)</f>
        <v>616362</v>
      </c>
      <c r="AT70" s="5">
        <f>VLOOKUP($AF70,'251016'!$A$1:$M$200,5,FALSE)</f>
        <v>385</v>
      </c>
      <c r="AU70" s="5">
        <f t="shared" ref="AU70:AU101" si="82">AS70-AN70</f>
        <v>166637</v>
      </c>
      <c r="AV70" s="5">
        <f t="shared" ref="AV70:AV101" si="83">AU70-AP70</f>
        <v>18109</v>
      </c>
      <c r="AW70" s="5">
        <f t="shared" ref="AW70:AW101" si="84">AT70-AO70</f>
        <v>0</v>
      </c>
      <c r="AX70" s="5">
        <f>VLOOKUP($AF70,'251017'!$A$1:$M$200,4,FALSE)</f>
        <v>766396</v>
      </c>
      <c r="AY70" s="5">
        <f>VLOOKUP($AF70,'251017'!$A$1:$M$200,5,FALSE)</f>
        <v>385</v>
      </c>
      <c r="AZ70" s="5">
        <f t="shared" ref="AZ70:AZ101" si="85">AX70-AS70</f>
        <v>150034</v>
      </c>
      <c r="BA70" s="5">
        <f t="shared" ref="BA70:BA101" si="86">AZ70-AU70</f>
        <v>-16603</v>
      </c>
      <c r="BB70" s="5">
        <f t="shared" ref="BB70:BB101" si="87">AY70-AT70</f>
        <v>0</v>
      </c>
      <c r="BC70" s="5">
        <f>VLOOKUP($AF70,'251018'!$A$1:$M$200,4,FALSE)</f>
        <v>925940</v>
      </c>
      <c r="BD70" s="5">
        <f>VLOOKUP($AF70,'251018'!$A$1:$M$200,5,FALSE)</f>
        <v>385</v>
      </c>
      <c r="BE70" s="5">
        <f t="shared" ref="BE70:BE101" si="88">BC70-AX70</f>
        <v>159544</v>
      </c>
      <c r="BF70" s="5">
        <f t="shared" ref="BF70:BF101" si="89">BE70-AZ70</f>
        <v>9510</v>
      </c>
      <c r="BG70" s="5">
        <f t="shared" ref="BG70:BG101" si="90">BD70-AY70</f>
        <v>0</v>
      </c>
      <c r="BH70" s="5">
        <f>VLOOKUP($AF70,'251018'!$A$1:$M$200,4,FALSE)</f>
        <v>925940</v>
      </c>
    </row>
    <row r="71" spans="1:60" x14ac:dyDescent="0.3">
      <c r="B71" s="5" t="s">
        <v>780</v>
      </c>
      <c r="C71" s="5">
        <f>VLOOKUP($B71,'251008_0시'!$A$1:$M$200,4,FALSE)</f>
        <v>273238</v>
      </c>
      <c r="D71" s="5">
        <f>VLOOKUP($B71,'251008_0시'!$A$1:$M$200,5,FALSE)</f>
        <v>0</v>
      </c>
      <c r="E71" s="5">
        <f>VLOOKUP($B71,'251009_0시'!$A$1:$M$200,4,FALSE)</f>
        <v>428573</v>
      </c>
      <c r="F71" s="5">
        <f>VLOOKUP($B71,'251009_0시'!$A$1:$M$200,5,FALSE)</f>
        <v>0</v>
      </c>
      <c r="G71" s="5">
        <f t="shared" si="61"/>
        <v>155335</v>
      </c>
      <c r="H71" s="5">
        <f t="shared" si="62"/>
        <v>18716</v>
      </c>
      <c r="I71" s="5">
        <f t="shared" si="63"/>
        <v>0</v>
      </c>
      <c r="J71" s="5">
        <f>VLOOKUP($B71,'251010_0시'!$A$1:$M$200,4,FALSE)</f>
        <v>561866</v>
      </c>
      <c r="K71" s="5">
        <f>VLOOKUP($B71,'251010_0시'!$A$1:$M$200,5,FALSE)</f>
        <v>0</v>
      </c>
      <c r="L71" s="5">
        <f t="shared" si="64"/>
        <v>133293</v>
      </c>
      <c r="M71" s="5">
        <f t="shared" si="65"/>
        <v>-22042</v>
      </c>
      <c r="N71" s="5">
        <f t="shared" si="66"/>
        <v>0</v>
      </c>
      <c r="O71" s="5">
        <f>VLOOKUP($B71,'251011_0시'!$A$1:$M$200,4,FALSE)</f>
        <v>705614</v>
      </c>
      <c r="P71" s="5">
        <f>VLOOKUP($B71,'251011_0시'!$A$1:$M$200,5,FALSE)</f>
        <v>0</v>
      </c>
      <c r="Q71" s="5">
        <f t="shared" si="67"/>
        <v>143748</v>
      </c>
      <c r="R71" s="5">
        <f t="shared" si="68"/>
        <v>10455</v>
      </c>
      <c r="S71" s="5">
        <f t="shared" si="69"/>
        <v>0</v>
      </c>
      <c r="T71" s="5">
        <f>VLOOKUP($B71,'251012_0시'!$A$1:$M$200,4,FALSE)</f>
        <v>841488</v>
      </c>
      <c r="U71" s="5">
        <f>VLOOKUP($B71,'251012_0시'!$A$1:$M$200,5,FALSE)</f>
        <v>0</v>
      </c>
      <c r="V71" s="5">
        <f t="shared" si="70"/>
        <v>135874</v>
      </c>
      <c r="W71" s="5">
        <f t="shared" si="71"/>
        <v>-7874</v>
      </c>
      <c r="X71" s="5">
        <f t="shared" si="72"/>
        <v>0</v>
      </c>
      <c r="Y71" s="5">
        <f>VLOOKUP($B71,'251013_0시'!$A$1:$M$200,4,FALSE)</f>
        <v>1012365</v>
      </c>
      <c r="Z71" s="5">
        <f>VLOOKUP($B71,'251013_0시'!$A$1:$M$200,5,FALSE)</f>
        <v>0</v>
      </c>
      <c r="AA71" s="5">
        <f t="shared" si="73"/>
        <v>170877</v>
      </c>
      <c r="AB71" s="5">
        <f t="shared" si="74"/>
        <v>35003</v>
      </c>
      <c r="AC71" s="5">
        <f t="shared" si="75"/>
        <v>0</v>
      </c>
      <c r="AD71" s="5">
        <f>VLOOKUP($B71,'251013_0시'!$A$1:$M$200,4,FALSE)</f>
        <v>1012365</v>
      </c>
      <c r="AF71" s="5" t="s">
        <v>976</v>
      </c>
      <c r="AG71" s="5">
        <f>VLOOKUP($AF71,'251013'!$A$1:$M$200,4,FALSE)</f>
        <v>130535</v>
      </c>
      <c r="AH71" s="5">
        <f>VLOOKUP($AF71,'251013'!$A$1:$M$200,5,FALSE)</f>
        <v>0</v>
      </c>
      <c r="AI71" s="5">
        <f>VLOOKUP($AF71,'251014'!$A$1:$M$200,4,FALSE)</f>
        <v>234709</v>
      </c>
      <c r="AJ71" s="5">
        <f>VLOOKUP($AF71,'251014'!$A$1:$M$200,5,FALSE)</f>
        <v>1250</v>
      </c>
      <c r="AK71" s="5">
        <f t="shared" si="76"/>
        <v>104174</v>
      </c>
      <c r="AL71" s="5">
        <f t="shared" si="77"/>
        <v>-26361</v>
      </c>
      <c r="AM71" s="5">
        <f t="shared" si="78"/>
        <v>1250</v>
      </c>
      <c r="AN71" s="5">
        <f>VLOOKUP($AF71,'251015'!$A$1:$M$200,4,FALSE)</f>
        <v>412783</v>
      </c>
      <c r="AO71" s="5">
        <f>VLOOKUP($AF71,'251015'!$A$1:$M$200,5,FALSE)</f>
        <v>1600</v>
      </c>
      <c r="AP71" s="5">
        <f t="shared" si="79"/>
        <v>178074</v>
      </c>
      <c r="AQ71" s="5">
        <f t="shared" si="80"/>
        <v>73900</v>
      </c>
      <c r="AR71" s="5">
        <f t="shared" si="81"/>
        <v>350</v>
      </c>
      <c r="AS71" s="5">
        <f>VLOOKUP($AF71,'251016'!$A$1:$M$200,4,FALSE)</f>
        <v>479796</v>
      </c>
      <c r="AT71" s="5">
        <f>VLOOKUP($AF71,'251016'!$A$1:$M$200,5,FALSE)</f>
        <v>1600</v>
      </c>
      <c r="AU71" s="5">
        <f t="shared" si="82"/>
        <v>67013</v>
      </c>
      <c r="AV71" s="5">
        <f t="shared" si="83"/>
        <v>-111061</v>
      </c>
      <c r="AW71" s="5">
        <f t="shared" si="84"/>
        <v>0</v>
      </c>
      <c r="AX71" s="5">
        <f>VLOOKUP($AF71,'251017'!$A$1:$M$200,4,FALSE)</f>
        <v>670343</v>
      </c>
      <c r="AY71" s="5">
        <f>VLOOKUP($AF71,'251017'!$A$1:$M$200,5,FALSE)</f>
        <v>1600</v>
      </c>
      <c r="AZ71" s="5">
        <f t="shared" si="85"/>
        <v>190547</v>
      </c>
      <c r="BA71" s="5">
        <f t="shared" si="86"/>
        <v>123534</v>
      </c>
      <c r="BB71" s="5">
        <f t="shared" si="87"/>
        <v>0</v>
      </c>
      <c r="BC71" s="5">
        <f>VLOOKUP($AF71,'251018'!$A$1:$M$200,4,FALSE)</f>
        <v>922316</v>
      </c>
      <c r="BD71" s="5">
        <f>VLOOKUP($AF71,'251018'!$A$1:$M$200,5,FALSE)</f>
        <v>1600</v>
      </c>
      <c r="BE71" s="5">
        <f t="shared" si="88"/>
        <v>251973</v>
      </c>
      <c r="BF71" s="5">
        <f t="shared" si="89"/>
        <v>61426</v>
      </c>
      <c r="BG71" s="5">
        <f t="shared" si="90"/>
        <v>0</v>
      </c>
      <c r="BH71" s="5">
        <f>VLOOKUP($AF71,'251018'!$A$1:$M$200,4,FALSE)</f>
        <v>922316</v>
      </c>
    </row>
    <row r="72" spans="1:60" x14ac:dyDescent="0.3">
      <c r="B72" s="5" t="s">
        <v>955</v>
      </c>
      <c r="C72" s="5">
        <f>VLOOKUP($B72,'251008_0시'!$A$1:$M$200,4,FALSE)</f>
        <v>249409</v>
      </c>
      <c r="D72" s="5">
        <f>VLOOKUP($B72,'251008_0시'!$A$1:$M$200,5,FALSE)</f>
        <v>0</v>
      </c>
      <c r="E72" s="5">
        <f>VLOOKUP($B72,'251009_0시'!$A$1:$M$200,4,FALSE)</f>
        <v>403820</v>
      </c>
      <c r="F72" s="5">
        <f>VLOOKUP($B72,'251009_0시'!$A$1:$M$200,5,FALSE)</f>
        <v>0</v>
      </c>
      <c r="G72" s="5">
        <f t="shared" si="61"/>
        <v>154411</v>
      </c>
      <c r="H72" s="5">
        <f t="shared" si="62"/>
        <v>29706.5</v>
      </c>
      <c r="I72" s="5">
        <f t="shared" si="63"/>
        <v>0</v>
      </c>
      <c r="J72" s="5">
        <f>VLOOKUP($B72,'251010_0시'!$A$1:$M$200,4,FALSE)</f>
        <v>550596</v>
      </c>
      <c r="K72" s="5">
        <f>VLOOKUP($B72,'251010_0시'!$A$1:$M$200,5,FALSE)</f>
        <v>0</v>
      </c>
      <c r="L72" s="5">
        <f t="shared" si="64"/>
        <v>146776</v>
      </c>
      <c r="M72" s="5">
        <f t="shared" si="65"/>
        <v>-7635</v>
      </c>
      <c r="N72" s="5">
        <f t="shared" si="66"/>
        <v>0</v>
      </c>
      <c r="O72" s="5">
        <f>VLOOKUP($B72,'251011_0시'!$A$1:$M$200,4,FALSE)</f>
        <v>704124</v>
      </c>
      <c r="P72" s="5">
        <f>VLOOKUP($B72,'251011_0시'!$A$1:$M$200,5,FALSE)</f>
        <v>350</v>
      </c>
      <c r="Q72" s="5">
        <f t="shared" si="67"/>
        <v>153528</v>
      </c>
      <c r="R72" s="5">
        <f t="shared" si="68"/>
        <v>6752</v>
      </c>
      <c r="S72" s="5">
        <f t="shared" si="69"/>
        <v>350</v>
      </c>
      <c r="T72" s="5">
        <f>VLOOKUP($B72,'251012_0시'!$A$1:$M$200,4,FALSE)</f>
        <v>848244</v>
      </c>
      <c r="U72" s="5">
        <f>VLOOKUP($B72,'251012_0시'!$A$1:$M$200,5,FALSE)</f>
        <v>350</v>
      </c>
      <c r="V72" s="5">
        <f t="shared" si="70"/>
        <v>144120</v>
      </c>
      <c r="W72" s="5">
        <f t="shared" si="71"/>
        <v>-9408</v>
      </c>
      <c r="X72" s="5">
        <f t="shared" si="72"/>
        <v>0</v>
      </c>
      <c r="Y72" s="5">
        <f>VLOOKUP($B72,'251013_0시'!$A$1:$M$200,4,FALSE)</f>
        <v>1005938</v>
      </c>
      <c r="Z72" s="5">
        <f>VLOOKUP($B72,'251013_0시'!$A$1:$M$200,5,FALSE)</f>
        <v>350</v>
      </c>
      <c r="AA72" s="5">
        <f t="shared" si="73"/>
        <v>157694</v>
      </c>
      <c r="AB72" s="5">
        <f t="shared" si="74"/>
        <v>13574</v>
      </c>
      <c r="AC72" s="5">
        <f t="shared" si="75"/>
        <v>0</v>
      </c>
      <c r="AD72" s="5">
        <f>VLOOKUP($B72,'251013_0시'!$A$1:$M$200,4,FALSE)</f>
        <v>1005938</v>
      </c>
      <c r="AF72" s="5" t="s">
        <v>601</v>
      </c>
      <c r="AG72" s="5">
        <f>VLOOKUP($AF72,'251013'!$A$1:$M$200,4,FALSE)</f>
        <v>139751</v>
      </c>
      <c r="AH72" s="5">
        <f>VLOOKUP($AF72,'251013'!$A$1:$M$200,5,FALSE)</f>
        <v>0</v>
      </c>
      <c r="AI72" s="5">
        <f>VLOOKUP($AF72,'251014'!$A$1:$M$200,4,FALSE)</f>
        <v>285964</v>
      </c>
      <c r="AJ72" s="5">
        <f>VLOOKUP($AF72,'251014'!$A$1:$M$200,5,FALSE)</f>
        <v>0</v>
      </c>
      <c r="AK72" s="5">
        <f t="shared" si="76"/>
        <v>146213</v>
      </c>
      <c r="AL72" s="5">
        <f t="shared" si="77"/>
        <v>6462</v>
      </c>
      <c r="AM72" s="5">
        <f t="shared" si="78"/>
        <v>0</v>
      </c>
      <c r="AN72" s="5">
        <f>VLOOKUP($AF72,'251015'!$A$1:$M$200,4,FALSE)</f>
        <v>416478</v>
      </c>
      <c r="AO72" s="5">
        <f>VLOOKUP($AF72,'251015'!$A$1:$M$200,5,FALSE)</f>
        <v>0</v>
      </c>
      <c r="AP72" s="5">
        <f t="shared" si="79"/>
        <v>130514</v>
      </c>
      <c r="AQ72" s="5">
        <f t="shared" si="80"/>
        <v>-15699</v>
      </c>
      <c r="AR72" s="5">
        <f t="shared" si="81"/>
        <v>0</v>
      </c>
      <c r="AS72" s="5">
        <f>VLOOKUP($AF72,'251016'!$A$1:$M$200,4,FALSE)</f>
        <v>595581</v>
      </c>
      <c r="AT72" s="5">
        <f>VLOOKUP($AF72,'251016'!$A$1:$M$200,5,FALSE)</f>
        <v>0</v>
      </c>
      <c r="AU72" s="5">
        <f t="shared" si="82"/>
        <v>179103</v>
      </c>
      <c r="AV72" s="5">
        <f t="shared" si="83"/>
        <v>48589</v>
      </c>
      <c r="AW72" s="5">
        <f t="shared" si="84"/>
        <v>0</v>
      </c>
      <c r="AX72" s="5">
        <f>VLOOKUP($AF72,'251017'!$A$1:$M$200,4,FALSE)</f>
        <v>764092</v>
      </c>
      <c r="AY72" s="5">
        <f>VLOOKUP($AF72,'251017'!$A$1:$M$200,5,FALSE)</f>
        <v>0</v>
      </c>
      <c r="AZ72" s="5">
        <f t="shared" si="85"/>
        <v>168511</v>
      </c>
      <c r="BA72" s="5">
        <f t="shared" si="86"/>
        <v>-10592</v>
      </c>
      <c r="BB72" s="5">
        <f t="shared" si="87"/>
        <v>0</v>
      </c>
      <c r="BC72" s="5">
        <f>VLOOKUP($AF72,'251018'!$A$1:$M$200,4,FALSE)</f>
        <v>915393</v>
      </c>
      <c r="BD72" s="5">
        <f>VLOOKUP($AF72,'251018'!$A$1:$M$200,5,FALSE)</f>
        <v>350</v>
      </c>
      <c r="BE72" s="5">
        <f t="shared" si="88"/>
        <v>151301</v>
      </c>
      <c r="BF72" s="5">
        <f t="shared" si="89"/>
        <v>-17210</v>
      </c>
      <c r="BG72" s="5">
        <f t="shared" si="90"/>
        <v>350</v>
      </c>
      <c r="BH72" s="5">
        <f>VLOOKUP($AF72,'251018'!$A$1:$M$200,4,FALSE)</f>
        <v>915393</v>
      </c>
    </row>
    <row r="73" spans="1:60" x14ac:dyDescent="0.3">
      <c r="A73" t="s">
        <v>700</v>
      </c>
      <c r="B73" s="5" t="s">
        <v>801</v>
      </c>
      <c r="C73" s="5">
        <f>VLOOKUP($B73,'251008_0시'!$A$1:$M$200,4,FALSE)</f>
        <v>275127</v>
      </c>
      <c r="D73" s="5">
        <f>VLOOKUP($B73,'251008_0시'!$A$1:$M$200,5,FALSE)</f>
        <v>0</v>
      </c>
      <c r="E73" s="5">
        <f>VLOOKUP($B73,'251009_0시'!$A$1:$M$200,4,FALSE)</f>
        <v>399779</v>
      </c>
      <c r="F73" s="5">
        <f>VLOOKUP($B73,'251009_0시'!$A$1:$M$200,5,FALSE)</f>
        <v>120</v>
      </c>
      <c r="G73" s="5">
        <f t="shared" si="61"/>
        <v>124652</v>
      </c>
      <c r="H73" s="5">
        <f t="shared" si="62"/>
        <v>-12911.5</v>
      </c>
      <c r="I73" s="5">
        <f t="shared" si="63"/>
        <v>120</v>
      </c>
      <c r="J73" s="5">
        <f>VLOOKUP($B73,'251010_0시'!$A$1:$M$200,4,FALSE)</f>
        <v>583479</v>
      </c>
      <c r="K73" s="5">
        <f>VLOOKUP($B73,'251010_0시'!$A$1:$M$200,5,FALSE)</f>
        <v>120</v>
      </c>
      <c r="L73" s="5">
        <f t="shared" si="64"/>
        <v>183700</v>
      </c>
      <c r="M73" s="5">
        <f t="shared" si="65"/>
        <v>59048</v>
      </c>
      <c r="N73" s="5">
        <f t="shared" si="66"/>
        <v>0</v>
      </c>
      <c r="O73" s="5">
        <f>VLOOKUP($B73,'251011_0시'!$A$1:$M$200,4,FALSE)</f>
        <v>708100</v>
      </c>
      <c r="P73" s="5">
        <f>VLOOKUP($B73,'251011_0시'!$A$1:$M$200,5,FALSE)</f>
        <v>120</v>
      </c>
      <c r="Q73" s="5">
        <f t="shared" si="67"/>
        <v>124621</v>
      </c>
      <c r="R73" s="5">
        <f t="shared" si="68"/>
        <v>-59079</v>
      </c>
      <c r="S73" s="5">
        <f t="shared" si="69"/>
        <v>0</v>
      </c>
      <c r="T73" s="5">
        <f>VLOOKUP($B73,'251012_0시'!$A$1:$M$200,4,FALSE)</f>
        <v>847543</v>
      </c>
      <c r="U73" s="5">
        <f>VLOOKUP($B73,'251012_0시'!$A$1:$M$200,5,FALSE)</f>
        <v>120</v>
      </c>
      <c r="V73" s="5">
        <f t="shared" si="70"/>
        <v>139443</v>
      </c>
      <c r="W73" s="5">
        <f t="shared" si="71"/>
        <v>14822</v>
      </c>
      <c r="X73" s="5">
        <f t="shared" si="72"/>
        <v>0</v>
      </c>
      <c r="Y73" s="5">
        <f>VLOOKUP($B73,'251013_0시'!$A$1:$M$200,4,FALSE)</f>
        <v>999513</v>
      </c>
      <c r="Z73" s="5">
        <f>VLOOKUP($B73,'251013_0시'!$A$1:$M$200,5,FALSE)</f>
        <v>170</v>
      </c>
      <c r="AA73" s="5">
        <f t="shared" si="73"/>
        <v>151970</v>
      </c>
      <c r="AB73" s="5">
        <f t="shared" si="74"/>
        <v>12527</v>
      </c>
      <c r="AC73" s="5">
        <f t="shared" si="75"/>
        <v>50</v>
      </c>
      <c r="AD73" s="5">
        <f>VLOOKUP($B73,'251013_0시'!$A$1:$M$200,4,FALSE)</f>
        <v>999513</v>
      </c>
      <c r="AF73" s="5" t="s">
        <v>837</v>
      </c>
      <c r="AG73" s="5">
        <f>VLOOKUP($AF73,'251013'!$A$1:$M$200,4,FALSE)</f>
        <v>108550</v>
      </c>
      <c r="AH73" s="5">
        <f>VLOOKUP($AF73,'251013'!$A$1:$M$200,5,FALSE)</f>
        <v>202</v>
      </c>
      <c r="AI73" s="5">
        <f>VLOOKUP($AF73,'251014'!$A$1:$M$200,4,FALSE)</f>
        <v>264535</v>
      </c>
      <c r="AJ73" s="5">
        <f>VLOOKUP($AF73,'251014'!$A$1:$M$200,5,FALSE)</f>
        <v>202</v>
      </c>
      <c r="AK73" s="5">
        <f t="shared" si="76"/>
        <v>155985</v>
      </c>
      <c r="AL73" s="5">
        <f t="shared" si="77"/>
        <v>47435</v>
      </c>
      <c r="AM73" s="5">
        <f t="shared" si="78"/>
        <v>0</v>
      </c>
      <c r="AN73" s="5">
        <f>VLOOKUP($AF73,'251015'!$A$1:$M$200,4,FALSE)</f>
        <v>410317</v>
      </c>
      <c r="AO73" s="5">
        <f>VLOOKUP($AF73,'251015'!$A$1:$M$200,5,FALSE)</f>
        <v>202</v>
      </c>
      <c r="AP73" s="5">
        <f t="shared" si="79"/>
        <v>145782</v>
      </c>
      <c r="AQ73" s="5">
        <f t="shared" si="80"/>
        <v>-10203</v>
      </c>
      <c r="AR73" s="5">
        <f t="shared" si="81"/>
        <v>0</v>
      </c>
      <c r="AS73" s="5">
        <f>VLOOKUP($AF73,'251016'!$A$1:$M$200,4,FALSE)</f>
        <v>580703</v>
      </c>
      <c r="AT73" s="5">
        <f>VLOOKUP($AF73,'251016'!$A$1:$M$200,5,FALSE)</f>
        <v>202</v>
      </c>
      <c r="AU73" s="5">
        <f t="shared" si="82"/>
        <v>170386</v>
      </c>
      <c r="AV73" s="5">
        <f t="shared" si="83"/>
        <v>24604</v>
      </c>
      <c r="AW73" s="5">
        <f t="shared" si="84"/>
        <v>0</v>
      </c>
      <c r="AX73" s="5">
        <f>VLOOKUP($AF73,'251017'!$A$1:$M$200,4,FALSE)</f>
        <v>766105</v>
      </c>
      <c r="AY73" s="5">
        <f>VLOOKUP($AF73,'251017'!$A$1:$M$200,5,FALSE)</f>
        <v>202</v>
      </c>
      <c r="AZ73" s="5">
        <f t="shared" si="85"/>
        <v>185402</v>
      </c>
      <c r="BA73" s="5">
        <f t="shared" si="86"/>
        <v>15016</v>
      </c>
      <c r="BB73" s="5">
        <f t="shared" si="87"/>
        <v>0</v>
      </c>
      <c r="BC73" s="5">
        <f>VLOOKUP($AF73,'251018'!$A$1:$M$200,4,FALSE)</f>
        <v>898791</v>
      </c>
      <c r="BD73" s="5">
        <f>VLOOKUP($AF73,'251018'!$A$1:$M$200,5,FALSE)</f>
        <v>202</v>
      </c>
      <c r="BE73" s="5">
        <f t="shared" si="88"/>
        <v>132686</v>
      </c>
      <c r="BF73" s="5">
        <f t="shared" si="89"/>
        <v>-52716</v>
      </c>
      <c r="BG73" s="5">
        <f t="shared" si="90"/>
        <v>0</v>
      </c>
      <c r="BH73" s="5">
        <f>VLOOKUP($AF73,'251018'!$A$1:$M$200,4,FALSE)</f>
        <v>898791</v>
      </c>
    </row>
    <row r="74" spans="1:60" x14ac:dyDescent="0.3">
      <c r="B74" s="5" t="s">
        <v>789</v>
      </c>
      <c r="C74" s="5">
        <f>VLOOKUP($B74,'251008_0시'!$A$1:$M$200,4,FALSE)</f>
        <v>284648</v>
      </c>
      <c r="D74" s="5">
        <f>VLOOKUP($B74,'251008_0시'!$A$1:$M$200,5,FALSE)</f>
        <v>0</v>
      </c>
      <c r="E74" s="5">
        <f>VLOOKUP($B74,'251009_0시'!$A$1:$M$200,4,FALSE)</f>
        <v>425037</v>
      </c>
      <c r="F74" s="5">
        <f>VLOOKUP($B74,'251009_0시'!$A$1:$M$200,5,FALSE)</f>
        <v>350</v>
      </c>
      <c r="G74" s="5">
        <f t="shared" si="61"/>
        <v>140389</v>
      </c>
      <c r="H74" s="5">
        <f t="shared" si="62"/>
        <v>-1935</v>
      </c>
      <c r="I74" s="5">
        <f t="shared" si="63"/>
        <v>350</v>
      </c>
      <c r="J74" s="5">
        <f>VLOOKUP($B74,'251010_0시'!$A$1:$M$200,4,FALSE)</f>
        <v>602500</v>
      </c>
      <c r="K74" s="5">
        <f>VLOOKUP($B74,'251010_0시'!$A$1:$M$200,5,FALSE)</f>
        <v>3238</v>
      </c>
      <c r="L74" s="5">
        <f t="shared" si="64"/>
        <v>177463</v>
      </c>
      <c r="M74" s="5">
        <f t="shared" si="65"/>
        <v>37074</v>
      </c>
      <c r="N74" s="5">
        <f t="shared" si="66"/>
        <v>2888</v>
      </c>
      <c r="O74" s="5">
        <f>VLOOKUP($B74,'251011_0시'!$A$1:$M$200,4,FALSE)</f>
        <v>715151</v>
      </c>
      <c r="P74" s="5">
        <f>VLOOKUP($B74,'251011_0시'!$A$1:$M$200,5,FALSE)</f>
        <v>3238</v>
      </c>
      <c r="Q74" s="5">
        <f t="shared" si="67"/>
        <v>112651</v>
      </c>
      <c r="R74" s="5">
        <f t="shared" si="68"/>
        <v>-64812</v>
      </c>
      <c r="S74" s="5">
        <f t="shared" si="69"/>
        <v>0</v>
      </c>
      <c r="T74" s="5">
        <f>VLOOKUP($B74,'251012_0시'!$A$1:$M$200,4,FALSE)</f>
        <v>870024</v>
      </c>
      <c r="U74" s="5">
        <f>VLOOKUP($B74,'251012_0시'!$A$1:$M$200,5,FALSE)</f>
        <v>3238</v>
      </c>
      <c r="V74" s="5">
        <f t="shared" si="70"/>
        <v>154873</v>
      </c>
      <c r="W74" s="5">
        <f t="shared" si="71"/>
        <v>42222</v>
      </c>
      <c r="X74" s="5">
        <f t="shared" si="72"/>
        <v>0</v>
      </c>
      <c r="Y74" s="5">
        <f>VLOOKUP($B74,'251013_0시'!$A$1:$M$200,4,FALSE)</f>
        <v>995275</v>
      </c>
      <c r="Z74" s="5">
        <f>VLOOKUP($B74,'251013_0시'!$A$1:$M$200,5,FALSE)</f>
        <v>3238</v>
      </c>
      <c r="AA74" s="5">
        <f t="shared" si="73"/>
        <v>125251</v>
      </c>
      <c r="AB74" s="5">
        <f t="shared" si="74"/>
        <v>-29622</v>
      </c>
      <c r="AC74" s="5">
        <f t="shared" si="75"/>
        <v>0</v>
      </c>
      <c r="AD74" s="5">
        <f>VLOOKUP($B74,'251013_0시'!$A$1:$M$200,4,FALSE)</f>
        <v>995275</v>
      </c>
      <c r="AF74" s="5" t="s">
        <v>953</v>
      </c>
      <c r="AG74" s="5">
        <f>VLOOKUP($AF74,'251013'!$A$1:$M$200,4,FALSE)</f>
        <v>152496</v>
      </c>
      <c r="AH74" s="5">
        <f>VLOOKUP($AF74,'251013'!$A$1:$M$200,5,FALSE)</f>
        <v>101</v>
      </c>
      <c r="AI74" s="5">
        <f>VLOOKUP($AF74,'251014'!$A$1:$M$200,4,FALSE)</f>
        <v>290450</v>
      </c>
      <c r="AJ74" s="5">
        <f>VLOOKUP($AF74,'251014'!$A$1:$M$200,5,FALSE)</f>
        <v>101</v>
      </c>
      <c r="AK74" s="5">
        <f t="shared" si="76"/>
        <v>137954</v>
      </c>
      <c r="AL74" s="5">
        <f t="shared" si="77"/>
        <v>-14542</v>
      </c>
      <c r="AM74" s="5">
        <f t="shared" si="78"/>
        <v>0</v>
      </c>
      <c r="AN74" s="5">
        <f>VLOOKUP($AF74,'251015'!$A$1:$M$200,4,FALSE)</f>
        <v>421924</v>
      </c>
      <c r="AO74" s="5">
        <f>VLOOKUP($AF74,'251015'!$A$1:$M$200,5,FALSE)</f>
        <v>101</v>
      </c>
      <c r="AP74" s="5">
        <f t="shared" si="79"/>
        <v>131474</v>
      </c>
      <c r="AQ74" s="5">
        <f t="shared" si="80"/>
        <v>-6480</v>
      </c>
      <c r="AR74" s="5">
        <f t="shared" si="81"/>
        <v>0</v>
      </c>
      <c r="AS74" s="5">
        <f>VLOOKUP($AF74,'251016'!$A$1:$M$200,4,FALSE)</f>
        <v>532066</v>
      </c>
      <c r="AT74" s="5">
        <f>VLOOKUP($AF74,'251016'!$A$1:$M$200,5,FALSE)</f>
        <v>101</v>
      </c>
      <c r="AU74" s="5">
        <f t="shared" si="82"/>
        <v>110142</v>
      </c>
      <c r="AV74" s="5">
        <f t="shared" si="83"/>
        <v>-21332</v>
      </c>
      <c r="AW74" s="5">
        <f t="shared" si="84"/>
        <v>0</v>
      </c>
      <c r="AX74" s="5">
        <f>VLOOKUP($AF74,'251017'!$A$1:$M$200,4,FALSE)</f>
        <v>706605</v>
      </c>
      <c r="AY74" s="5">
        <f>VLOOKUP($AF74,'251017'!$A$1:$M$200,5,FALSE)</f>
        <v>101</v>
      </c>
      <c r="AZ74" s="5">
        <f t="shared" si="85"/>
        <v>174539</v>
      </c>
      <c r="BA74" s="5">
        <f t="shared" si="86"/>
        <v>64397</v>
      </c>
      <c r="BB74" s="5">
        <f t="shared" si="87"/>
        <v>0</v>
      </c>
      <c r="BC74" s="5">
        <f>VLOOKUP($AF74,'251018'!$A$1:$M$200,4,FALSE)</f>
        <v>892835</v>
      </c>
      <c r="BD74" s="5">
        <f>VLOOKUP($AF74,'251018'!$A$1:$M$200,5,FALSE)</f>
        <v>101</v>
      </c>
      <c r="BE74" s="5">
        <f t="shared" si="88"/>
        <v>186230</v>
      </c>
      <c r="BF74" s="5">
        <f t="shared" si="89"/>
        <v>11691</v>
      </c>
      <c r="BG74" s="5">
        <f t="shared" si="90"/>
        <v>0</v>
      </c>
      <c r="BH74" s="5">
        <f>VLOOKUP($AF74,'251018'!$A$1:$M$200,4,FALSE)</f>
        <v>892835</v>
      </c>
    </row>
    <row r="75" spans="1:60" x14ac:dyDescent="0.3">
      <c r="B75" s="5" t="s">
        <v>953</v>
      </c>
      <c r="C75" s="5">
        <f>VLOOKUP($B75,'251008_0시'!$A$1:$M$200,4,FALSE)</f>
        <v>268681</v>
      </c>
      <c r="D75" s="5">
        <f>VLOOKUP($B75,'251008_0시'!$A$1:$M$200,5,FALSE)</f>
        <v>0</v>
      </c>
      <c r="E75" s="5">
        <f>VLOOKUP($B75,'251009_0시'!$A$1:$M$200,4,FALSE)</f>
        <v>432954</v>
      </c>
      <c r="F75" s="5">
        <f>VLOOKUP($B75,'251009_0시'!$A$1:$M$200,5,FALSE)</f>
        <v>50</v>
      </c>
      <c r="G75" s="5">
        <f t="shared" si="61"/>
        <v>164273</v>
      </c>
      <c r="H75" s="5">
        <f t="shared" si="62"/>
        <v>29932.5</v>
      </c>
      <c r="I75" s="5">
        <f t="shared" si="63"/>
        <v>50</v>
      </c>
      <c r="J75" s="5">
        <f>VLOOKUP($B75,'251010_0시'!$A$1:$M$200,4,FALSE)</f>
        <v>561329</v>
      </c>
      <c r="K75" s="5">
        <f>VLOOKUP($B75,'251010_0시'!$A$1:$M$200,5,FALSE)</f>
        <v>50</v>
      </c>
      <c r="L75" s="5">
        <f t="shared" si="64"/>
        <v>128375</v>
      </c>
      <c r="M75" s="5">
        <f t="shared" si="65"/>
        <v>-35898</v>
      </c>
      <c r="N75" s="5">
        <f t="shared" si="66"/>
        <v>0</v>
      </c>
      <c r="O75" s="5">
        <f>VLOOKUP($B75,'251011_0시'!$A$1:$M$200,4,FALSE)</f>
        <v>695938</v>
      </c>
      <c r="P75" s="5">
        <f>VLOOKUP($B75,'251011_0시'!$A$1:$M$200,5,FALSE)</f>
        <v>50</v>
      </c>
      <c r="Q75" s="5">
        <f t="shared" si="67"/>
        <v>134609</v>
      </c>
      <c r="R75" s="5">
        <f t="shared" si="68"/>
        <v>6234</v>
      </c>
      <c r="S75" s="5">
        <f t="shared" si="69"/>
        <v>0</v>
      </c>
      <c r="T75" s="5">
        <f>VLOOKUP($B75,'251012_0시'!$A$1:$M$200,4,FALSE)</f>
        <v>843500</v>
      </c>
      <c r="U75" s="5">
        <f>VLOOKUP($B75,'251012_0시'!$A$1:$M$200,5,FALSE)</f>
        <v>50</v>
      </c>
      <c r="V75" s="5">
        <f t="shared" si="70"/>
        <v>147562</v>
      </c>
      <c r="W75" s="5">
        <f t="shared" si="71"/>
        <v>12953</v>
      </c>
      <c r="X75" s="5">
        <f t="shared" si="72"/>
        <v>0</v>
      </c>
      <c r="Y75" s="5">
        <f>VLOOKUP($B75,'251013_0시'!$A$1:$M$200,4,FALSE)</f>
        <v>987109</v>
      </c>
      <c r="Z75" s="5">
        <f>VLOOKUP($B75,'251013_0시'!$A$1:$M$200,5,FALSE)</f>
        <v>135</v>
      </c>
      <c r="AA75" s="5">
        <f t="shared" si="73"/>
        <v>143609</v>
      </c>
      <c r="AB75" s="5">
        <f t="shared" si="74"/>
        <v>-3953</v>
      </c>
      <c r="AC75" s="5">
        <f t="shared" si="75"/>
        <v>85</v>
      </c>
      <c r="AD75" s="5">
        <f>VLOOKUP($B75,'251013_0시'!$A$1:$M$200,4,FALSE)</f>
        <v>987109</v>
      </c>
      <c r="AF75" s="5" t="s">
        <v>974</v>
      </c>
      <c r="AG75" s="5">
        <f>VLOOKUP($AF75,'251013'!$A$1:$M$200,4,FALSE)</f>
        <v>136188</v>
      </c>
      <c r="AH75" s="5">
        <f>VLOOKUP($AF75,'251013'!$A$1:$M$200,5,FALSE)</f>
        <v>0</v>
      </c>
      <c r="AI75" s="5">
        <f>VLOOKUP($AF75,'251014'!$A$1:$M$200,4,FALSE)</f>
        <v>246797</v>
      </c>
      <c r="AJ75" s="5">
        <f>VLOOKUP($AF75,'251014'!$A$1:$M$200,5,FALSE)</f>
        <v>700</v>
      </c>
      <c r="AK75" s="5">
        <f t="shared" si="76"/>
        <v>110609</v>
      </c>
      <c r="AL75" s="5">
        <f t="shared" si="77"/>
        <v>-25579</v>
      </c>
      <c r="AM75" s="5">
        <f t="shared" si="78"/>
        <v>700</v>
      </c>
      <c r="AN75" s="5">
        <f>VLOOKUP($AF75,'251015'!$A$1:$M$200,4,FALSE)</f>
        <v>374717</v>
      </c>
      <c r="AO75" s="5">
        <f>VLOOKUP($AF75,'251015'!$A$1:$M$200,5,FALSE)</f>
        <v>1050</v>
      </c>
      <c r="AP75" s="5">
        <f t="shared" si="79"/>
        <v>127920</v>
      </c>
      <c r="AQ75" s="5">
        <f t="shared" si="80"/>
        <v>17311</v>
      </c>
      <c r="AR75" s="5">
        <f t="shared" si="81"/>
        <v>350</v>
      </c>
      <c r="AS75" s="5">
        <f>VLOOKUP($AF75,'251016'!$A$1:$M$200,4,FALSE)</f>
        <v>432878</v>
      </c>
      <c r="AT75" s="5">
        <f>VLOOKUP($AF75,'251016'!$A$1:$M$200,5,FALSE)</f>
        <v>1050</v>
      </c>
      <c r="AU75" s="5">
        <f t="shared" si="82"/>
        <v>58161</v>
      </c>
      <c r="AV75" s="5">
        <f t="shared" si="83"/>
        <v>-69759</v>
      </c>
      <c r="AW75" s="5">
        <f t="shared" si="84"/>
        <v>0</v>
      </c>
      <c r="AX75" s="5">
        <f>VLOOKUP($AF75,'251017'!$A$1:$M$200,4,FALSE)</f>
        <v>624916</v>
      </c>
      <c r="AY75" s="5">
        <f>VLOOKUP($AF75,'251017'!$A$1:$M$200,5,FALSE)</f>
        <v>1050</v>
      </c>
      <c r="AZ75" s="5">
        <f t="shared" si="85"/>
        <v>192038</v>
      </c>
      <c r="BA75" s="5">
        <f t="shared" si="86"/>
        <v>133877</v>
      </c>
      <c r="BB75" s="5">
        <f t="shared" si="87"/>
        <v>0</v>
      </c>
      <c r="BC75" s="5">
        <f>VLOOKUP($AF75,'251018'!$A$1:$M$200,4,FALSE)</f>
        <v>890674</v>
      </c>
      <c r="BD75" s="5">
        <f>VLOOKUP($AF75,'251018'!$A$1:$M$200,5,FALSE)</f>
        <v>1750</v>
      </c>
      <c r="BE75" s="5">
        <f t="shared" si="88"/>
        <v>265758</v>
      </c>
      <c r="BF75" s="5">
        <f t="shared" si="89"/>
        <v>73720</v>
      </c>
      <c r="BG75" s="5">
        <f t="shared" si="90"/>
        <v>700</v>
      </c>
      <c r="BH75" s="5">
        <f>VLOOKUP($AF75,'251018'!$A$1:$M$200,4,FALSE)</f>
        <v>890674</v>
      </c>
    </row>
    <row r="76" spans="1:60" x14ac:dyDescent="0.3">
      <c r="B76" s="5" t="s">
        <v>602</v>
      </c>
      <c r="C76" s="5">
        <f>VLOOKUP($B76,'251008_0시'!$A$1:$M$200,4,FALSE)</f>
        <v>294810</v>
      </c>
      <c r="D76" s="5">
        <f>VLOOKUP($B76,'251008_0시'!$A$1:$M$200,5,FALSE)</f>
        <v>0</v>
      </c>
      <c r="E76" s="5">
        <f>VLOOKUP($B76,'251009_0시'!$A$1:$M$200,4,FALSE)</f>
        <v>419350</v>
      </c>
      <c r="F76" s="5">
        <f>VLOOKUP($B76,'251009_0시'!$A$1:$M$200,5,FALSE)</f>
        <v>0</v>
      </c>
      <c r="G76" s="5">
        <f t="shared" si="61"/>
        <v>124540</v>
      </c>
      <c r="H76" s="5">
        <f t="shared" si="62"/>
        <v>-22865</v>
      </c>
      <c r="I76" s="5">
        <f t="shared" si="63"/>
        <v>0</v>
      </c>
      <c r="J76" s="5">
        <f>VLOOKUP($B76,'251010_0시'!$A$1:$M$200,4,FALSE)</f>
        <v>554123</v>
      </c>
      <c r="K76" s="5">
        <f>VLOOKUP($B76,'251010_0시'!$A$1:$M$200,5,FALSE)</f>
        <v>50</v>
      </c>
      <c r="L76" s="5">
        <f t="shared" si="64"/>
        <v>134773</v>
      </c>
      <c r="M76" s="5">
        <f t="shared" si="65"/>
        <v>10233</v>
      </c>
      <c r="N76" s="5">
        <f t="shared" si="66"/>
        <v>50</v>
      </c>
      <c r="O76" s="5">
        <f>VLOOKUP($B76,'251011_0시'!$A$1:$M$200,4,FALSE)</f>
        <v>695613</v>
      </c>
      <c r="P76" s="5">
        <f>VLOOKUP($B76,'251011_0시'!$A$1:$M$200,5,FALSE)</f>
        <v>50</v>
      </c>
      <c r="Q76" s="5">
        <f t="shared" si="67"/>
        <v>141490</v>
      </c>
      <c r="R76" s="5">
        <f t="shared" si="68"/>
        <v>6717</v>
      </c>
      <c r="S76" s="5">
        <f t="shared" si="69"/>
        <v>0</v>
      </c>
      <c r="T76" s="5">
        <f>VLOOKUP($B76,'251012_0시'!$A$1:$M$200,4,FALSE)</f>
        <v>828437</v>
      </c>
      <c r="U76" s="5">
        <f>VLOOKUP($B76,'251012_0시'!$A$1:$M$200,5,FALSE)</f>
        <v>550</v>
      </c>
      <c r="V76" s="5">
        <f t="shared" si="70"/>
        <v>132824</v>
      </c>
      <c r="W76" s="5">
        <f t="shared" si="71"/>
        <v>-8666</v>
      </c>
      <c r="X76" s="5">
        <f t="shared" si="72"/>
        <v>500</v>
      </c>
      <c r="Y76" s="5">
        <f>VLOOKUP($B76,'251013_0시'!$A$1:$M$200,4,FALSE)</f>
        <v>983080</v>
      </c>
      <c r="Z76" s="5">
        <f>VLOOKUP($B76,'251013_0시'!$A$1:$M$200,5,FALSE)</f>
        <v>950</v>
      </c>
      <c r="AA76" s="5">
        <f t="shared" si="73"/>
        <v>154643</v>
      </c>
      <c r="AB76" s="5">
        <f t="shared" si="74"/>
        <v>21819</v>
      </c>
      <c r="AC76" s="5">
        <f t="shared" si="75"/>
        <v>400</v>
      </c>
      <c r="AD76" s="5">
        <f>VLOOKUP($B76,'251013_0시'!$A$1:$M$200,4,FALSE)</f>
        <v>983080</v>
      </c>
      <c r="AF76" s="5" t="s">
        <v>789</v>
      </c>
      <c r="AG76" s="5">
        <f>VLOOKUP($AF76,'251013'!$A$1:$M$200,4,FALSE)</f>
        <v>130185</v>
      </c>
      <c r="AH76" s="5">
        <f>VLOOKUP($AF76,'251013'!$A$1:$M$200,5,FALSE)</f>
        <v>573</v>
      </c>
      <c r="AI76" s="5">
        <f>VLOOKUP($AF76,'251014'!$A$1:$M$200,4,FALSE)</f>
        <v>266030</v>
      </c>
      <c r="AJ76" s="5">
        <f>VLOOKUP($AF76,'251014'!$A$1:$M$200,5,FALSE)</f>
        <v>573</v>
      </c>
      <c r="AK76" s="5">
        <f t="shared" si="76"/>
        <v>135845</v>
      </c>
      <c r="AL76" s="5">
        <f t="shared" si="77"/>
        <v>5660</v>
      </c>
      <c r="AM76" s="5">
        <f t="shared" si="78"/>
        <v>0</v>
      </c>
      <c r="AN76" s="5">
        <f>VLOOKUP($AF76,'251015'!$A$1:$M$200,4,FALSE)</f>
        <v>398039</v>
      </c>
      <c r="AO76" s="5">
        <f>VLOOKUP($AF76,'251015'!$A$1:$M$200,5,FALSE)</f>
        <v>573</v>
      </c>
      <c r="AP76" s="5">
        <f t="shared" si="79"/>
        <v>132009</v>
      </c>
      <c r="AQ76" s="5">
        <f t="shared" si="80"/>
        <v>-3836</v>
      </c>
      <c r="AR76" s="5">
        <f t="shared" si="81"/>
        <v>0</v>
      </c>
      <c r="AS76" s="5">
        <f>VLOOKUP($AF76,'251016'!$A$1:$M$200,4,FALSE)</f>
        <v>544743</v>
      </c>
      <c r="AT76" s="5">
        <f>VLOOKUP($AF76,'251016'!$A$1:$M$200,5,FALSE)</f>
        <v>573</v>
      </c>
      <c r="AU76" s="5">
        <f t="shared" si="82"/>
        <v>146704</v>
      </c>
      <c r="AV76" s="5">
        <f t="shared" si="83"/>
        <v>14695</v>
      </c>
      <c r="AW76" s="5">
        <f t="shared" si="84"/>
        <v>0</v>
      </c>
      <c r="AX76" s="5">
        <f>VLOOKUP($AF76,'251017'!$A$1:$M$200,4,FALSE)</f>
        <v>676560</v>
      </c>
      <c r="AY76" s="5">
        <f>VLOOKUP($AF76,'251017'!$A$1:$M$200,5,FALSE)</f>
        <v>674</v>
      </c>
      <c r="AZ76" s="5">
        <f t="shared" si="85"/>
        <v>131817</v>
      </c>
      <c r="BA76" s="5">
        <f t="shared" si="86"/>
        <v>-14887</v>
      </c>
      <c r="BB76" s="5">
        <f t="shared" si="87"/>
        <v>101</v>
      </c>
      <c r="BC76" s="5">
        <f>VLOOKUP($AF76,'251018'!$A$1:$M$200,4,FALSE)</f>
        <v>887369</v>
      </c>
      <c r="BD76" s="5">
        <f>VLOOKUP($AF76,'251018'!$A$1:$M$200,5,FALSE)</f>
        <v>1574</v>
      </c>
      <c r="BE76" s="5">
        <f t="shared" si="88"/>
        <v>210809</v>
      </c>
      <c r="BF76" s="5">
        <f t="shared" si="89"/>
        <v>78992</v>
      </c>
      <c r="BG76" s="5">
        <f t="shared" si="90"/>
        <v>900</v>
      </c>
      <c r="BH76" s="5">
        <f>VLOOKUP($AF76,'251018'!$A$1:$M$200,4,FALSE)</f>
        <v>887369</v>
      </c>
    </row>
    <row r="77" spans="1:60" x14ac:dyDescent="0.3">
      <c r="B77" s="5" t="s">
        <v>795</v>
      </c>
      <c r="C77" s="5">
        <f>VLOOKUP($B77,'251008_0시'!$A$1:$M$200,4,FALSE)</f>
        <v>294186</v>
      </c>
      <c r="D77" s="5">
        <f>VLOOKUP($B77,'251008_0시'!$A$1:$M$200,5,FALSE)</f>
        <v>350</v>
      </c>
      <c r="E77" s="5">
        <f>VLOOKUP($B77,'251009_0시'!$A$1:$M$200,4,FALSE)</f>
        <v>448052</v>
      </c>
      <c r="F77" s="5">
        <f>VLOOKUP($B77,'251009_0시'!$A$1:$M$200,5,FALSE)</f>
        <v>350</v>
      </c>
      <c r="G77" s="5">
        <f t="shared" si="61"/>
        <v>153866</v>
      </c>
      <c r="H77" s="5">
        <f t="shared" si="62"/>
        <v>6773</v>
      </c>
      <c r="I77" s="5">
        <f t="shared" si="63"/>
        <v>0</v>
      </c>
      <c r="J77" s="5">
        <f>VLOOKUP($B77,'251010_0시'!$A$1:$M$200,4,FALSE)</f>
        <v>575640</v>
      </c>
      <c r="K77" s="5">
        <f>VLOOKUP($B77,'251010_0시'!$A$1:$M$200,5,FALSE)</f>
        <v>936</v>
      </c>
      <c r="L77" s="5">
        <f t="shared" si="64"/>
        <v>127588</v>
      </c>
      <c r="M77" s="5">
        <f t="shared" si="65"/>
        <v>-26278</v>
      </c>
      <c r="N77" s="5">
        <f t="shared" si="66"/>
        <v>586</v>
      </c>
      <c r="O77" s="5">
        <f>VLOOKUP($B77,'251011_0시'!$A$1:$M$200,4,FALSE)</f>
        <v>735982</v>
      </c>
      <c r="P77" s="5">
        <f>VLOOKUP($B77,'251011_0시'!$A$1:$M$200,5,FALSE)</f>
        <v>1286</v>
      </c>
      <c r="Q77" s="5">
        <f t="shared" si="67"/>
        <v>160342</v>
      </c>
      <c r="R77" s="5">
        <f t="shared" si="68"/>
        <v>32754</v>
      </c>
      <c r="S77" s="5">
        <f t="shared" si="69"/>
        <v>350</v>
      </c>
      <c r="T77" s="5">
        <f>VLOOKUP($B77,'251012_0시'!$A$1:$M$200,4,FALSE)</f>
        <v>858313</v>
      </c>
      <c r="U77" s="5">
        <f>VLOOKUP($B77,'251012_0시'!$A$1:$M$200,5,FALSE)</f>
        <v>1839</v>
      </c>
      <c r="V77" s="5">
        <f t="shared" si="70"/>
        <v>122331</v>
      </c>
      <c r="W77" s="5">
        <f t="shared" si="71"/>
        <v>-38011</v>
      </c>
      <c r="X77" s="5">
        <f t="shared" si="72"/>
        <v>553</v>
      </c>
      <c r="Y77" s="5">
        <f>VLOOKUP($B77,'251013_0시'!$A$1:$M$200,4,FALSE)</f>
        <v>982360</v>
      </c>
      <c r="Z77" s="5">
        <f>VLOOKUP($B77,'251013_0시'!$A$1:$M$200,5,FALSE)</f>
        <v>2138</v>
      </c>
      <c r="AA77" s="5">
        <f t="shared" si="73"/>
        <v>124047</v>
      </c>
      <c r="AB77" s="5">
        <f t="shared" si="74"/>
        <v>1716</v>
      </c>
      <c r="AC77" s="5">
        <f t="shared" si="75"/>
        <v>299</v>
      </c>
      <c r="AD77" s="5">
        <f>VLOOKUP($B77,'251013_0시'!$A$1:$M$200,4,FALSE)</f>
        <v>982360</v>
      </c>
      <c r="AF77" s="5" t="s">
        <v>798</v>
      </c>
      <c r="AG77" s="5">
        <f>VLOOKUP($AF77,'251013'!$A$1:$M$200,4,FALSE)</f>
        <v>129186</v>
      </c>
      <c r="AH77" s="5">
        <f>VLOOKUP($AF77,'251013'!$A$1:$M$200,5,FALSE)</f>
        <v>50</v>
      </c>
      <c r="AI77" s="5">
        <f>VLOOKUP($AF77,'251014'!$A$1:$M$200,4,FALSE)</f>
        <v>214241</v>
      </c>
      <c r="AJ77" s="5">
        <f>VLOOKUP($AF77,'251014'!$A$1:$M$200,5,FALSE)</f>
        <v>2300</v>
      </c>
      <c r="AK77" s="5">
        <f t="shared" si="76"/>
        <v>85055</v>
      </c>
      <c r="AL77" s="5">
        <f t="shared" si="77"/>
        <v>-44131</v>
      </c>
      <c r="AM77" s="5">
        <f t="shared" si="78"/>
        <v>2250</v>
      </c>
      <c r="AN77" s="5">
        <f>VLOOKUP($AF77,'251015'!$A$1:$M$200,4,FALSE)</f>
        <v>356484</v>
      </c>
      <c r="AO77" s="5">
        <f>VLOOKUP($AF77,'251015'!$A$1:$M$200,5,FALSE)</f>
        <v>9500</v>
      </c>
      <c r="AP77" s="5">
        <f t="shared" si="79"/>
        <v>142243</v>
      </c>
      <c r="AQ77" s="5">
        <f t="shared" si="80"/>
        <v>57188</v>
      </c>
      <c r="AR77" s="5">
        <f t="shared" si="81"/>
        <v>7200</v>
      </c>
      <c r="AS77" s="5">
        <f>VLOOKUP($AF77,'251016'!$A$1:$M$200,4,FALSE)</f>
        <v>536380</v>
      </c>
      <c r="AT77" s="5">
        <f>VLOOKUP($AF77,'251016'!$A$1:$M$200,5,FALSE)</f>
        <v>12650</v>
      </c>
      <c r="AU77" s="5">
        <f t="shared" si="82"/>
        <v>179896</v>
      </c>
      <c r="AV77" s="5">
        <f t="shared" si="83"/>
        <v>37653</v>
      </c>
      <c r="AW77" s="5">
        <f t="shared" si="84"/>
        <v>3150</v>
      </c>
      <c r="AX77" s="5">
        <f>VLOOKUP($AF77,'251017'!$A$1:$M$200,4,FALSE)</f>
        <v>707726</v>
      </c>
      <c r="AY77" s="5">
        <f>VLOOKUP($AF77,'251017'!$A$1:$M$200,5,FALSE)</f>
        <v>17600</v>
      </c>
      <c r="AZ77" s="5">
        <f t="shared" si="85"/>
        <v>171346</v>
      </c>
      <c r="BA77" s="5">
        <f t="shared" si="86"/>
        <v>-8550</v>
      </c>
      <c r="BB77" s="5">
        <f t="shared" si="87"/>
        <v>4950</v>
      </c>
      <c r="BC77" s="5">
        <f>VLOOKUP($AF77,'251018'!$A$1:$M$200,4,FALSE)</f>
        <v>886152</v>
      </c>
      <c r="BD77" s="5">
        <f>VLOOKUP($AF77,'251018'!$A$1:$M$200,5,FALSE)</f>
        <v>17600</v>
      </c>
      <c r="BE77" s="5">
        <f t="shared" si="88"/>
        <v>178426</v>
      </c>
      <c r="BF77" s="5">
        <f t="shared" si="89"/>
        <v>7080</v>
      </c>
      <c r="BG77" s="5">
        <f t="shared" si="90"/>
        <v>0</v>
      </c>
      <c r="BH77" s="5">
        <f>VLOOKUP($AF77,'251018'!$A$1:$M$200,4,FALSE)</f>
        <v>886152</v>
      </c>
    </row>
    <row r="78" spans="1:60" x14ac:dyDescent="0.3">
      <c r="B78" s="5" t="s">
        <v>775</v>
      </c>
      <c r="C78" s="5">
        <f>VLOOKUP($B78,'251008_0시'!$A$1:$M$200,4,FALSE)</f>
        <v>284079</v>
      </c>
      <c r="D78" s="5">
        <f>VLOOKUP($B78,'251008_0시'!$A$1:$M$200,5,FALSE)</f>
        <v>0</v>
      </c>
      <c r="E78" s="5">
        <f>VLOOKUP($B78,'251009_0시'!$A$1:$M$200,4,FALSE)</f>
        <v>408974</v>
      </c>
      <c r="F78" s="5">
        <f>VLOOKUP($B78,'251009_0시'!$A$1:$M$200,5,FALSE)</f>
        <v>0</v>
      </c>
      <c r="G78" s="5">
        <f t="shared" si="61"/>
        <v>124895</v>
      </c>
      <c r="H78" s="5">
        <f t="shared" si="62"/>
        <v>-17144.5</v>
      </c>
      <c r="I78" s="5">
        <f t="shared" si="63"/>
        <v>0</v>
      </c>
      <c r="J78" s="5">
        <f>VLOOKUP($B78,'251010_0시'!$A$1:$M$200,4,FALSE)</f>
        <v>549678</v>
      </c>
      <c r="K78" s="5">
        <f>VLOOKUP($B78,'251010_0시'!$A$1:$M$200,5,FALSE)</f>
        <v>0</v>
      </c>
      <c r="L78" s="5">
        <f t="shared" si="64"/>
        <v>140704</v>
      </c>
      <c r="M78" s="5">
        <f t="shared" si="65"/>
        <v>15809</v>
      </c>
      <c r="N78" s="5">
        <f t="shared" si="66"/>
        <v>0</v>
      </c>
      <c r="O78" s="5">
        <f>VLOOKUP($B78,'251011_0시'!$A$1:$M$200,4,FALSE)</f>
        <v>728871</v>
      </c>
      <c r="P78" s="5">
        <f>VLOOKUP($B78,'251011_0시'!$A$1:$M$200,5,FALSE)</f>
        <v>100</v>
      </c>
      <c r="Q78" s="5">
        <f t="shared" si="67"/>
        <v>179193</v>
      </c>
      <c r="R78" s="5">
        <f t="shared" si="68"/>
        <v>38489</v>
      </c>
      <c r="S78" s="5">
        <f t="shared" si="69"/>
        <v>100</v>
      </c>
      <c r="T78" s="5">
        <f>VLOOKUP($B78,'251012_0시'!$A$1:$M$200,4,FALSE)</f>
        <v>839532</v>
      </c>
      <c r="U78" s="5">
        <f>VLOOKUP($B78,'251012_0시'!$A$1:$M$200,5,FALSE)</f>
        <v>100</v>
      </c>
      <c r="V78" s="5">
        <f t="shared" si="70"/>
        <v>110661</v>
      </c>
      <c r="W78" s="5">
        <f t="shared" si="71"/>
        <v>-68532</v>
      </c>
      <c r="X78" s="5">
        <f t="shared" si="72"/>
        <v>0</v>
      </c>
      <c r="Y78" s="5">
        <f>VLOOKUP($B78,'251013_0시'!$A$1:$M$200,4,FALSE)</f>
        <v>981216</v>
      </c>
      <c r="Z78" s="5">
        <f>VLOOKUP($B78,'251013_0시'!$A$1:$M$200,5,FALSE)</f>
        <v>100</v>
      </c>
      <c r="AA78" s="5">
        <f t="shared" si="73"/>
        <v>141684</v>
      </c>
      <c r="AB78" s="5">
        <f t="shared" si="74"/>
        <v>31023</v>
      </c>
      <c r="AC78" s="5">
        <f t="shared" si="75"/>
        <v>0</v>
      </c>
      <c r="AD78" s="5">
        <f>VLOOKUP($B78,'251013_0시'!$A$1:$M$200,4,FALSE)</f>
        <v>981216</v>
      </c>
      <c r="AF78" s="5" t="s">
        <v>951</v>
      </c>
      <c r="AG78" s="5">
        <f>VLOOKUP($AF78,'251013'!$A$1:$M$200,4,FALSE)</f>
        <v>143319</v>
      </c>
      <c r="AH78" s="5">
        <f>VLOOKUP($AF78,'251013'!$A$1:$M$200,5,FALSE)</f>
        <v>120</v>
      </c>
      <c r="AI78" s="5">
        <f>VLOOKUP($AF78,'251014'!$A$1:$M$200,4,FALSE)</f>
        <v>246341</v>
      </c>
      <c r="AJ78" s="5">
        <f>VLOOKUP($AF78,'251014'!$A$1:$M$200,5,FALSE)</f>
        <v>120</v>
      </c>
      <c r="AK78" s="5">
        <f t="shared" si="76"/>
        <v>103022</v>
      </c>
      <c r="AL78" s="5">
        <f t="shared" si="77"/>
        <v>-40297</v>
      </c>
      <c r="AM78" s="5">
        <f t="shared" si="78"/>
        <v>0</v>
      </c>
      <c r="AN78" s="5">
        <f>VLOOKUP($AF78,'251015'!$A$1:$M$200,4,FALSE)</f>
        <v>400638</v>
      </c>
      <c r="AO78" s="5">
        <f>VLOOKUP($AF78,'251015'!$A$1:$M$200,5,FALSE)</f>
        <v>170</v>
      </c>
      <c r="AP78" s="5">
        <f t="shared" si="79"/>
        <v>154297</v>
      </c>
      <c r="AQ78" s="5">
        <f t="shared" si="80"/>
        <v>51275</v>
      </c>
      <c r="AR78" s="5">
        <f t="shared" si="81"/>
        <v>50</v>
      </c>
      <c r="AS78" s="5">
        <f>VLOOKUP($AF78,'251016'!$A$1:$M$200,4,FALSE)</f>
        <v>551047</v>
      </c>
      <c r="AT78" s="5">
        <f>VLOOKUP($AF78,'251016'!$A$1:$M$200,5,FALSE)</f>
        <v>170</v>
      </c>
      <c r="AU78" s="5">
        <f t="shared" si="82"/>
        <v>150409</v>
      </c>
      <c r="AV78" s="5">
        <f t="shared" si="83"/>
        <v>-3888</v>
      </c>
      <c r="AW78" s="5">
        <f t="shared" si="84"/>
        <v>0</v>
      </c>
      <c r="AX78" s="5">
        <f>VLOOKUP($AF78,'251017'!$A$1:$M$200,4,FALSE)</f>
        <v>662013</v>
      </c>
      <c r="AY78" s="5">
        <f>VLOOKUP($AF78,'251017'!$A$1:$M$200,5,FALSE)</f>
        <v>170</v>
      </c>
      <c r="AZ78" s="5">
        <f t="shared" si="85"/>
        <v>110966</v>
      </c>
      <c r="BA78" s="5">
        <f t="shared" si="86"/>
        <v>-39443</v>
      </c>
      <c r="BB78" s="5">
        <f t="shared" si="87"/>
        <v>0</v>
      </c>
      <c r="BC78" s="5">
        <f>VLOOKUP($AF78,'251018'!$A$1:$M$200,4,FALSE)</f>
        <v>874929</v>
      </c>
      <c r="BD78" s="5">
        <f>VLOOKUP($AF78,'251018'!$A$1:$M$200,5,FALSE)</f>
        <v>170</v>
      </c>
      <c r="BE78" s="5">
        <f t="shared" si="88"/>
        <v>212916</v>
      </c>
      <c r="BF78" s="5">
        <f t="shared" si="89"/>
        <v>101950</v>
      </c>
      <c r="BG78" s="5">
        <f t="shared" si="90"/>
        <v>0</v>
      </c>
      <c r="BH78" s="5">
        <f>VLOOKUP($AF78,'251018'!$A$1:$M$200,4,FALSE)</f>
        <v>874929</v>
      </c>
    </row>
    <row r="79" spans="1:60" x14ac:dyDescent="0.3">
      <c r="B79" s="5" t="s">
        <v>957</v>
      </c>
      <c r="C79" s="5">
        <f>VLOOKUP($B79,'251008_0시'!$A$1:$M$200,4,FALSE)</f>
        <v>240734</v>
      </c>
      <c r="D79" s="5">
        <f>VLOOKUP($B79,'251008_0시'!$A$1:$M$200,5,FALSE)</f>
        <v>0</v>
      </c>
      <c r="E79" s="5">
        <f>VLOOKUP($B79,'251009_0시'!$A$1:$M$200,4,FALSE)</f>
        <v>381386</v>
      </c>
      <c r="F79" s="5">
        <f>VLOOKUP($B79,'251009_0시'!$A$1:$M$200,5,FALSE)</f>
        <v>90</v>
      </c>
      <c r="G79" s="5">
        <f t="shared" si="61"/>
        <v>140652</v>
      </c>
      <c r="H79" s="5">
        <f t="shared" si="62"/>
        <v>20285</v>
      </c>
      <c r="I79" s="5">
        <f t="shared" si="63"/>
        <v>90</v>
      </c>
      <c r="J79" s="5">
        <f>VLOOKUP($B79,'251010_0시'!$A$1:$M$200,4,FALSE)</f>
        <v>511348</v>
      </c>
      <c r="K79" s="5">
        <f>VLOOKUP($B79,'251010_0시'!$A$1:$M$200,5,FALSE)</f>
        <v>778</v>
      </c>
      <c r="L79" s="5">
        <f t="shared" si="64"/>
        <v>129962</v>
      </c>
      <c r="M79" s="5">
        <f t="shared" si="65"/>
        <v>-10690</v>
      </c>
      <c r="N79" s="5">
        <f t="shared" si="66"/>
        <v>688</v>
      </c>
      <c r="O79" s="5">
        <f>VLOOKUP($B79,'251011_0시'!$A$1:$M$200,4,FALSE)</f>
        <v>652256</v>
      </c>
      <c r="P79" s="5">
        <f>VLOOKUP($B79,'251011_0시'!$A$1:$M$200,5,FALSE)</f>
        <v>928</v>
      </c>
      <c r="Q79" s="5">
        <f t="shared" si="67"/>
        <v>140908</v>
      </c>
      <c r="R79" s="5">
        <f t="shared" si="68"/>
        <v>10946</v>
      </c>
      <c r="S79" s="5">
        <f t="shared" si="69"/>
        <v>150</v>
      </c>
      <c r="T79" s="5">
        <f>VLOOKUP($B79,'251012_0시'!$A$1:$M$200,4,FALSE)</f>
        <v>826383</v>
      </c>
      <c r="U79" s="5">
        <f>VLOOKUP($B79,'251012_0시'!$A$1:$M$200,5,FALSE)</f>
        <v>3774</v>
      </c>
      <c r="V79" s="5">
        <f t="shared" si="70"/>
        <v>174127</v>
      </c>
      <c r="W79" s="5">
        <f t="shared" si="71"/>
        <v>33219</v>
      </c>
      <c r="X79" s="5">
        <f t="shared" si="72"/>
        <v>2846</v>
      </c>
      <c r="Y79" s="5">
        <f>VLOOKUP($B79,'251013_0시'!$A$1:$M$200,4,FALSE)</f>
        <v>965932</v>
      </c>
      <c r="Z79" s="5">
        <f>VLOOKUP($B79,'251013_0시'!$A$1:$M$200,5,FALSE)</f>
        <v>4662</v>
      </c>
      <c r="AA79" s="5">
        <f t="shared" si="73"/>
        <v>139549</v>
      </c>
      <c r="AB79" s="5">
        <f t="shared" si="74"/>
        <v>-34578</v>
      </c>
      <c r="AC79" s="5">
        <f t="shared" si="75"/>
        <v>888</v>
      </c>
      <c r="AD79" s="5">
        <f>VLOOKUP($B79,'251013_0시'!$A$1:$M$200,4,FALSE)</f>
        <v>965932</v>
      </c>
      <c r="AF79" s="5" t="s">
        <v>958</v>
      </c>
      <c r="AG79" s="5">
        <f>VLOOKUP($AF79,'251013'!$A$1:$M$200,4,FALSE)</f>
        <v>134054</v>
      </c>
      <c r="AH79" s="5">
        <f>VLOOKUP($AF79,'251013'!$A$1:$M$200,5,FALSE)</f>
        <v>0</v>
      </c>
      <c r="AI79" s="5">
        <f>VLOOKUP($AF79,'251014'!$A$1:$M$200,4,FALSE)</f>
        <v>281395</v>
      </c>
      <c r="AJ79" s="5">
        <f>VLOOKUP($AF79,'251014'!$A$1:$M$200,5,FALSE)</f>
        <v>0</v>
      </c>
      <c r="AK79" s="5">
        <f t="shared" si="76"/>
        <v>147341</v>
      </c>
      <c r="AL79" s="5">
        <f t="shared" si="77"/>
        <v>13287</v>
      </c>
      <c r="AM79" s="5">
        <f t="shared" si="78"/>
        <v>0</v>
      </c>
      <c r="AN79" s="5">
        <f>VLOOKUP($AF79,'251015'!$A$1:$M$200,4,FALSE)</f>
        <v>373511</v>
      </c>
      <c r="AO79" s="5">
        <f>VLOOKUP($AF79,'251015'!$A$1:$M$200,5,FALSE)</f>
        <v>0</v>
      </c>
      <c r="AP79" s="5">
        <f t="shared" si="79"/>
        <v>92116</v>
      </c>
      <c r="AQ79" s="5">
        <f t="shared" si="80"/>
        <v>-55225</v>
      </c>
      <c r="AR79" s="5">
        <f t="shared" si="81"/>
        <v>0</v>
      </c>
      <c r="AS79" s="5">
        <f>VLOOKUP($AF79,'251016'!$A$1:$M$200,4,FALSE)</f>
        <v>510003</v>
      </c>
      <c r="AT79" s="5">
        <f>VLOOKUP($AF79,'251016'!$A$1:$M$200,5,FALSE)</f>
        <v>0</v>
      </c>
      <c r="AU79" s="5">
        <f t="shared" si="82"/>
        <v>136492</v>
      </c>
      <c r="AV79" s="5">
        <f t="shared" si="83"/>
        <v>44376</v>
      </c>
      <c r="AW79" s="5">
        <f t="shared" si="84"/>
        <v>0</v>
      </c>
      <c r="AX79" s="5">
        <f>VLOOKUP($AF79,'251017'!$A$1:$M$200,4,FALSE)</f>
        <v>726872</v>
      </c>
      <c r="AY79" s="5">
        <f>VLOOKUP($AF79,'251017'!$A$1:$M$200,5,FALSE)</f>
        <v>0</v>
      </c>
      <c r="AZ79" s="5">
        <f t="shared" si="85"/>
        <v>216869</v>
      </c>
      <c r="BA79" s="5">
        <f t="shared" si="86"/>
        <v>80377</v>
      </c>
      <c r="BB79" s="5">
        <f t="shared" si="87"/>
        <v>0</v>
      </c>
      <c r="BC79" s="5">
        <f>VLOOKUP($AF79,'251018'!$A$1:$M$200,4,FALSE)</f>
        <v>868779</v>
      </c>
      <c r="BD79" s="5">
        <f>VLOOKUP($AF79,'251018'!$A$1:$M$200,5,FALSE)</f>
        <v>0</v>
      </c>
      <c r="BE79" s="5">
        <f t="shared" si="88"/>
        <v>141907</v>
      </c>
      <c r="BF79" s="5">
        <f t="shared" si="89"/>
        <v>-74962</v>
      </c>
      <c r="BG79" s="5">
        <f t="shared" si="90"/>
        <v>0</v>
      </c>
      <c r="BH79" s="5">
        <f>VLOOKUP($AF79,'251018'!$A$1:$M$200,4,FALSE)</f>
        <v>868779</v>
      </c>
    </row>
    <row r="80" spans="1:60" x14ac:dyDescent="0.3">
      <c r="B80" s="5" t="s">
        <v>837</v>
      </c>
      <c r="C80" s="5">
        <f>VLOOKUP($B80,'251008_0시'!$A$1:$M$200,4,FALSE)</f>
        <v>241686</v>
      </c>
      <c r="D80" s="5">
        <f>VLOOKUP($B80,'251008_0시'!$A$1:$M$200,5,FALSE)</f>
        <v>0</v>
      </c>
      <c r="E80" s="5">
        <f>VLOOKUP($B80,'251009_0시'!$A$1:$M$200,4,FALSE)</f>
        <v>401542</v>
      </c>
      <c r="F80" s="5">
        <f>VLOOKUP($B80,'251009_0시'!$A$1:$M$200,5,FALSE)</f>
        <v>350</v>
      </c>
      <c r="G80" s="5">
        <f t="shared" si="61"/>
        <v>159856</v>
      </c>
      <c r="H80" s="5">
        <f t="shared" si="62"/>
        <v>39013</v>
      </c>
      <c r="I80" s="5">
        <f t="shared" si="63"/>
        <v>350</v>
      </c>
      <c r="J80" s="5">
        <f>VLOOKUP($B80,'251010_0시'!$A$1:$M$200,4,FALSE)</f>
        <v>545377</v>
      </c>
      <c r="K80" s="5">
        <f>VLOOKUP($B80,'251010_0시'!$A$1:$M$200,5,FALSE)</f>
        <v>350</v>
      </c>
      <c r="L80" s="5">
        <f t="shared" si="64"/>
        <v>143835</v>
      </c>
      <c r="M80" s="5">
        <f t="shared" si="65"/>
        <v>-16021</v>
      </c>
      <c r="N80" s="5">
        <f t="shared" si="66"/>
        <v>0</v>
      </c>
      <c r="O80" s="5">
        <f>VLOOKUP($B80,'251011_0시'!$A$1:$M$200,4,FALSE)</f>
        <v>693297</v>
      </c>
      <c r="P80" s="5">
        <f>VLOOKUP($B80,'251011_0시'!$A$1:$M$200,5,FALSE)</f>
        <v>350</v>
      </c>
      <c r="Q80" s="5">
        <f t="shared" si="67"/>
        <v>147920</v>
      </c>
      <c r="R80" s="5">
        <f t="shared" si="68"/>
        <v>4085</v>
      </c>
      <c r="S80" s="5">
        <f t="shared" si="69"/>
        <v>0</v>
      </c>
      <c r="T80" s="5">
        <f>VLOOKUP($B80,'251012_0시'!$A$1:$M$200,4,FALSE)</f>
        <v>838258</v>
      </c>
      <c r="U80" s="5">
        <f>VLOOKUP($B80,'251012_0시'!$A$1:$M$200,5,FALSE)</f>
        <v>350</v>
      </c>
      <c r="V80" s="5">
        <f t="shared" si="70"/>
        <v>144961</v>
      </c>
      <c r="W80" s="5">
        <f t="shared" si="71"/>
        <v>-2959</v>
      </c>
      <c r="X80" s="5">
        <f t="shared" si="72"/>
        <v>0</v>
      </c>
      <c r="Y80" s="5">
        <f>VLOOKUP($B80,'251013_0시'!$A$1:$M$200,4,FALSE)</f>
        <v>960998</v>
      </c>
      <c r="Z80" s="5">
        <f>VLOOKUP($B80,'251013_0시'!$A$1:$M$200,5,FALSE)</f>
        <v>350</v>
      </c>
      <c r="AA80" s="5">
        <f t="shared" si="73"/>
        <v>122740</v>
      </c>
      <c r="AB80" s="5">
        <f t="shared" si="74"/>
        <v>-22221</v>
      </c>
      <c r="AC80" s="5">
        <f t="shared" si="75"/>
        <v>0</v>
      </c>
      <c r="AD80" s="5">
        <f>VLOOKUP($B80,'251013_0시'!$A$1:$M$200,4,FALSE)</f>
        <v>960998</v>
      </c>
      <c r="AF80" s="5" t="s">
        <v>956</v>
      </c>
      <c r="AG80" s="5">
        <f>VLOOKUP($AF80,'251013'!$A$1:$M$200,4,FALSE)</f>
        <v>128757</v>
      </c>
      <c r="AH80" s="5">
        <f>VLOOKUP($AF80,'251013'!$A$1:$M$200,5,FALSE)</f>
        <v>4950</v>
      </c>
      <c r="AI80" s="5">
        <f>VLOOKUP($AF80,'251014'!$A$1:$M$200,4,FALSE)</f>
        <v>270182</v>
      </c>
      <c r="AJ80" s="5">
        <f>VLOOKUP($AF80,'251014'!$A$1:$M$200,5,FALSE)</f>
        <v>9000</v>
      </c>
      <c r="AK80" s="5">
        <f t="shared" si="76"/>
        <v>141425</v>
      </c>
      <c r="AL80" s="5">
        <f t="shared" si="77"/>
        <v>12668</v>
      </c>
      <c r="AM80" s="5">
        <f t="shared" si="78"/>
        <v>4050</v>
      </c>
      <c r="AN80" s="5">
        <f>VLOOKUP($AF80,'251015'!$A$1:$M$200,4,FALSE)</f>
        <v>414569</v>
      </c>
      <c r="AO80" s="5">
        <f>VLOOKUP($AF80,'251015'!$A$1:$M$200,5,FALSE)</f>
        <v>10800</v>
      </c>
      <c r="AP80" s="5">
        <f t="shared" si="79"/>
        <v>144387</v>
      </c>
      <c r="AQ80" s="5">
        <f t="shared" si="80"/>
        <v>2962</v>
      </c>
      <c r="AR80" s="5">
        <f t="shared" si="81"/>
        <v>1800</v>
      </c>
      <c r="AS80" s="5">
        <f>VLOOKUP($AF80,'251016'!$A$1:$M$200,4,FALSE)</f>
        <v>513885</v>
      </c>
      <c r="AT80" s="5">
        <f>VLOOKUP($AF80,'251016'!$A$1:$M$200,5,FALSE)</f>
        <v>13050</v>
      </c>
      <c r="AU80" s="5">
        <f t="shared" si="82"/>
        <v>99316</v>
      </c>
      <c r="AV80" s="5">
        <f t="shared" si="83"/>
        <v>-45071</v>
      </c>
      <c r="AW80" s="5">
        <f t="shared" si="84"/>
        <v>2250</v>
      </c>
      <c r="AX80" s="5">
        <f>VLOOKUP($AF80,'251017'!$A$1:$M$200,4,FALSE)</f>
        <v>672756</v>
      </c>
      <c r="AY80" s="5">
        <f>VLOOKUP($AF80,'251017'!$A$1:$M$200,5,FALSE)</f>
        <v>13050</v>
      </c>
      <c r="AZ80" s="5">
        <f t="shared" si="85"/>
        <v>158871</v>
      </c>
      <c r="BA80" s="5">
        <f t="shared" si="86"/>
        <v>59555</v>
      </c>
      <c r="BB80" s="5">
        <f t="shared" si="87"/>
        <v>0</v>
      </c>
      <c r="BC80" s="5">
        <f>VLOOKUP($AF80,'251018'!$A$1:$M$200,4,FALSE)</f>
        <v>863239</v>
      </c>
      <c r="BD80" s="5">
        <f>VLOOKUP($AF80,'251018'!$A$1:$M$200,5,FALSE)</f>
        <v>13950</v>
      </c>
      <c r="BE80" s="5">
        <f t="shared" si="88"/>
        <v>190483</v>
      </c>
      <c r="BF80" s="5">
        <f t="shared" si="89"/>
        <v>31612</v>
      </c>
      <c r="BG80" s="5">
        <f t="shared" si="90"/>
        <v>900</v>
      </c>
      <c r="BH80" s="5">
        <f>VLOOKUP($AF80,'251018'!$A$1:$M$200,4,FALSE)</f>
        <v>863239</v>
      </c>
    </row>
    <row r="81" spans="1:60" x14ac:dyDescent="0.3">
      <c r="B81" s="5" t="s">
        <v>790</v>
      </c>
      <c r="C81" s="5">
        <f>VLOOKUP($B81,'251008_0시'!$A$1:$M$200,4,FALSE)</f>
        <v>262438</v>
      </c>
      <c r="D81" s="5">
        <f>VLOOKUP($B81,'251008_0시'!$A$1:$M$200,5,FALSE)</f>
        <v>0</v>
      </c>
      <c r="E81" s="5">
        <f>VLOOKUP($B81,'251009_0시'!$A$1:$M$200,4,FALSE)</f>
        <v>419480</v>
      </c>
      <c r="F81" s="5">
        <f>VLOOKUP($B81,'251009_0시'!$A$1:$M$200,5,FALSE)</f>
        <v>350</v>
      </c>
      <c r="G81" s="5">
        <f t="shared" si="61"/>
        <v>157042</v>
      </c>
      <c r="H81" s="5">
        <f t="shared" si="62"/>
        <v>25823</v>
      </c>
      <c r="I81" s="5">
        <f t="shared" si="63"/>
        <v>350</v>
      </c>
      <c r="J81" s="5">
        <f>VLOOKUP($B81,'251010_0시'!$A$1:$M$200,4,FALSE)</f>
        <v>555358</v>
      </c>
      <c r="K81" s="5">
        <f>VLOOKUP($B81,'251010_0시'!$A$1:$M$200,5,FALSE)</f>
        <v>754</v>
      </c>
      <c r="L81" s="5">
        <f t="shared" si="64"/>
        <v>135878</v>
      </c>
      <c r="M81" s="5">
        <f t="shared" si="65"/>
        <v>-21164</v>
      </c>
      <c r="N81" s="5">
        <f t="shared" si="66"/>
        <v>404</v>
      </c>
      <c r="O81" s="5">
        <f>VLOOKUP($B81,'251011_0시'!$A$1:$M$200,4,FALSE)</f>
        <v>702077</v>
      </c>
      <c r="P81" s="5">
        <f>VLOOKUP($B81,'251011_0시'!$A$1:$M$200,5,FALSE)</f>
        <v>754</v>
      </c>
      <c r="Q81" s="5">
        <f t="shared" si="67"/>
        <v>146719</v>
      </c>
      <c r="R81" s="5">
        <f t="shared" si="68"/>
        <v>10841</v>
      </c>
      <c r="S81" s="5">
        <f t="shared" si="69"/>
        <v>0</v>
      </c>
      <c r="T81" s="5">
        <f>VLOOKUP($B81,'251012_0시'!$A$1:$M$200,4,FALSE)</f>
        <v>814369</v>
      </c>
      <c r="U81" s="5">
        <f>VLOOKUP($B81,'251012_0시'!$A$1:$M$200,5,FALSE)</f>
        <v>754</v>
      </c>
      <c r="V81" s="5">
        <f t="shared" si="70"/>
        <v>112292</v>
      </c>
      <c r="W81" s="5">
        <f t="shared" si="71"/>
        <v>-34427</v>
      </c>
      <c r="X81" s="5">
        <f t="shared" si="72"/>
        <v>0</v>
      </c>
      <c r="Y81" s="5">
        <f>VLOOKUP($B81,'251013_0시'!$A$1:$M$200,4,FALSE)</f>
        <v>960754</v>
      </c>
      <c r="Z81" s="5">
        <f>VLOOKUP($B81,'251013_0시'!$A$1:$M$200,5,FALSE)</f>
        <v>2604</v>
      </c>
      <c r="AA81" s="5">
        <f t="shared" si="73"/>
        <v>146385</v>
      </c>
      <c r="AB81" s="5">
        <f t="shared" si="74"/>
        <v>34093</v>
      </c>
      <c r="AC81" s="5">
        <f t="shared" si="75"/>
        <v>1850</v>
      </c>
      <c r="AD81" s="5">
        <f>VLOOKUP($B81,'251013_0시'!$A$1:$M$200,4,FALSE)</f>
        <v>960754</v>
      </c>
      <c r="AF81" s="5" t="s">
        <v>961</v>
      </c>
      <c r="AG81" s="5">
        <f>VLOOKUP($AF81,'251013'!$A$1:$M$200,4,FALSE)</f>
        <v>148514</v>
      </c>
      <c r="AH81" s="5">
        <f>VLOOKUP($AF81,'251013'!$A$1:$M$200,5,FALSE)</f>
        <v>0</v>
      </c>
      <c r="AI81" s="5">
        <f>VLOOKUP($AF81,'251014'!$A$1:$M$200,4,FALSE)</f>
        <v>283987</v>
      </c>
      <c r="AJ81" s="5">
        <f>VLOOKUP($AF81,'251014'!$A$1:$M$200,5,FALSE)</f>
        <v>0</v>
      </c>
      <c r="AK81" s="5">
        <f t="shared" si="76"/>
        <v>135473</v>
      </c>
      <c r="AL81" s="5">
        <f t="shared" si="77"/>
        <v>-13041</v>
      </c>
      <c r="AM81" s="5">
        <f t="shared" si="78"/>
        <v>0</v>
      </c>
      <c r="AN81" s="5">
        <f>VLOOKUP($AF81,'251015'!$A$1:$M$200,4,FALSE)</f>
        <v>393188</v>
      </c>
      <c r="AO81" s="5">
        <f>VLOOKUP($AF81,'251015'!$A$1:$M$200,5,FALSE)</f>
        <v>138</v>
      </c>
      <c r="AP81" s="5">
        <f t="shared" si="79"/>
        <v>109201</v>
      </c>
      <c r="AQ81" s="5">
        <f t="shared" si="80"/>
        <v>-26272</v>
      </c>
      <c r="AR81" s="5">
        <f t="shared" si="81"/>
        <v>138</v>
      </c>
      <c r="AS81" s="5">
        <f>VLOOKUP($AF81,'251016'!$A$1:$M$200,4,FALSE)</f>
        <v>519674</v>
      </c>
      <c r="AT81" s="5">
        <f>VLOOKUP($AF81,'251016'!$A$1:$M$200,5,FALSE)</f>
        <v>138</v>
      </c>
      <c r="AU81" s="5">
        <f t="shared" si="82"/>
        <v>126486</v>
      </c>
      <c r="AV81" s="5">
        <f t="shared" si="83"/>
        <v>17285</v>
      </c>
      <c r="AW81" s="5">
        <f t="shared" si="84"/>
        <v>0</v>
      </c>
      <c r="AX81" s="5">
        <f>VLOOKUP($AF81,'251017'!$A$1:$M$200,4,FALSE)</f>
        <v>685707</v>
      </c>
      <c r="AY81" s="5">
        <f>VLOOKUP($AF81,'251017'!$A$1:$M$200,5,FALSE)</f>
        <v>542</v>
      </c>
      <c r="AZ81" s="5">
        <f t="shared" si="85"/>
        <v>166033</v>
      </c>
      <c r="BA81" s="5">
        <f t="shared" si="86"/>
        <v>39547</v>
      </c>
      <c r="BB81" s="5">
        <f t="shared" si="87"/>
        <v>404</v>
      </c>
      <c r="BC81" s="5">
        <f>VLOOKUP($AF81,'251018'!$A$1:$M$200,4,FALSE)</f>
        <v>859965</v>
      </c>
      <c r="BD81" s="5">
        <f>VLOOKUP($AF81,'251018'!$A$1:$M$200,5,FALSE)</f>
        <v>542</v>
      </c>
      <c r="BE81" s="5">
        <f t="shared" si="88"/>
        <v>174258</v>
      </c>
      <c r="BF81" s="5">
        <f t="shared" si="89"/>
        <v>8225</v>
      </c>
      <c r="BG81" s="5">
        <f t="shared" si="90"/>
        <v>0</v>
      </c>
      <c r="BH81" s="5">
        <f>VLOOKUP($AF81,'251018'!$A$1:$M$200,4,FALSE)</f>
        <v>859965</v>
      </c>
    </row>
    <row r="82" spans="1:60" x14ac:dyDescent="0.3">
      <c r="B82" s="5" t="s">
        <v>779</v>
      </c>
      <c r="C82" s="5">
        <f>VLOOKUP($B82,'251008_0시'!$A$1:$M$200,4,FALSE)</f>
        <v>263158</v>
      </c>
      <c r="D82" s="5">
        <f>VLOOKUP($B82,'251008_0시'!$A$1:$M$200,5,FALSE)</f>
        <v>400</v>
      </c>
      <c r="E82" s="5">
        <f>VLOOKUP($B82,'251009_0시'!$A$1:$M$200,4,FALSE)</f>
        <v>403795</v>
      </c>
      <c r="F82" s="5">
        <f>VLOOKUP($B82,'251009_0시'!$A$1:$M$200,5,FALSE)</f>
        <v>400</v>
      </c>
      <c r="G82" s="5">
        <f t="shared" si="61"/>
        <v>140637</v>
      </c>
      <c r="H82" s="5">
        <f t="shared" si="62"/>
        <v>9058</v>
      </c>
      <c r="I82" s="5">
        <f t="shared" si="63"/>
        <v>0</v>
      </c>
      <c r="J82" s="5">
        <f>VLOOKUP($B82,'251010_0시'!$A$1:$M$200,4,FALSE)</f>
        <v>570415</v>
      </c>
      <c r="K82" s="5">
        <f>VLOOKUP($B82,'251010_0시'!$A$1:$M$200,5,FALSE)</f>
        <v>400</v>
      </c>
      <c r="L82" s="5">
        <f t="shared" si="64"/>
        <v>166620</v>
      </c>
      <c r="M82" s="5">
        <f t="shared" si="65"/>
        <v>25983</v>
      </c>
      <c r="N82" s="5">
        <f t="shared" si="66"/>
        <v>0</v>
      </c>
      <c r="O82" s="5">
        <f>VLOOKUP($B82,'251011_0시'!$A$1:$M$200,4,FALSE)</f>
        <v>712443</v>
      </c>
      <c r="P82" s="5">
        <f>VLOOKUP($B82,'251011_0시'!$A$1:$M$200,5,FALSE)</f>
        <v>400</v>
      </c>
      <c r="Q82" s="5">
        <f t="shared" si="67"/>
        <v>142028</v>
      </c>
      <c r="R82" s="5">
        <f t="shared" si="68"/>
        <v>-24592</v>
      </c>
      <c r="S82" s="5">
        <f t="shared" si="69"/>
        <v>0</v>
      </c>
      <c r="T82" s="5">
        <f>VLOOKUP($B82,'251012_0시'!$A$1:$M$200,4,FALSE)</f>
        <v>836882</v>
      </c>
      <c r="U82" s="5">
        <f>VLOOKUP($B82,'251012_0시'!$A$1:$M$200,5,FALSE)</f>
        <v>400</v>
      </c>
      <c r="V82" s="5">
        <f t="shared" si="70"/>
        <v>124439</v>
      </c>
      <c r="W82" s="5">
        <f t="shared" si="71"/>
        <v>-17589</v>
      </c>
      <c r="X82" s="5">
        <f t="shared" si="72"/>
        <v>0</v>
      </c>
      <c r="Y82" s="5">
        <f>VLOOKUP($B82,'251013_0시'!$A$1:$M$200,4,FALSE)</f>
        <v>954325</v>
      </c>
      <c r="Z82" s="5">
        <f>VLOOKUP($B82,'251013_0시'!$A$1:$M$200,5,FALSE)</f>
        <v>400</v>
      </c>
      <c r="AA82" s="5">
        <f t="shared" si="73"/>
        <v>117443</v>
      </c>
      <c r="AB82" s="5">
        <f t="shared" si="74"/>
        <v>-6996</v>
      </c>
      <c r="AC82" s="5">
        <f t="shared" si="75"/>
        <v>0</v>
      </c>
      <c r="AD82" s="5">
        <f>VLOOKUP($B82,'251013_0시'!$A$1:$M$200,4,FALSE)</f>
        <v>954325</v>
      </c>
      <c r="AF82" s="5" t="s">
        <v>833</v>
      </c>
      <c r="AG82" s="5">
        <f>VLOOKUP($AF82,'251013'!$A$1:$M$200,4,FALSE)</f>
        <v>108953</v>
      </c>
      <c r="AH82" s="5">
        <f>VLOOKUP($AF82,'251013'!$A$1:$M$200,5,FALSE)</f>
        <v>5400</v>
      </c>
      <c r="AI82" s="5">
        <f>VLOOKUP($AF82,'251014'!$A$1:$M$200,4,FALSE)</f>
        <v>232473</v>
      </c>
      <c r="AJ82" s="5">
        <f>VLOOKUP($AF82,'251014'!$A$1:$M$200,5,FALSE)</f>
        <v>8100</v>
      </c>
      <c r="AK82" s="5">
        <f t="shared" si="76"/>
        <v>123520</v>
      </c>
      <c r="AL82" s="5">
        <f t="shared" si="77"/>
        <v>14567</v>
      </c>
      <c r="AM82" s="5">
        <f t="shared" si="78"/>
        <v>2700</v>
      </c>
      <c r="AN82" s="5">
        <f>VLOOKUP($AF82,'251015'!$A$1:$M$200,4,FALSE)</f>
        <v>422930</v>
      </c>
      <c r="AO82" s="5">
        <f>VLOOKUP($AF82,'251015'!$A$1:$M$200,5,FALSE)</f>
        <v>11250</v>
      </c>
      <c r="AP82" s="5">
        <f t="shared" si="79"/>
        <v>190457</v>
      </c>
      <c r="AQ82" s="5">
        <f t="shared" si="80"/>
        <v>66937</v>
      </c>
      <c r="AR82" s="5">
        <f t="shared" si="81"/>
        <v>3150</v>
      </c>
      <c r="AS82" s="5">
        <f>VLOOKUP($AF82,'251016'!$A$1:$M$200,4,FALSE)</f>
        <v>532931</v>
      </c>
      <c r="AT82" s="5">
        <f>VLOOKUP($AF82,'251016'!$A$1:$M$200,5,FALSE)</f>
        <v>14850</v>
      </c>
      <c r="AU82" s="5">
        <f t="shared" si="82"/>
        <v>110001</v>
      </c>
      <c r="AV82" s="5">
        <f t="shared" si="83"/>
        <v>-80456</v>
      </c>
      <c r="AW82" s="5">
        <f t="shared" si="84"/>
        <v>3600</v>
      </c>
      <c r="AX82" s="5">
        <f>VLOOKUP($AF82,'251017'!$A$1:$M$200,4,FALSE)</f>
        <v>692777</v>
      </c>
      <c r="AY82" s="5">
        <f>VLOOKUP($AF82,'251017'!$A$1:$M$200,5,FALSE)</f>
        <v>18450</v>
      </c>
      <c r="AZ82" s="5">
        <f t="shared" si="85"/>
        <v>159846</v>
      </c>
      <c r="BA82" s="5">
        <f t="shared" si="86"/>
        <v>49845</v>
      </c>
      <c r="BB82" s="5">
        <f t="shared" si="87"/>
        <v>3600</v>
      </c>
      <c r="BC82" s="5">
        <f>VLOOKUP($AF82,'251018'!$A$1:$M$200,4,FALSE)</f>
        <v>855030</v>
      </c>
      <c r="BD82" s="5">
        <f>VLOOKUP($AF82,'251018'!$A$1:$M$200,5,FALSE)</f>
        <v>18450</v>
      </c>
      <c r="BE82" s="5">
        <f t="shared" si="88"/>
        <v>162253</v>
      </c>
      <c r="BF82" s="5">
        <f t="shared" si="89"/>
        <v>2407</v>
      </c>
      <c r="BG82" s="5">
        <f t="shared" si="90"/>
        <v>0</v>
      </c>
      <c r="BH82" s="5">
        <f>VLOOKUP($AF82,'251018'!$A$1:$M$200,4,FALSE)</f>
        <v>855030</v>
      </c>
    </row>
    <row r="83" spans="1:60" x14ac:dyDescent="0.3">
      <c r="B83" s="5" t="s">
        <v>961</v>
      </c>
      <c r="C83" s="5">
        <f>VLOOKUP($B83,'251008_0시'!$A$1:$M$200,4,FALSE)</f>
        <v>193013</v>
      </c>
      <c r="D83" s="5">
        <f>VLOOKUP($B83,'251008_0시'!$A$1:$M$200,5,FALSE)</f>
        <v>0</v>
      </c>
      <c r="E83" s="5">
        <f>VLOOKUP($B83,'251009_0시'!$A$1:$M$200,4,FALSE)</f>
        <v>336128</v>
      </c>
      <c r="F83" s="5">
        <f>VLOOKUP($B83,'251009_0시'!$A$1:$M$200,5,FALSE)</f>
        <v>0</v>
      </c>
      <c r="G83" s="5">
        <f t="shared" si="61"/>
        <v>143115</v>
      </c>
      <c r="H83" s="5">
        <f t="shared" si="62"/>
        <v>46608.5</v>
      </c>
      <c r="I83" s="5">
        <f t="shared" si="63"/>
        <v>0</v>
      </c>
      <c r="J83" s="5">
        <f>VLOOKUP($B83,'251010_0시'!$A$1:$M$200,4,FALSE)</f>
        <v>451368</v>
      </c>
      <c r="K83" s="5">
        <f>VLOOKUP($B83,'251010_0시'!$A$1:$M$200,5,FALSE)</f>
        <v>0</v>
      </c>
      <c r="L83" s="5">
        <f t="shared" si="64"/>
        <v>115240</v>
      </c>
      <c r="M83" s="5">
        <f t="shared" si="65"/>
        <v>-27875</v>
      </c>
      <c r="N83" s="5">
        <f t="shared" si="66"/>
        <v>0</v>
      </c>
      <c r="O83" s="5">
        <f>VLOOKUP($B83,'251011_0시'!$A$1:$M$200,4,FALSE)</f>
        <v>635413</v>
      </c>
      <c r="P83" s="5">
        <f>VLOOKUP($B83,'251011_0시'!$A$1:$M$200,5,FALSE)</f>
        <v>0</v>
      </c>
      <c r="Q83" s="5">
        <f t="shared" si="67"/>
        <v>184045</v>
      </c>
      <c r="R83" s="5">
        <f t="shared" si="68"/>
        <v>68805</v>
      </c>
      <c r="S83" s="5">
        <f t="shared" si="69"/>
        <v>0</v>
      </c>
      <c r="T83" s="5">
        <f>VLOOKUP($B83,'251012_0시'!$A$1:$M$200,4,FALSE)</f>
        <v>796871</v>
      </c>
      <c r="U83" s="5">
        <f>VLOOKUP($B83,'251012_0시'!$A$1:$M$200,5,FALSE)</f>
        <v>0</v>
      </c>
      <c r="V83" s="5">
        <f t="shared" si="70"/>
        <v>161458</v>
      </c>
      <c r="W83" s="5">
        <f t="shared" si="71"/>
        <v>-22587</v>
      </c>
      <c r="X83" s="5">
        <f t="shared" si="72"/>
        <v>0</v>
      </c>
      <c r="Y83" s="5">
        <f>VLOOKUP($B83,'251013_0시'!$A$1:$M$200,4,FALSE)</f>
        <v>942548</v>
      </c>
      <c r="Z83" s="5">
        <f>VLOOKUP($B83,'251013_0시'!$A$1:$M$200,5,FALSE)</f>
        <v>0</v>
      </c>
      <c r="AA83" s="5">
        <f t="shared" si="73"/>
        <v>145677</v>
      </c>
      <c r="AB83" s="5">
        <f t="shared" si="74"/>
        <v>-15781</v>
      </c>
      <c r="AC83" s="5">
        <f t="shared" si="75"/>
        <v>0</v>
      </c>
      <c r="AD83" s="5">
        <f>VLOOKUP($B83,'251013_0시'!$A$1:$M$200,4,FALSE)</f>
        <v>942548</v>
      </c>
      <c r="AF83" s="5" t="s">
        <v>781</v>
      </c>
      <c r="AG83" s="5">
        <f>VLOOKUP($AF83,'251013'!$A$1:$M$200,4,FALSE)</f>
        <v>131295</v>
      </c>
      <c r="AH83" s="5">
        <f>VLOOKUP($AF83,'251013'!$A$1:$M$200,5,FALSE)</f>
        <v>0</v>
      </c>
      <c r="AI83" s="5">
        <f>VLOOKUP($AF83,'251014'!$A$1:$M$200,4,FALSE)</f>
        <v>292352</v>
      </c>
      <c r="AJ83" s="5">
        <f>VLOOKUP($AF83,'251014'!$A$1:$M$200,5,FALSE)</f>
        <v>0</v>
      </c>
      <c r="AK83" s="5">
        <f t="shared" si="76"/>
        <v>161057</v>
      </c>
      <c r="AL83" s="5">
        <f t="shared" si="77"/>
        <v>29762</v>
      </c>
      <c r="AM83" s="5">
        <f t="shared" si="78"/>
        <v>0</v>
      </c>
      <c r="AN83" s="5">
        <f>VLOOKUP($AF83,'251015'!$A$1:$M$200,4,FALSE)</f>
        <v>440766</v>
      </c>
      <c r="AO83" s="5">
        <f>VLOOKUP($AF83,'251015'!$A$1:$M$200,5,FALSE)</f>
        <v>0</v>
      </c>
      <c r="AP83" s="5">
        <f t="shared" si="79"/>
        <v>148414</v>
      </c>
      <c r="AQ83" s="5">
        <f t="shared" si="80"/>
        <v>-12643</v>
      </c>
      <c r="AR83" s="5">
        <f t="shared" si="81"/>
        <v>0</v>
      </c>
      <c r="AS83" s="5">
        <f>VLOOKUP($AF83,'251016'!$A$1:$M$200,4,FALSE)</f>
        <v>568327</v>
      </c>
      <c r="AT83" s="5">
        <f>VLOOKUP($AF83,'251016'!$A$1:$M$200,5,FALSE)</f>
        <v>0</v>
      </c>
      <c r="AU83" s="5">
        <f t="shared" si="82"/>
        <v>127561</v>
      </c>
      <c r="AV83" s="5">
        <f t="shared" si="83"/>
        <v>-20853</v>
      </c>
      <c r="AW83" s="5">
        <f t="shared" si="84"/>
        <v>0</v>
      </c>
      <c r="AX83" s="5">
        <f>VLOOKUP($AF83,'251017'!$A$1:$M$200,4,FALSE)</f>
        <v>704812</v>
      </c>
      <c r="AY83" s="5">
        <f>VLOOKUP($AF83,'251017'!$A$1:$M$200,5,FALSE)</f>
        <v>0</v>
      </c>
      <c r="AZ83" s="5">
        <f t="shared" si="85"/>
        <v>136485</v>
      </c>
      <c r="BA83" s="5">
        <f t="shared" si="86"/>
        <v>8924</v>
      </c>
      <c r="BB83" s="5">
        <f t="shared" si="87"/>
        <v>0</v>
      </c>
      <c r="BC83" s="5">
        <f>VLOOKUP($AF83,'251018'!$A$1:$M$200,4,FALSE)</f>
        <v>854123</v>
      </c>
      <c r="BD83" s="5">
        <f>VLOOKUP($AF83,'251018'!$A$1:$M$200,5,FALSE)</f>
        <v>0</v>
      </c>
      <c r="BE83" s="5">
        <f t="shared" si="88"/>
        <v>149311</v>
      </c>
      <c r="BF83" s="5">
        <f t="shared" si="89"/>
        <v>12826</v>
      </c>
      <c r="BG83" s="5">
        <f t="shared" si="90"/>
        <v>0</v>
      </c>
      <c r="BH83" s="5">
        <f>VLOOKUP($AF83,'251018'!$A$1:$M$200,4,FALSE)</f>
        <v>854123</v>
      </c>
    </row>
    <row r="84" spans="1:60" x14ac:dyDescent="0.3">
      <c r="B84" s="5" t="s">
        <v>766</v>
      </c>
      <c r="C84" s="5">
        <f>VLOOKUP($B84,'251008_0시'!$A$1:$M$200,4,FALSE)</f>
        <v>179791</v>
      </c>
      <c r="D84" s="5">
        <f>VLOOKUP($B84,'251008_0시'!$A$1:$M$200,5,FALSE)</f>
        <v>0</v>
      </c>
      <c r="E84" s="5">
        <f>VLOOKUP($B84,'251009_0시'!$A$1:$M$200,4,FALSE)</f>
        <v>321206</v>
      </c>
      <c r="F84" s="5">
        <f>VLOOKUP($B84,'251009_0시'!$A$1:$M$200,5,FALSE)</f>
        <v>0</v>
      </c>
      <c r="G84" s="5">
        <f t="shared" si="61"/>
        <v>141415</v>
      </c>
      <c r="H84" s="5">
        <f t="shared" si="62"/>
        <v>51519.5</v>
      </c>
      <c r="I84" s="5">
        <f t="shared" si="63"/>
        <v>0</v>
      </c>
      <c r="J84" s="5">
        <f>VLOOKUP($B84,'251010_0시'!$A$1:$M$200,4,FALSE)</f>
        <v>451806</v>
      </c>
      <c r="K84" s="5">
        <f>VLOOKUP($B84,'251010_0시'!$A$1:$M$200,5,FALSE)</f>
        <v>404</v>
      </c>
      <c r="L84" s="5">
        <f t="shared" si="64"/>
        <v>130600</v>
      </c>
      <c r="M84" s="5">
        <f t="shared" si="65"/>
        <v>-10815</v>
      </c>
      <c r="N84" s="5">
        <f t="shared" si="66"/>
        <v>404</v>
      </c>
      <c r="O84" s="5">
        <f>VLOOKUP($B84,'251011_0시'!$A$1:$M$200,4,FALSE)</f>
        <v>570927</v>
      </c>
      <c r="P84" s="5">
        <f>VLOOKUP($B84,'251011_0시'!$A$1:$M$200,5,FALSE)</f>
        <v>404</v>
      </c>
      <c r="Q84" s="5">
        <f t="shared" si="67"/>
        <v>119121</v>
      </c>
      <c r="R84" s="5">
        <f t="shared" si="68"/>
        <v>-11479</v>
      </c>
      <c r="S84" s="5">
        <f t="shared" si="69"/>
        <v>0</v>
      </c>
      <c r="T84" s="5">
        <f>VLOOKUP($B84,'251012_0시'!$A$1:$M$200,4,FALSE)</f>
        <v>748463</v>
      </c>
      <c r="U84" s="5">
        <f>VLOOKUP($B84,'251012_0시'!$A$1:$M$200,5,FALSE)</f>
        <v>404</v>
      </c>
      <c r="V84" s="5">
        <f t="shared" si="70"/>
        <v>177536</v>
      </c>
      <c r="W84" s="5">
        <f t="shared" si="71"/>
        <v>58415</v>
      </c>
      <c r="X84" s="5">
        <f t="shared" si="72"/>
        <v>0</v>
      </c>
      <c r="Y84" s="5">
        <f>VLOOKUP($B84,'251013_0시'!$A$1:$M$200,4,FALSE)</f>
        <v>918037</v>
      </c>
      <c r="Z84" s="5">
        <f>VLOOKUP($B84,'251013_0시'!$A$1:$M$200,5,FALSE)</f>
        <v>1754</v>
      </c>
      <c r="AA84" s="5">
        <f t="shared" si="73"/>
        <v>169574</v>
      </c>
      <c r="AB84" s="5">
        <f t="shared" si="74"/>
        <v>-7962</v>
      </c>
      <c r="AC84" s="5">
        <f t="shared" si="75"/>
        <v>1350</v>
      </c>
      <c r="AD84" s="5">
        <f>VLOOKUP($B84,'251013_0시'!$A$1:$M$200,4,FALSE)</f>
        <v>918037</v>
      </c>
      <c r="AF84" s="5" t="s">
        <v>957</v>
      </c>
      <c r="AG84" s="5">
        <f>VLOOKUP($AF84,'251013'!$A$1:$M$200,4,FALSE)</f>
        <v>103872</v>
      </c>
      <c r="AH84" s="5">
        <f>VLOOKUP($AF84,'251013'!$A$1:$M$200,5,FALSE)</f>
        <v>4333</v>
      </c>
      <c r="AI84" s="5">
        <f>VLOOKUP($AF84,'251014'!$A$1:$M$200,4,FALSE)</f>
        <v>236834</v>
      </c>
      <c r="AJ84" s="5">
        <f>VLOOKUP($AF84,'251014'!$A$1:$M$200,5,FALSE)</f>
        <v>9133</v>
      </c>
      <c r="AK84" s="5">
        <f t="shared" si="76"/>
        <v>132962</v>
      </c>
      <c r="AL84" s="5">
        <f t="shared" si="77"/>
        <v>29090</v>
      </c>
      <c r="AM84" s="5">
        <f t="shared" si="78"/>
        <v>4800</v>
      </c>
      <c r="AN84" s="5">
        <f>VLOOKUP($AF84,'251015'!$A$1:$M$200,4,FALSE)</f>
        <v>386096</v>
      </c>
      <c r="AO84" s="5">
        <f>VLOOKUP($AF84,'251015'!$A$1:$M$200,5,FALSE)</f>
        <v>9183</v>
      </c>
      <c r="AP84" s="5">
        <f t="shared" si="79"/>
        <v>149262</v>
      </c>
      <c r="AQ84" s="5">
        <f t="shared" si="80"/>
        <v>16300</v>
      </c>
      <c r="AR84" s="5">
        <f t="shared" si="81"/>
        <v>50</v>
      </c>
      <c r="AS84" s="5">
        <f>VLOOKUP($AF84,'251016'!$A$1:$M$200,4,FALSE)</f>
        <v>500436</v>
      </c>
      <c r="AT84" s="5">
        <f>VLOOKUP($AF84,'251016'!$A$1:$M$200,5,FALSE)</f>
        <v>9183</v>
      </c>
      <c r="AU84" s="5">
        <f t="shared" si="82"/>
        <v>114340</v>
      </c>
      <c r="AV84" s="5">
        <f t="shared" si="83"/>
        <v>-34922</v>
      </c>
      <c r="AW84" s="5">
        <f t="shared" si="84"/>
        <v>0</v>
      </c>
      <c r="AX84" s="5">
        <f>VLOOKUP($AF84,'251017'!$A$1:$M$200,4,FALSE)</f>
        <v>695442</v>
      </c>
      <c r="AY84" s="5">
        <f>VLOOKUP($AF84,'251017'!$A$1:$M$200,5,FALSE)</f>
        <v>9183</v>
      </c>
      <c r="AZ84" s="5">
        <f t="shared" si="85"/>
        <v>195006</v>
      </c>
      <c r="BA84" s="5">
        <f t="shared" si="86"/>
        <v>80666</v>
      </c>
      <c r="BB84" s="5">
        <f t="shared" si="87"/>
        <v>0</v>
      </c>
      <c r="BC84" s="5">
        <f>VLOOKUP($AF84,'251018'!$A$1:$M$200,4,FALSE)</f>
        <v>854041</v>
      </c>
      <c r="BD84" s="5">
        <f>VLOOKUP($AF84,'251018'!$A$1:$M$200,5,FALSE)</f>
        <v>9385</v>
      </c>
      <c r="BE84" s="5">
        <f t="shared" si="88"/>
        <v>158599</v>
      </c>
      <c r="BF84" s="5">
        <f t="shared" si="89"/>
        <v>-36407</v>
      </c>
      <c r="BG84" s="5">
        <f t="shared" si="90"/>
        <v>202</v>
      </c>
      <c r="BH84" s="5">
        <f>VLOOKUP($AF84,'251018'!$A$1:$M$200,4,FALSE)</f>
        <v>854041</v>
      </c>
    </row>
    <row r="85" spans="1:60" x14ac:dyDescent="0.3">
      <c r="B85" s="5" t="s">
        <v>778</v>
      </c>
      <c r="C85" s="5">
        <f>VLOOKUP($B85,'251008_0시'!$A$1:$M$200,4,FALSE)</f>
        <v>181503</v>
      </c>
      <c r="D85" s="5">
        <f>VLOOKUP($B85,'251008_0시'!$A$1:$M$200,5,FALSE)</f>
        <v>50</v>
      </c>
      <c r="E85" s="5">
        <f>VLOOKUP($B85,'251009_0시'!$A$1:$M$200,4,FALSE)</f>
        <v>282083</v>
      </c>
      <c r="F85" s="5">
        <f>VLOOKUP($B85,'251009_0시'!$A$1:$M$200,5,FALSE)</f>
        <v>50</v>
      </c>
      <c r="G85" s="5">
        <f t="shared" si="61"/>
        <v>100580</v>
      </c>
      <c r="H85" s="5">
        <f t="shared" si="62"/>
        <v>9828.5</v>
      </c>
      <c r="I85" s="5">
        <f t="shared" si="63"/>
        <v>0</v>
      </c>
      <c r="J85" s="5">
        <f>VLOOKUP($B85,'251010_0시'!$A$1:$M$200,4,FALSE)</f>
        <v>451233</v>
      </c>
      <c r="K85" s="5">
        <f>VLOOKUP($B85,'251010_0시'!$A$1:$M$200,5,FALSE)</f>
        <v>224</v>
      </c>
      <c r="L85" s="5">
        <f t="shared" si="64"/>
        <v>169150</v>
      </c>
      <c r="M85" s="5">
        <f t="shared" si="65"/>
        <v>68570</v>
      </c>
      <c r="N85" s="5">
        <f t="shared" si="66"/>
        <v>174</v>
      </c>
      <c r="O85" s="5">
        <f>VLOOKUP($B85,'251011_0시'!$A$1:$M$200,4,FALSE)</f>
        <v>596067</v>
      </c>
      <c r="P85" s="5">
        <f>VLOOKUP($B85,'251011_0시'!$A$1:$M$200,5,FALSE)</f>
        <v>224</v>
      </c>
      <c r="Q85" s="5">
        <f t="shared" si="67"/>
        <v>144834</v>
      </c>
      <c r="R85" s="5">
        <f t="shared" si="68"/>
        <v>-24316</v>
      </c>
      <c r="S85" s="5">
        <f t="shared" si="69"/>
        <v>0</v>
      </c>
      <c r="T85" s="5">
        <f>VLOOKUP($B85,'251012_0시'!$A$1:$M$200,4,FALSE)</f>
        <v>739120</v>
      </c>
      <c r="U85" s="5">
        <f>VLOOKUP($B85,'251012_0시'!$A$1:$M$200,5,FALSE)</f>
        <v>224</v>
      </c>
      <c r="V85" s="5">
        <f t="shared" si="70"/>
        <v>143053</v>
      </c>
      <c r="W85" s="5">
        <f t="shared" si="71"/>
        <v>-1781</v>
      </c>
      <c r="X85" s="5">
        <f t="shared" si="72"/>
        <v>0</v>
      </c>
      <c r="Y85" s="5">
        <f>VLOOKUP($B85,'251013_0시'!$A$1:$M$200,4,FALSE)</f>
        <v>917042</v>
      </c>
      <c r="Z85" s="5">
        <f>VLOOKUP($B85,'251013_0시'!$A$1:$M$200,5,FALSE)</f>
        <v>224</v>
      </c>
      <c r="AA85" s="5">
        <f t="shared" si="73"/>
        <v>177922</v>
      </c>
      <c r="AB85" s="5">
        <f t="shared" si="74"/>
        <v>34869</v>
      </c>
      <c r="AC85" s="5">
        <f t="shared" si="75"/>
        <v>0</v>
      </c>
      <c r="AD85" s="5">
        <f>VLOOKUP($B85,'251013_0시'!$A$1:$M$200,4,FALSE)</f>
        <v>917042</v>
      </c>
      <c r="AF85" s="5" t="s">
        <v>818</v>
      </c>
      <c r="AG85" s="5">
        <f>VLOOKUP($AF85,'251013'!$A$1:$M$200,4,FALSE)</f>
        <v>115001</v>
      </c>
      <c r="AH85" s="5">
        <f>VLOOKUP($AF85,'251013'!$A$1:$M$200,5,FALSE)</f>
        <v>5400</v>
      </c>
      <c r="AI85" s="5">
        <f>VLOOKUP($AF85,'251014'!$A$1:$M$200,4,FALSE)</f>
        <v>198155</v>
      </c>
      <c r="AJ85" s="5">
        <f>VLOOKUP($AF85,'251014'!$A$1:$M$200,5,FALSE)</f>
        <v>8100</v>
      </c>
      <c r="AK85" s="5">
        <f t="shared" si="76"/>
        <v>83154</v>
      </c>
      <c r="AL85" s="5">
        <f t="shared" si="77"/>
        <v>-31847</v>
      </c>
      <c r="AM85" s="5">
        <f t="shared" si="78"/>
        <v>2700</v>
      </c>
      <c r="AN85" s="5">
        <f>VLOOKUP($AF85,'251015'!$A$1:$M$200,4,FALSE)</f>
        <v>331134</v>
      </c>
      <c r="AO85" s="5">
        <f>VLOOKUP($AF85,'251015'!$A$1:$M$200,5,FALSE)</f>
        <v>10000</v>
      </c>
      <c r="AP85" s="5">
        <f t="shared" si="79"/>
        <v>132979</v>
      </c>
      <c r="AQ85" s="5">
        <f t="shared" si="80"/>
        <v>49825</v>
      </c>
      <c r="AR85" s="5">
        <f t="shared" si="81"/>
        <v>1900</v>
      </c>
      <c r="AS85" s="5">
        <f>VLOOKUP($AF85,'251016'!$A$1:$M$200,4,FALSE)</f>
        <v>482940</v>
      </c>
      <c r="AT85" s="5">
        <f>VLOOKUP($AF85,'251016'!$A$1:$M$200,5,FALSE)</f>
        <v>14500</v>
      </c>
      <c r="AU85" s="5">
        <f t="shared" si="82"/>
        <v>151806</v>
      </c>
      <c r="AV85" s="5">
        <f t="shared" si="83"/>
        <v>18827</v>
      </c>
      <c r="AW85" s="5">
        <f t="shared" si="84"/>
        <v>4500</v>
      </c>
      <c r="AX85" s="5">
        <f>VLOOKUP($AF85,'251017'!$A$1:$M$200,4,FALSE)</f>
        <v>622930</v>
      </c>
      <c r="AY85" s="5">
        <f>VLOOKUP($AF85,'251017'!$A$1:$M$200,5,FALSE)</f>
        <v>17650</v>
      </c>
      <c r="AZ85" s="5">
        <f t="shared" si="85"/>
        <v>139990</v>
      </c>
      <c r="BA85" s="5">
        <f t="shared" si="86"/>
        <v>-11816</v>
      </c>
      <c r="BB85" s="5">
        <f t="shared" si="87"/>
        <v>3150</v>
      </c>
      <c r="BC85" s="5">
        <f>VLOOKUP($AF85,'251018'!$A$1:$M$200,4,FALSE)</f>
        <v>851268</v>
      </c>
      <c r="BD85" s="5">
        <f>VLOOKUP($AF85,'251018'!$A$1:$M$200,5,FALSE)</f>
        <v>21700</v>
      </c>
      <c r="BE85" s="5">
        <f t="shared" si="88"/>
        <v>228338</v>
      </c>
      <c r="BF85" s="5">
        <f t="shared" si="89"/>
        <v>88348</v>
      </c>
      <c r="BG85" s="5">
        <f t="shared" si="90"/>
        <v>4050</v>
      </c>
      <c r="BH85" s="5">
        <f>VLOOKUP($AF85,'251018'!$A$1:$M$200,4,FALSE)</f>
        <v>851268</v>
      </c>
    </row>
    <row r="86" spans="1:60" x14ac:dyDescent="0.3">
      <c r="B86" s="5" t="s">
        <v>826</v>
      </c>
      <c r="C86" s="5">
        <f>VLOOKUP($B86,'251008_0시'!$A$1:$M$200,4,FALSE)</f>
        <v>234193</v>
      </c>
      <c r="D86" s="5">
        <f>VLOOKUP($B86,'251008_0시'!$A$1:$M$200,5,FALSE)</f>
        <v>0</v>
      </c>
      <c r="E86" s="5">
        <f>VLOOKUP($B86,'251009_0시'!$A$1:$M$200,4,FALSE)</f>
        <v>395782</v>
      </c>
      <c r="F86" s="5">
        <f>VLOOKUP($B86,'251009_0시'!$A$1:$M$200,5,FALSE)</f>
        <v>136</v>
      </c>
      <c r="G86" s="5">
        <f t="shared" si="61"/>
        <v>161589</v>
      </c>
      <c r="H86" s="5">
        <f t="shared" si="62"/>
        <v>44492.5</v>
      </c>
      <c r="I86" s="5">
        <f t="shared" si="63"/>
        <v>136</v>
      </c>
      <c r="J86" s="5">
        <f>VLOOKUP($B86,'251010_0시'!$A$1:$M$200,4,FALSE)</f>
        <v>518780</v>
      </c>
      <c r="K86" s="5">
        <f>VLOOKUP($B86,'251010_0시'!$A$1:$M$200,5,FALSE)</f>
        <v>338</v>
      </c>
      <c r="L86" s="5">
        <f t="shared" si="64"/>
        <v>122998</v>
      </c>
      <c r="M86" s="5">
        <f t="shared" si="65"/>
        <v>-38591</v>
      </c>
      <c r="N86" s="5">
        <f t="shared" si="66"/>
        <v>202</v>
      </c>
      <c r="O86" s="5">
        <f>VLOOKUP($B86,'251011_0시'!$A$1:$M$200,4,FALSE)</f>
        <v>645187</v>
      </c>
      <c r="P86" s="5">
        <f>VLOOKUP($B86,'251011_0시'!$A$1:$M$200,5,FALSE)</f>
        <v>338</v>
      </c>
      <c r="Q86" s="5">
        <f t="shared" si="67"/>
        <v>126407</v>
      </c>
      <c r="R86" s="5">
        <f t="shared" si="68"/>
        <v>3409</v>
      </c>
      <c r="S86" s="5">
        <f t="shared" si="69"/>
        <v>0</v>
      </c>
      <c r="T86" s="5">
        <f>VLOOKUP($B86,'251012_0시'!$A$1:$M$200,4,FALSE)</f>
        <v>761373</v>
      </c>
      <c r="U86" s="5">
        <f>VLOOKUP($B86,'251012_0시'!$A$1:$M$200,5,FALSE)</f>
        <v>838</v>
      </c>
      <c r="V86" s="5">
        <f t="shared" si="70"/>
        <v>116186</v>
      </c>
      <c r="W86" s="5">
        <f t="shared" si="71"/>
        <v>-10221</v>
      </c>
      <c r="X86" s="5">
        <f t="shared" si="72"/>
        <v>500</v>
      </c>
      <c r="Y86" s="5">
        <f>VLOOKUP($B86,'251013_0시'!$A$1:$M$200,4,FALSE)</f>
        <v>900911</v>
      </c>
      <c r="Z86" s="5">
        <f>VLOOKUP($B86,'251013_0시'!$A$1:$M$200,5,FALSE)</f>
        <v>1988</v>
      </c>
      <c r="AA86" s="5">
        <f t="shared" si="73"/>
        <v>139538</v>
      </c>
      <c r="AB86" s="5">
        <f t="shared" si="74"/>
        <v>23352</v>
      </c>
      <c r="AC86" s="5">
        <f t="shared" si="75"/>
        <v>1150</v>
      </c>
      <c r="AD86" s="5">
        <f>VLOOKUP($B86,'251013_0시'!$A$1:$M$200,4,FALSE)</f>
        <v>900911</v>
      </c>
      <c r="AF86" s="5" t="s">
        <v>762</v>
      </c>
      <c r="AG86" s="5">
        <f>VLOOKUP($AF86,'251013'!$A$1:$M$200,4,FALSE)</f>
        <v>157949</v>
      </c>
      <c r="AH86" s="5">
        <f>VLOOKUP($AF86,'251013'!$A$1:$M$200,5,FALSE)</f>
        <v>0</v>
      </c>
      <c r="AI86" s="5">
        <f>VLOOKUP($AF86,'251014'!$A$1:$M$200,4,FALSE)</f>
        <v>298790</v>
      </c>
      <c r="AJ86" s="5">
        <f>VLOOKUP($AF86,'251014'!$A$1:$M$200,5,FALSE)</f>
        <v>0</v>
      </c>
      <c r="AK86" s="5">
        <f t="shared" si="76"/>
        <v>140841</v>
      </c>
      <c r="AL86" s="5">
        <f t="shared" si="77"/>
        <v>-17108</v>
      </c>
      <c r="AM86" s="5">
        <f t="shared" si="78"/>
        <v>0</v>
      </c>
      <c r="AN86" s="5">
        <f>VLOOKUP($AF86,'251015'!$A$1:$M$200,4,FALSE)</f>
        <v>380772</v>
      </c>
      <c r="AO86" s="5">
        <f>VLOOKUP($AF86,'251015'!$A$1:$M$200,5,FALSE)</f>
        <v>900</v>
      </c>
      <c r="AP86" s="5">
        <f t="shared" si="79"/>
        <v>81982</v>
      </c>
      <c r="AQ86" s="5">
        <f t="shared" si="80"/>
        <v>-58859</v>
      </c>
      <c r="AR86" s="5">
        <f t="shared" si="81"/>
        <v>900</v>
      </c>
      <c r="AS86" s="5">
        <f>VLOOKUP($AF86,'251016'!$A$1:$M$200,4,FALSE)</f>
        <v>573938</v>
      </c>
      <c r="AT86" s="5">
        <f>VLOOKUP($AF86,'251016'!$A$1:$M$200,5,FALSE)</f>
        <v>2700</v>
      </c>
      <c r="AU86" s="5">
        <f t="shared" si="82"/>
        <v>193166</v>
      </c>
      <c r="AV86" s="5">
        <f t="shared" si="83"/>
        <v>111184</v>
      </c>
      <c r="AW86" s="5">
        <f t="shared" si="84"/>
        <v>1800</v>
      </c>
      <c r="AX86" s="5">
        <f>VLOOKUP($AF86,'251017'!$A$1:$M$200,4,FALSE)</f>
        <v>722129</v>
      </c>
      <c r="AY86" s="5">
        <f>VLOOKUP($AF86,'251017'!$A$1:$M$200,5,FALSE)</f>
        <v>2700</v>
      </c>
      <c r="AZ86" s="5">
        <f t="shared" si="85"/>
        <v>148191</v>
      </c>
      <c r="BA86" s="5">
        <f t="shared" si="86"/>
        <v>-44975</v>
      </c>
      <c r="BB86" s="5">
        <f t="shared" si="87"/>
        <v>0</v>
      </c>
      <c r="BC86" s="5">
        <f>VLOOKUP($AF86,'251018'!$A$1:$M$200,4,FALSE)</f>
        <v>843632</v>
      </c>
      <c r="BD86" s="5">
        <f>VLOOKUP($AF86,'251018'!$A$1:$M$200,5,FALSE)</f>
        <v>2700</v>
      </c>
      <c r="BE86" s="5">
        <f t="shared" si="88"/>
        <v>121503</v>
      </c>
      <c r="BF86" s="5">
        <f t="shared" si="89"/>
        <v>-26688</v>
      </c>
      <c r="BG86" s="5">
        <f t="shared" si="90"/>
        <v>0</v>
      </c>
      <c r="BH86" s="5">
        <f>VLOOKUP($AF86,'251018'!$A$1:$M$200,4,FALSE)</f>
        <v>843632</v>
      </c>
    </row>
    <row r="87" spans="1:60" x14ac:dyDescent="0.3">
      <c r="B87" s="5" t="s">
        <v>823</v>
      </c>
      <c r="C87" s="5">
        <f>VLOOKUP($B87,'251008_0시'!$A$1:$M$200,4,FALSE)</f>
        <v>209032</v>
      </c>
      <c r="D87" s="5">
        <f>VLOOKUP($B87,'251008_0시'!$A$1:$M$200,5,FALSE)</f>
        <v>350</v>
      </c>
      <c r="E87" s="5">
        <f>VLOOKUP($B87,'251009_0시'!$A$1:$M$200,4,FALSE)</f>
        <v>355496</v>
      </c>
      <c r="F87" s="5">
        <f>VLOOKUP($B87,'251009_0시'!$A$1:$M$200,5,FALSE)</f>
        <v>350</v>
      </c>
      <c r="G87" s="5">
        <f t="shared" si="61"/>
        <v>146464</v>
      </c>
      <c r="H87" s="5">
        <f t="shared" si="62"/>
        <v>41948</v>
      </c>
      <c r="I87" s="5">
        <f t="shared" si="63"/>
        <v>0</v>
      </c>
      <c r="J87" s="5">
        <f>VLOOKUP($B87,'251010_0시'!$A$1:$M$200,4,FALSE)</f>
        <v>453088</v>
      </c>
      <c r="K87" s="5">
        <f>VLOOKUP($B87,'251010_0시'!$A$1:$M$200,5,FALSE)</f>
        <v>552</v>
      </c>
      <c r="L87" s="5">
        <f t="shared" si="64"/>
        <v>97592</v>
      </c>
      <c r="M87" s="5">
        <f t="shared" si="65"/>
        <v>-48872</v>
      </c>
      <c r="N87" s="5">
        <f t="shared" si="66"/>
        <v>202</v>
      </c>
      <c r="O87" s="5">
        <f>VLOOKUP($B87,'251011_0시'!$A$1:$M$200,4,FALSE)</f>
        <v>598359</v>
      </c>
      <c r="P87" s="5">
        <f>VLOOKUP($B87,'251011_0시'!$A$1:$M$200,5,FALSE)</f>
        <v>552</v>
      </c>
      <c r="Q87" s="5">
        <f t="shared" si="67"/>
        <v>145271</v>
      </c>
      <c r="R87" s="5">
        <f t="shared" si="68"/>
        <v>47679</v>
      </c>
      <c r="S87" s="5">
        <f t="shared" si="69"/>
        <v>0</v>
      </c>
      <c r="T87" s="5">
        <f>VLOOKUP($B87,'251012_0시'!$A$1:$M$200,4,FALSE)</f>
        <v>766554</v>
      </c>
      <c r="U87" s="5">
        <f>VLOOKUP($B87,'251012_0시'!$A$1:$M$200,5,FALSE)</f>
        <v>552</v>
      </c>
      <c r="V87" s="5">
        <f t="shared" si="70"/>
        <v>168195</v>
      </c>
      <c r="W87" s="5">
        <f t="shared" si="71"/>
        <v>22924</v>
      </c>
      <c r="X87" s="5">
        <f t="shared" si="72"/>
        <v>0</v>
      </c>
      <c r="Y87" s="5">
        <f>VLOOKUP($B87,'251013_0시'!$A$1:$M$200,4,FALSE)</f>
        <v>893781</v>
      </c>
      <c r="Z87" s="5">
        <f>VLOOKUP($B87,'251013_0시'!$A$1:$M$200,5,FALSE)</f>
        <v>1252</v>
      </c>
      <c r="AA87" s="5">
        <f t="shared" si="73"/>
        <v>127227</v>
      </c>
      <c r="AB87" s="5">
        <f t="shared" si="74"/>
        <v>-40968</v>
      </c>
      <c r="AC87" s="5">
        <f t="shared" si="75"/>
        <v>700</v>
      </c>
      <c r="AD87" s="5">
        <f>VLOOKUP($B87,'251013_0시'!$A$1:$M$200,4,FALSE)</f>
        <v>893781</v>
      </c>
      <c r="AF87" s="5" t="s">
        <v>964</v>
      </c>
      <c r="AG87" s="5">
        <f>VLOOKUP($AF87,'251013'!$A$1:$M$200,4,FALSE)</f>
        <v>132504</v>
      </c>
      <c r="AH87" s="5">
        <f>VLOOKUP($AF87,'251013'!$A$1:$M$200,5,FALSE)</f>
        <v>0</v>
      </c>
      <c r="AI87" s="5">
        <f>VLOOKUP($AF87,'251014'!$A$1:$M$200,4,FALSE)</f>
        <v>267575</v>
      </c>
      <c r="AJ87" s="5">
        <f>VLOOKUP($AF87,'251014'!$A$1:$M$200,5,FALSE)</f>
        <v>0</v>
      </c>
      <c r="AK87" s="5">
        <f t="shared" si="76"/>
        <v>135071</v>
      </c>
      <c r="AL87" s="5">
        <f t="shared" si="77"/>
        <v>2567</v>
      </c>
      <c r="AM87" s="5">
        <f t="shared" si="78"/>
        <v>0</v>
      </c>
      <c r="AN87" s="5">
        <f>VLOOKUP($AF87,'251015'!$A$1:$M$200,4,FALSE)</f>
        <v>404881</v>
      </c>
      <c r="AO87" s="5">
        <f>VLOOKUP($AF87,'251015'!$A$1:$M$200,5,FALSE)</f>
        <v>0</v>
      </c>
      <c r="AP87" s="5">
        <f t="shared" si="79"/>
        <v>137306</v>
      </c>
      <c r="AQ87" s="5">
        <f t="shared" si="80"/>
        <v>2235</v>
      </c>
      <c r="AR87" s="5">
        <f t="shared" si="81"/>
        <v>0</v>
      </c>
      <c r="AS87" s="5">
        <f>VLOOKUP($AF87,'251016'!$A$1:$M$200,4,FALSE)</f>
        <v>530914</v>
      </c>
      <c r="AT87" s="5">
        <f>VLOOKUP($AF87,'251016'!$A$1:$M$200,5,FALSE)</f>
        <v>0</v>
      </c>
      <c r="AU87" s="5">
        <f t="shared" si="82"/>
        <v>126033</v>
      </c>
      <c r="AV87" s="5">
        <f t="shared" si="83"/>
        <v>-11273</v>
      </c>
      <c r="AW87" s="5">
        <f t="shared" si="84"/>
        <v>0</v>
      </c>
      <c r="AX87" s="5">
        <f>VLOOKUP($AF87,'251017'!$A$1:$M$200,4,FALSE)</f>
        <v>677664</v>
      </c>
      <c r="AY87" s="5">
        <f>VLOOKUP($AF87,'251017'!$A$1:$M$200,5,FALSE)</f>
        <v>50</v>
      </c>
      <c r="AZ87" s="5">
        <f t="shared" si="85"/>
        <v>146750</v>
      </c>
      <c r="BA87" s="5">
        <f t="shared" si="86"/>
        <v>20717</v>
      </c>
      <c r="BB87" s="5">
        <f t="shared" si="87"/>
        <v>50</v>
      </c>
      <c r="BC87" s="5">
        <f>VLOOKUP($AF87,'251018'!$A$1:$M$200,4,FALSE)</f>
        <v>841745</v>
      </c>
      <c r="BD87" s="5">
        <f>VLOOKUP($AF87,'251018'!$A$1:$M$200,5,FALSE)</f>
        <v>50</v>
      </c>
      <c r="BE87" s="5">
        <f t="shared" si="88"/>
        <v>164081</v>
      </c>
      <c r="BF87" s="5">
        <f t="shared" si="89"/>
        <v>17331</v>
      </c>
      <c r="BG87" s="5">
        <f t="shared" si="90"/>
        <v>0</v>
      </c>
      <c r="BH87" s="5">
        <f>VLOOKUP($AF87,'251018'!$A$1:$M$200,4,FALSE)</f>
        <v>841745</v>
      </c>
    </row>
    <row r="88" spans="1:60" x14ac:dyDescent="0.3">
      <c r="B88" s="5" t="s">
        <v>796</v>
      </c>
      <c r="C88" s="5">
        <f>VLOOKUP($B88,'251008_0시'!$A$1:$M$200,4,FALSE)</f>
        <v>260001</v>
      </c>
      <c r="D88" s="5">
        <f>VLOOKUP($B88,'251008_0시'!$A$1:$M$200,5,FALSE)</f>
        <v>0</v>
      </c>
      <c r="E88" s="5">
        <f>VLOOKUP($B88,'251009_0시'!$A$1:$M$200,4,FALSE)</f>
        <v>403563</v>
      </c>
      <c r="F88" s="5">
        <f>VLOOKUP($B88,'251009_0시'!$A$1:$M$200,5,FALSE)</f>
        <v>101</v>
      </c>
      <c r="G88" s="5">
        <f t="shared" si="61"/>
        <v>143562</v>
      </c>
      <c r="H88" s="5">
        <f t="shared" si="62"/>
        <v>13561.5</v>
      </c>
      <c r="I88" s="5">
        <f t="shared" si="63"/>
        <v>101</v>
      </c>
      <c r="J88" s="5">
        <f>VLOOKUP($B88,'251010_0시'!$A$1:$M$200,4,FALSE)</f>
        <v>525228</v>
      </c>
      <c r="K88" s="5">
        <f>VLOOKUP($B88,'251010_0시'!$A$1:$M$200,5,FALSE)</f>
        <v>477</v>
      </c>
      <c r="L88" s="5">
        <f t="shared" si="64"/>
        <v>121665</v>
      </c>
      <c r="M88" s="5">
        <f t="shared" si="65"/>
        <v>-21897</v>
      </c>
      <c r="N88" s="5">
        <f t="shared" si="66"/>
        <v>376</v>
      </c>
      <c r="O88" s="5">
        <f>VLOOKUP($B88,'251011_0시'!$A$1:$M$200,4,FALSE)</f>
        <v>656577</v>
      </c>
      <c r="P88" s="5">
        <f>VLOOKUP($B88,'251011_0시'!$A$1:$M$200,5,FALSE)</f>
        <v>477</v>
      </c>
      <c r="Q88" s="5">
        <f t="shared" si="67"/>
        <v>131349</v>
      </c>
      <c r="R88" s="5">
        <f t="shared" si="68"/>
        <v>9684</v>
      </c>
      <c r="S88" s="5">
        <f t="shared" si="69"/>
        <v>0</v>
      </c>
      <c r="T88" s="5">
        <f>VLOOKUP($B88,'251012_0시'!$A$1:$M$200,4,FALSE)</f>
        <v>750362</v>
      </c>
      <c r="U88" s="5">
        <f>VLOOKUP($B88,'251012_0시'!$A$1:$M$200,5,FALSE)</f>
        <v>564</v>
      </c>
      <c r="V88" s="5">
        <f t="shared" si="70"/>
        <v>93785</v>
      </c>
      <c r="W88" s="5">
        <f t="shared" si="71"/>
        <v>-37564</v>
      </c>
      <c r="X88" s="5">
        <f t="shared" si="72"/>
        <v>87</v>
      </c>
      <c r="Y88" s="5">
        <f>VLOOKUP($B88,'251013_0시'!$A$1:$M$200,4,FALSE)</f>
        <v>887706</v>
      </c>
      <c r="Z88" s="5">
        <f>VLOOKUP($B88,'251013_0시'!$A$1:$M$200,5,FALSE)</f>
        <v>614</v>
      </c>
      <c r="AA88" s="5">
        <f t="shared" si="73"/>
        <v>137344</v>
      </c>
      <c r="AB88" s="5">
        <f t="shared" si="74"/>
        <v>43559</v>
      </c>
      <c r="AC88" s="5">
        <f t="shared" si="75"/>
        <v>50</v>
      </c>
      <c r="AD88" s="5">
        <f>VLOOKUP($B88,'251013_0시'!$A$1:$M$200,4,FALSE)</f>
        <v>887706</v>
      </c>
      <c r="AF88" s="5" t="s">
        <v>802</v>
      </c>
      <c r="AG88" s="5">
        <f>VLOOKUP($AF88,'251013'!$A$1:$M$200,4,FALSE)</f>
        <v>152899</v>
      </c>
      <c r="AH88" s="5">
        <f>VLOOKUP($AF88,'251013'!$A$1:$M$200,5,FALSE)</f>
        <v>1672</v>
      </c>
      <c r="AI88" s="5">
        <f>VLOOKUP($AF88,'251014'!$A$1:$M$200,4,FALSE)</f>
        <v>316190</v>
      </c>
      <c r="AJ88" s="5">
        <f>VLOOKUP($AF88,'251014'!$A$1:$M$200,5,FALSE)</f>
        <v>1672</v>
      </c>
      <c r="AK88" s="5">
        <f t="shared" si="76"/>
        <v>163291</v>
      </c>
      <c r="AL88" s="5">
        <f t="shared" si="77"/>
        <v>10392</v>
      </c>
      <c r="AM88" s="5">
        <f t="shared" si="78"/>
        <v>0</v>
      </c>
      <c r="AN88" s="5">
        <f>VLOOKUP($AF88,'251015'!$A$1:$M$200,4,FALSE)</f>
        <v>482359</v>
      </c>
      <c r="AO88" s="5">
        <f>VLOOKUP($AF88,'251015'!$A$1:$M$200,5,FALSE)</f>
        <v>1672</v>
      </c>
      <c r="AP88" s="5">
        <f t="shared" si="79"/>
        <v>166169</v>
      </c>
      <c r="AQ88" s="5">
        <f t="shared" si="80"/>
        <v>2878</v>
      </c>
      <c r="AR88" s="5">
        <f t="shared" si="81"/>
        <v>0</v>
      </c>
      <c r="AS88" s="5">
        <f>VLOOKUP($AF88,'251016'!$A$1:$M$200,4,FALSE)</f>
        <v>609968</v>
      </c>
      <c r="AT88" s="5">
        <f>VLOOKUP($AF88,'251016'!$A$1:$M$200,5,FALSE)</f>
        <v>1672</v>
      </c>
      <c r="AU88" s="5">
        <f t="shared" si="82"/>
        <v>127609</v>
      </c>
      <c r="AV88" s="5">
        <f t="shared" si="83"/>
        <v>-38560</v>
      </c>
      <c r="AW88" s="5">
        <f t="shared" si="84"/>
        <v>0</v>
      </c>
      <c r="AX88" s="5">
        <f>VLOOKUP($AF88,'251017'!$A$1:$M$200,4,FALSE)</f>
        <v>699111</v>
      </c>
      <c r="AY88" s="5">
        <f>VLOOKUP($AF88,'251017'!$A$1:$M$200,5,FALSE)</f>
        <v>1672</v>
      </c>
      <c r="AZ88" s="5">
        <f t="shared" si="85"/>
        <v>89143</v>
      </c>
      <c r="BA88" s="5">
        <f t="shared" si="86"/>
        <v>-38466</v>
      </c>
      <c r="BB88" s="5">
        <f t="shared" si="87"/>
        <v>0</v>
      </c>
      <c r="BC88" s="5">
        <f>VLOOKUP($AF88,'251018'!$A$1:$M$200,4,FALSE)</f>
        <v>838857</v>
      </c>
      <c r="BD88" s="5">
        <f>VLOOKUP($AF88,'251018'!$A$1:$M$200,5,FALSE)</f>
        <v>2372</v>
      </c>
      <c r="BE88" s="5">
        <f t="shared" si="88"/>
        <v>139746</v>
      </c>
      <c r="BF88" s="5">
        <f t="shared" si="89"/>
        <v>50603</v>
      </c>
      <c r="BG88" s="5">
        <f t="shared" si="90"/>
        <v>700</v>
      </c>
      <c r="BH88" s="5">
        <f>VLOOKUP($AF88,'251018'!$A$1:$M$200,4,FALSE)</f>
        <v>838857</v>
      </c>
    </row>
    <row r="89" spans="1:60" x14ac:dyDescent="0.3">
      <c r="B89" s="5" t="s">
        <v>794</v>
      </c>
      <c r="C89" s="5">
        <f>VLOOKUP($B89,'251008_0시'!$A$1:$M$200,4,FALSE)</f>
        <v>202088</v>
      </c>
      <c r="D89" s="5">
        <f>VLOOKUP($B89,'251008_0시'!$A$1:$M$200,5,FALSE)</f>
        <v>0</v>
      </c>
      <c r="E89" s="5">
        <f>VLOOKUP($B89,'251009_0시'!$A$1:$M$200,4,FALSE)</f>
        <v>342234</v>
      </c>
      <c r="F89" s="5">
        <f>VLOOKUP($B89,'251009_0시'!$A$1:$M$200,5,FALSE)</f>
        <v>0</v>
      </c>
      <c r="G89" s="5">
        <f t="shared" si="61"/>
        <v>140146</v>
      </c>
      <c r="H89" s="5">
        <f t="shared" si="62"/>
        <v>39102</v>
      </c>
      <c r="I89" s="5">
        <f t="shared" si="63"/>
        <v>0</v>
      </c>
      <c r="J89" s="5">
        <f>VLOOKUP($B89,'251010_0시'!$A$1:$M$200,4,FALSE)</f>
        <v>499482</v>
      </c>
      <c r="K89" s="5">
        <f>VLOOKUP($B89,'251010_0시'!$A$1:$M$200,5,FALSE)</f>
        <v>96</v>
      </c>
      <c r="L89" s="5">
        <f t="shared" si="64"/>
        <v>157248</v>
      </c>
      <c r="M89" s="5">
        <f t="shared" si="65"/>
        <v>17102</v>
      </c>
      <c r="N89" s="5">
        <f t="shared" si="66"/>
        <v>96</v>
      </c>
      <c r="O89" s="5">
        <f>VLOOKUP($B89,'251011_0시'!$A$1:$M$200,4,FALSE)</f>
        <v>604006</v>
      </c>
      <c r="P89" s="5">
        <f>VLOOKUP($B89,'251011_0시'!$A$1:$M$200,5,FALSE)</f>
        <v>96</v>
      </c>
      <c r="Q89" s="5">
        <f t="shared" si="67"/>
        <v>104524</v>
      </c>
      <c r="R89" s="5">
        <f t="shared" si="68"/>
        <v>-52724</v>
      </c>
      <c r="S89" s="5">
        <f t="shared" si="69"/>
        <v>0</v>
      </c>
      <c r="T89" s="5">
        <f>VLOOKUP($B89,'251012_0시'!$A$1:$M$200,4,FALSE)</f>
        <v>793086</v>
      </c>
      <c r="U89" s="5">
        <f>VLOOKUP($B89,'251012_0시'!$A$1:$M$200,5,FALSE)</f>
        <v>192</v>
      </c>
      <c r="V89" s="5">
        <f t="shared" si="70"/>
        <v>189080</v>
      </c>
      <c r="W89" s="5">
        <f t="shared" si="71"/>
        <v>84556</v>
      </c>
      <c r="X89" s="5">
        <f t="shared" si="72"/>
        <v>96</v>
      </c>
      <c r="Y89" s="5">
        <f>VLOOKUP($B89,'251013_0시'!$A$1:$M$200,4,FALSE)</f>
        <v>878018</v>
      </c>
      <c r="Z89" s="5">
        <f>VLOOKUP($B89,'251013_0시'!$A$1:$M$200,5,FALSE)</f>
        <v>242</v>
      </c>
      <c r="AA89" s="5">
        <f t="shared" si="73"/>
        <v>84932</v>
      </c>
      <c r="AB89" s="5">
        <f t="shared" si="74"/>
        <v>-104148</v>
      </c>
      <c r="AC89" s="5">
        <f t="shared" si="75"/>
        <v>50</v>
      </c>
      <c r="AD89" s="5">
        <f>VLOOKUP($B89,'251013_0시'!$A$1:$M$200,4,FALSE)</f>
        <v>878018</v>
      </c>
      <c r="AF89" s="5" t="s">
        <v>790</v>
      </c>
      <c r="AG89" s="5">
        <f>VLOOKUP($AF89,'251013'!$A$1:$M$200,4,FALSE)</f>
        <v>115503</v>
      </c>
      <c r="AH89" s="5">
        <f>VLOOKUP($AF89,'251013'!$A$1:$M$200,5,FALSE)</f>
        <v>1350</v>
      </c>
      <c r="AI89" s="5">
        <f>VLOOKUP($AF89,'251014'!$A$1:$M$200,4,FALSE)</f>
        <v>223593</v>
      </c>
      <c r="AJ89" s="5">
        <f>VLOOKUP($AF89,'251014'!$A$1:$M$200,5,FALSE)</f>
        <v>4931</v>
      </c>
      <c r="AK89" s="5">
        <f t="shared" si="76"/>
        <v>108090</v>
      </c>
      <c r="AL89" s="5">
        <f t="shared" si="77"/>
        <v>-7413</v>
      </c>
      <c r="AM89" s="5">
        <f t="shared" si="78"/>
        <v>3581</v>
      </c>
      <c r="AN89" s="5">
        <f>VLOOKUP($AF89,'251015'!$A$1:$M$200,4,FALSE)</f>
        <v>373854</v>
      </c>
      <c r="AO89" s="5">
        <f>VLOOKUP($AF89,'251015'!$A$1:$M$200,5,FALSE)</f>
        <v>6731</v>
      </c>
      <c r="AP89" s="5">
        <f t="shared" si="79"/>
        <v>150261</v>
      </c>
      <c r="AQ89" s="5">
        <f t="shared" si="80"/>
        <v>42171</v>
      </c>
      <c r="AR89" s="5">
        <f t="shared" si="81"/>
        <v>1800</v>
      </c>
      <c r="AS89" s="5">
        <f>VLOOKUP($AF89,'251016'!$A$1:$M$200,4,FALSE)</f>
        <v>510186</v>
      </c>
      <c r="AT89" s="5">
        <f>VLOOKUP($AF89,'251016'!$A$1:$M$200,5,FALSE)</f>
        <v>8981</v>
      </c>
      <c r="AU89" s="5">
        <f t="shared" si="82"/>
        <v>136332</v>
      </c>
      <c r="AV89" s="5">
        <f t="shared" si="83"/>
        <v>-13929</v>
      </c>
      <c r="AW89" s="5">
        <f t="shared" si="84"/>
        <v>2250</v>
      </c>
      <c r="AX89" s="5">
        <f>VLOOKUP($AF89,'251017'!$A$1:$M$200,4,FALSE)</f>
        <v>692785</v>
      </c>
      <c r="AY89" s="5">
        <f>VLOOKUP($AF89,'251017'!$A$1:$M$200,5,FALSE)</f>
        <v>13931</v>
      </c>
      <c r="AZ89" s="5">
        <f t="shared" si="85"/>
        <v>182599</v>
      </c>
      <c r="BA89" s="5">
        <f t="shared" si="86"/>
        <v>46267</v>
      </c>
      <c r="BB89" s="5">
        <f t="shared" si="87"/>
        <v>4950</v>
      </c>
      <c r="BC89" s="5">
        <f>VLOOKUP($AF89,'251018'!$A$1:$M$200,4,FALSE)</f>
        <v>836261</v>
      </c>
      <c r="BD89" s="5">
        <f>VLOOKUP($AF89,'251018'!$A$1:$M$200,5,FALSE)</f>
        <v>15331</v>
      </c>
      <c r="BE89" s="5">
        <f t="shared" si="88"/>
        <v>143476</v>
      </c>
      <c r="BF89" s="5">
        <f t="shared" si="89"/>
        <v>-39123</v>
      </c>
      <c r="BG89" s="5">
        <f t="shared" si="90"/>
        <v>1400</v>
      </c>
      <c r="BH89" s="5">
        <f>VLOOKUP($AF89,'251018'!$A$1:$M$200,4,FALSE)</f>
        <v>836261</v>
      </c>
    </row>
    <row r="90" spans="1:60" x14ac:dyDescent="0.3">
      <c r="B90" s="5" t="s">
        <v>956</v>
      </c>
      <c r="C90" s="5">
        <f>VLOOKUP($B90,'251008_0시'!$A$1:$M$200,4,FALSE)</f>
        <v>247956</v>
      </c>
      <c r="D90" s="5">
        <f>VLOOKUP($B90,'251008_0시'!$A$1:$M$200,5,FALSE)</f>
        <v>3150</v>
      </c>
      <c r="E90" s="5">
        <f>VLOOKUP($B90,'251009_0시'!$A$1:$M$200,4,FALSE)</f>
        <v>387895</v>
      </c>
      <c r="F90" s="5">
        <f>VLOOKUP($B90,'251009_0시'!$A$1:$M$200,5,FALSE)</f>
        <v>9250</v>
      </c>
      <c r="G90" s="5">
        <f t="shared" si="61"/>
        <v>139939</v>
      </c>
      <c r="H90" s="5">
        <f t="shared" si="62"/>
        <v>15961</v>
      </c>
      <c r="I90" s="5">
        <f t="shared" si="63"/>
        <v>6100</v>
      </c>
      <c r="J90" s="5">
        <f>VLOOKUP($B90,'251010_0시'!$A$1:$M$200,4,FALSE)</f>
        <v>497199</v>
      </c>
      <c r="K90" s="5">
        <f>VLOOKUP($B90,'251010_0시'!$A$1:$M$200,5,FALSE)</f>
        <v>18106</v>
      </c>
      <c r="L90" s="5">
        <f t="shared" si="64"/>
        <v>109304</v>
      </c>
      <c r="M90" s="5">
        <f t="shared" si="65"/>
        <v>-30635</v>
      </c>
      <c r="N90" s="5">
        <f t="shared" si="66"/>
        <v>8856</v>
      </c>
      <c r="O90" s="5">
        <f>VLOOKUP($B90,'251011_0시'!$A$1:$M$200,4,FALSE)</f>
        <v>649692</v>
      </c>
      <c r="P90" s="5">
        <f>VLOOKUP($B90,'251011_0시'!$A$1:$M$200,5,FALSE)</f>
        <v>20806</v>
      </c>
      <c r="Q90" s="5">
        <f t="shared" si="67"/>
        <v>152493</v>
      </c>
      <c r="R90" s="5">
        <f t="shared" si="68"/>
        <v>43189</v>
      </c>
      <c r="S90" s="5">
        <f t="shared" si="69"/>
        <v>2700</v>
      </c>
      <c r="T90" s="5">
        <f>VLOOKUP($B90,'251012_0시'!$A$1:$M$200,4,FALSE)</f>
        <v>772598</v>
      </c>
      <c r="U90" s="5">
        <f>VLOOKUP($B90,'251012_0시'!$A$1:$M$200,5,FALSE)</f>
        <v>25306</v>
      </c>
      <c r="V90" s="5">
        <f t="shared" si="70"/>
        <v>122906</v>
      </c>
      <c r="W90" s="5">
        <f t="shared" si="71"/>
        <v>-29587</v>
      </c>
      <c r="X90" s="5">
        <f t="shared" si="72"/>
        <v>4500</v>
      </c>
      <c r="Y90" s="5">
        <f>VLOOKUP($B90,'251013_0시'!$A$1:$M$200,4,FALSE)</f>
        <v>867623</v>
      </c>
      <c r="Z90" s="5">
        <f>VLOOKUP($B90,'251013_0시'!$A$1:$M$200,5,FALSE)</f>
        <v>26556</v>
      </c>
      <c r="AA90" s="5">
        <f t="shared" si="73"/>
        <v>95025</v>
      </c>
      <c r="AB90" s="5">
        <f t="shared" si="74"/>
        <v>-27881</v>
      </c>
      <c r="AC90" s="5">
        <f t="shared" si="75"/>
        <v>1250</v>
      </c>
      <c r="AD90" s="5">
        <f>VLOOKUP($B90,'251013_0시'!$A$1:$M$200,4,FALSE)</f>
        <v>867623</v>
      </c>
      <c r="AF90" s="5" t="s">
        <v>809</v>
      </c>
      <c r="AG90" s="5">
        <f>VLOOKUP($AF90,'251013'!$A$1:$M$200,4,FALSE)</f>
        <v>117282</v>
      </c>
      <c r="AH90" s="5">
        <f>VLOOKUP($AF90,'251013'!$A$1:$M$200,5,FALSE)</f>
        <v>50</v>
      </c>
      <c r="AI90" s="5">
        <f>VLOOKUP($AF90,'251014'!$A$1:$M$200,4,FALSE)</f>
        <v>254600</v>
      </c>
      <c r="AJ90" s="5">
        <f>VLOOKUP($AF90,'251014'!$A$1:$M$200,5,FALSE)</f>
        <v>50</v>
      </c>
      <c r="AK90" s="5">
        <f t="shared" si="76"/>
        <v>137318</v>
      </c>
      <c r="AL90" s="5">
        <f t="shared" si="77"/>
        <v>20036</v>
      </c>
      <c r="AM90" s="5">
        <f t="shared" si="78"/>
        <v>0</v>
      </c>
      <c r="AN90" s="5">
        <f>VLOOKUP($AF90,'251015'!$A$1:$M$200,4,FALSE)</f>
        <v>401126</v>
      </c>
      <c r="AO90" s="5">
        <f>VLOOKUP($AF90,'251015'!$A$1:$M$200,5,FALSE)</f>
        <v>50</v>
      </c>
      <c r="AP90" s="5">
        <f t="shared" si="79"/>
        <v>146526</v>
      </c>
      <c r="AQ90" s="5">
        <f t="shared" si="80"/>
        <v>9208</v>
      </c>
      <c r="AR90" s="5">
        <f t="shared" si="81"/>
        <v>0</v>
      </c>
      <c r="AS90" s="5">
        <f>VLOOKUP($AF90,'251016'!$A$1:$M$200,4,FALSE)</f>
        <v>519158</v>
      </c>
      <c r="AT90" s="5">
        <f>VLOOKUP($AF90,'251016'!$A$1:$M$200,5,FALSE)</f>
        <v>50</v>
      </c>
      <c r="AU90" s="5">
        <f t="shared" si="82"/>
        <v>118032</v>
      </c>
      <c r="AV90" s="5">
        <f t="shared" si="83"/>
        <v>-28494</v>
      </c>
      <c r="AW90" s="5">
        <f t="shared" si="84"/>
        <v>0</v>
      </c>
      <c r="AX90" s="5">
        <f>VLOOKUP($AF90,'251017'!$A$1:$M$200,4,FALSE)</f>
        <v>692257</v>
      </c>
      <c r="AY90" s="5">
        <f>VLOOKUP($AF90,'251017'!$A$1:$M$200,5,FALSE)</f>
        <v>151</v>
      </c>
      <c r="AZ90" s="5">
        <f t="shared" si="85"/>
        <v>173099</v>
      </c>
      <c r="BA90" s="5">
        <f t="shared" si="86"/>
        <v>55067</v>
      </c>
      <c r="BB90" s="5">
        <f t="shared" si="87"/>
        <v>101</v>
      </c>
      <c r="BC90" s="5">
        <f>VLOOKUP($AF90,'251018'!$A$1:$M$200,4,FALSE)</f>
        <v>819662</v>
      </c>
      <c r="BD90" s="5">
        <f>VLOOKUP($AF90,'251018'!$A$1:$M$200,5,FALSE)</f>
        <v>151</v>
      </c>
      <c r="BE90" s="5">
        <f t="shared" si="88"/>
        <v>127405</v>
      </c>
      <c r="BF90" s="5">
        <f t="shared" si="89"/>
        <v>-45694</v>
      </c>
      <c r="BG90" s="5">
        <f t="shared" si="90"/>
        <v>0</v>
      </c>
      <c r="BH90" s="5">
        <f>VLOOKUP($AF90,'251018'!$A$1:$M$200,4,FALSE)</f>
        <v>819662</v>
      </c>
    </row>
    <row r="91" spans="1:60" x14ac:dyDescent="0.3">
      <c r="B91" s="5" t="s">
        <v>960</v>
      </c>
      <c r="C91" s="5">
        <f>VLOOKUP($B91,'251008_0시'!$A$1:$M$200,4,FALSE)</f>
        <v>196216</v>
      </c>
      <c r="D91" s="5">
        <f>VLOOKUP($B91,'251008_0시'!$A$1:$M$200,5,FALSE)</f>
        <v>0</v>
      </c>
      <c r="E91" s="5">
        <f>VLOOKUP($B91,'251009_0시'!$A$1:$M$200,4,FALSE)</f>
        <v>327180</v>
      </c>
      <c r="F91" s="5">
        <f>VLOOKUP($B91,'251009_0시'!$A$1:$M$200,5,FALSE)</f>
        <v>0</v>
      </c>
      <c r="G91" s="5">
        <f t="shared" si="61"/>
        <v>130964</v>
      </c>
      <c r="H91" s="5">
        <f t="shared" si="62"/>
        <v>32856</v>
      </c>
      <c r="I91" s="5">
        <f t="shared" si="63"/>
        <v>0</v>
      </c>
      <c r="J91" s="5">
        <f>VLOOKUP($B91,'251010_0시'!$A$1:$M$200,4,FALSE)</f>
        <v>474962</v>
      </c>
      <c r="K91" s="5">
        <f>VLOOKUP($B91,'251010_0시'!$A$1:$M$200,5,FALSE)</f>
        <v>100</v>
      </c>
      <c r="L91" s="5">
        <f t="shared" si="64"/>
        <v>147782</v>
      </c>
      <c r="M91" s="5">
        <f t="shared" si="65"/>
        <v>16818</v>
      </c>
      <c r="N91" s="5">
        <f t="shared" si="66"/>
        <v>100</v>
      </c>
      <c r="O91" s="5">
        <f>VLOOKUP($B91,'251011_0시'!$A$1:$M$200,4,FALSE)</f>
        <v>609938</v>
      </c>
      <c r="P91" s="5">
        <f>VLOOKUP($B91,'251011_0시'!$A$1:$M$200,5,FALSE)</f>
        <v>100</v>
      </c>
      <c r="Q91" s="5">
        <f t="shared" si="67"/>
        <v>134976</v>
      </c>
      <c r="R91" s="5">
        <f t="shared" si="68"/>
        <v>-12806</v>
      </c>
      <c r="S91" s="5">
        <f t="shared" si="69"/>
        <v>0</v>
      </c>
      <c r="T91" s="5">
        <f>VLOOKUP($B91,'251012_0시'!$A$1:$M$200,4,FALSE)</f>
        <v>726125</v>
      </c>
      <c r="U91" s="5">
        <f>VLOOKUP($B91,'251012_0시'!$A$1:$M$200,5,FALSE)</f>
        <v>100</v>
      </c>
      <c r="V91" s="5">
        <f t="shared" si="70"/>
        <v>116187</v>
      </c>
      <c r="W91" s="5">
        <f t="shared" si="71"/>
        <v>-18789</v>
      </c>
      <c r="X91" s="5">
        <f t="shared" si="72"/>
        <v>0</v>
      </c>
      <c r="Y91" s="5">
        <f>VLOOKUP($B91,'251013_0시'!$A$1:$M$200,4,FALSE)</f>
        <v>864925</v>
      </c>
      <c r="Z91" s="5">
        <f>VLOOKUP($B91,'251013_0시'!$A$1:$M$200,5,FALSE)</f>
        <v>100</v>
      </c>
      <c r="AA91" s="5">
        <f t="shared" si="73"/>
        <v>138800</v>
      </c>
      <c r="AB91" s="5">
        <f t="shared" si="74"/>
        <v>22613</v>
      </c>
      <c r="AC91" s="5">
        <f t="shared" si="75"/>
        <v>0</v>
      </c>
      <c r="AD91" s="5">
        <f>VLOOKUP($B91,'251013_0시'!$A$1:$M$200,4,FALSE)</f>
        <v>864925</v>
      </c>
      <c r="AF91" s="5" t="s">
        <v>829</v>
      </c>
      <c r="AG91" s="5">
        <f>VLOOKUP($AF91,'251013'!$A$1:$M$200,4,FALSE)</f>
        <v>103721</v>
      </c>
      <c r="AH91" s="5">
        <f>VLOOKUP($AF91,'251013'!$A$1:$M$200,5,FALSE)</f>
        <v>0</v>
      </c>
      <c r="AI91" s="5">
        <f>VLOOKUP($AF91,'251014'!$A$1:$M$200,4,FALSE)</f>
        <v>254782</v>
      </c>
      <c r="AJ91" s="5">
        <f>VLOOKUP($AF91,'251014'!$A$1:$M$200,5,FALSE)</f>
        <v>0</v>
      </c>
      <c r="AK91" s="5">
        <f t="shared" si="76"/>
        <v>151061</v>
      </c>
      <c r="AL91" s="5">
        <f t="shared" si="77"/>
        <v>47340</v>
      </c>
      <c r="AM91" s="5">
        <f t="shared" si="78"/>
        <v>0</v>
      </c>
      <c r="AN91" s="5">
        <f>VLOOKUP($AF91,'251015'!$A$1:$M$200,4,FALSE)</f>
        <v>396056</v>
      </c>
      <c r="AO91" s="5">
        <f>VLOOKUP($AF91,'251015'!$A$1:$M$200,5,FALSE)</f>
        <v>0</v>
      </c>
      <c r="AP91" s="5">
        <f t="shared" si="79"/>
        <v>141274</v>
      </c>
      <c r="AQ91" s="5">
        <f t="shared" si="80"/>
        <v>-9787</v>
      </c>
      <c r="AR91" s="5">
        <f t="shared" si="81"/>
        <v>0</v>
      </c>
      <c r="AS91" s="5">
        <f>VLOOKUP($AF91,'251016'!$A$1:$M$200,4,FALSE)</f>
        <v>553291</v>
      </c>
      <c r="AT91" s="5">
        <f>VLOOKUP($AF91,'251016'!$A$1:$M$200,5,FALSE)</f>
        <v>0</v>
      </c>
      <c r="AU91" s="5">
        <f t="shared" si="82"/>
        <v>157235</v>
      </c>
      <c r="AV91" s="5">
        <f t="shared" si="83"/>
        <v>15961</v>
      </c>
      <c r="AW91" s="5">
        <f t="shared" si="84"/>
        <v>0</v>
      </c>
      <c r="AX91" s="5">
        <f>VLOOKUP($AF91,'251017'!$A$1:$M$200,4,FALSE)</f>
        <v>661153</v>
      </c>
      <c r="AY91" s="5">
        <f>VLOOKUP($AF91,'251017'!$A$1:$M$200,5,FALSE)</f>
        <v>1400</v>
      </c>
      <c r="AZ91" s="5">
        <f t="shared" si="85"/>
        <v>107862</v>
      </c>
      <c r="BA91" s="5">
        <f t="shared" si="86"/>
        <v>-49373</v>
      </c>
      <c r="BB91" s="5">
        <f t="shared" si="87"/>
        <v>1400</v>
      </c>
      <c r="BC91" s="5">
        <f>VLOOKUP($AF91,'251018'!$A$1:$M$200,4,FALSE)</f>
        <v>818496</v>
      </c>
      <c r="BD91" s="5">
        <f>VLOOKUP($AF91,'251018'!$A$1:$M$200,5,FALSE)</f>
        <v>1400</v>
      </c>
      <c r="BE91" s="5">
        <f t="shared" si="88"/>
        <v>157343</v>
      </c>
      <c r="BF91" s="5">
        <f t="shared" si="89"/>
        <v>49481</v>
      </c>
      <c r="BG91" s="5">
        <f t="shared" si="90"/>
        <v>0</v>
      </c>
      <c r="BH91" s="5">
        <f>VLOOKUP($AF91,'251018'!$A$1:$M$200,4,FALSE)</f>
        <v>818496</v>
      </c>
    </row>
    <row r="92" spans="1:60" x14ac:dyDescent="0.3">
      <c r="B92" s="5" t="s">
        <v>834</v>
      </c>
      <c r="C92" s="5">
        <f>VLOOKUP($B92,'251008_0시'!$A$1:$M$200,4,FALSE)</f>
        <v>235077</v>
      </c>
      <c r="D92" s="5">
        <f>VLOOKUP($B92,'251008_0시'!$A$1:$M$200,5,FALSE)</f>
        <v>400</v>
      </c>
      <c r="E92" s="5">
        <f>VLOOKUP($B92,'251009_0시'!$A$1:$M$200,4,FALSE)</f>
        <v>344592</v>
      </c>
      <c r="F92" s="5">
        <f>VLOOKUP($B92,'251009_0시'!$A$1:$M$200,5,FALSE)</f>
        <v>400</v>
      </c>
      <c r="G92" s="5">
        <f t="shared" si="61"/>
        <v>109515</v>
      </c>
      <c r="H92" s="5">
        <f t="shared" si="62"/>
        <v>-8023.5</v>
      </c>
      <c r="I92" s="5">
        <f t="shared" si="63"/>
        <v>0</v>
      </c>
      <c r="J92" s="5">
        <f>VLOOKUP($B92,'251010_0시'!$A$1:$M$200,4,FALSE)</f>
        <v>462440</v>
      </c>
      <c r="K92" s="5">
        <f>VLOOKUP($B92,'251010_0시'!$A$1:$M$200,5,FALSE)</f>
        <v>602</v>
      </c>
      <c r="L92" s="5">
        <f t="shared" si="64"/>
        <v>117848</v>
      </c>
      <c r="M92" s="5">
        <f t="shared" si="65"/>
        <v>8333</v>
      </c>
      <c r="N92" s="5">
        <f t="shared" si="66"/>
        <v>202</v>
      </c>
      <c r="O92" s="5">
        <f>VLOOKUP($B92,'251011_0시'!$A$1:$M$200,4,FALSE)</f>
        <v>595498</v>
      </c>
      <c r="P92" s="5">
        <f>VLOOKUP($B92,'251011_0시'!$A$1:$M$200,5,FALSE)</f>
        <v>602</v>
      </c>
      <c r="Q92" s="5">
        <f t="shared" si="67"/>
        <v>133058</v>
      </c>
      <c r="R92" s="5">
        <f t="shared" si="68"/>
        <v>15210</v>
      </c>
      <c r="S92" s="5">
        <f t="shared" si="69"/>
        <v>0</v>
      </c>
      <c r="T92" s="5">
        <f>VLOOKUP($B92,'251012_0시'!$A$1:$M$200,4,FALSE)</f>
        <v>743788</v>
      </c>
      <c r="U92" s="5">
        <f>VLOOKUP($B92,'251012_0시'!$A$1:$M$200,5,FALSE)</f>
        <v>602</v>
      </c>
      <c r="V92" s="5">
        <f t="shared" si="70"/>
        <v>148290</v>
      </c>
      <c r="W92" s="5">
        <f t="shared" si="71"/>
        <v>15232</v>
      </c>
      <c r="X92" s="5">
        <f t="shared" si="72"/>
        <v>0</v>
      </c>
      <c r="Y92" s="5">
        <f>VLOOKUP($B92,'251013_0시'!$A$1:$M$200,4,FALSE)</f>
        <v>860564</v>
      </c>
      <c r="Z92" s="5">
        <f>VLOOKUP($B92,'251013_0시'!$A$1:$M$200,5,FALSE)</f>
        <v>602</v>
      </c>
      <c r="AA92" s="5">
        <f t="shared" si="73"/>
        <v>116776</v>
      </c>
      <c r="AB92" s="5">
        <f t="shared" si="74"/>
        <v>-31514</v>
      </c>
      <c r="AC92" s="5">
        <f t="shared" si="75"/>
        <v>0</v>
      </c>
      <c r="AD92" s="5">
        <f>VLOOKUP($B92,'251013_0시'!$A$1:$M$200,4,FALSE)</f>
        <v>860564</v>
      </c>
      <c r="AF92" s="5" t="s">
        <v>811</v>
      </c>
      <c r="AG92" s="5">
        <f>VLOOKUP($AF92,'251013'!$A$1:$M$200,4,FALSE)</f>
        <v>91426</v>
      </c>
      <c r="AH92" s="5">
        <f>VLOOKUP($AF92,'251013'!$A$1:$M$200,5,FALSE)</f>
        <v>0</v>
      </c>
      <c r="AI92" s="5">
        <f>VLOOKUP($AF92,'251014'!$A$1:$M$200,4,FALSE)</f>
        <v>197915</v>
      </c>
      <c r="AJ92" s="5">
        <f>VLOOKUP($AF92,'251014'!$A$1:$M$200,5,FALSE)</f>
        <v>1350</v>
      </c>
      <c r="AK92" s="5">
        <f t="shared" si="76"/>
        <v>106489</v>
      </c>
      <c r="AL92" s="5">
        <f t="shared" si="77"/>
        <v>15063</v>
      </c>
      <c r="AM92" s="5">
        <f t="shared" si="78"/>
        <v>1350</v>
      </c>
      <c r="AN92" s="5">
        <f>VLOOKUP($AF92,'251015'!$A$1:$M$200,4,FALSE)</f>
        <v>353403</v>
      </c>
      <c r="AO92" s="5">
        <f>VLOOKUP($AF92,'251015'!$A$1:$M$200,5,FALSE)</f>
        <v>3150</v>
      </c>
      <c r="AP92" s="5">
        <f t="shared" si="79"/>
        <v>155488</v>
      </c>
      <c r="AQ92" s="5">
        <f t="shared" si="80"/>
        <v>48999</v>
      </c>
      <c r="AR92" s="5">
        <f t="shared" si="81"/>
        <v>1800</v>
      </c>
      <c r="AS92" s="5">
        <f>VLOOKUP($AF92,'251016'!$A$1:$M$200,4,FALSE)</f>
        <v>497306</v>
      </c>
      <c r="AT92" s="5">
        <f>VLOOKUP($AF92,'251016'!$A$1:$M$200,5,FALSE)</f>
        <v>4500</v>
      </c>
      <c r="AU92" s="5">
        <f t="shared" si="82"/>
        <v>143903</v>
      </c>
      <c r="AV92" s="5">
        <f t="shared" si="83"/>
        <v>-11585</v>
      </c>
      <c r="AW92" s="5">
        <f t="shared" si="84"/>
        <v>1350</v>
      </c>
      <c r="AX92" s="5">
        <f>VLOOKUP($AF92,'251017'!$A$1:$M$200,4,FALSE)</f>
        <v>654569</v>
      </c>
      <c r="AY92" s="5">
        <f>VLOOKUP($AF92,'251017'!$A$1:$M$200,5,FALSE)</f>
        <v>4601</v>
      </c>
      <c r="AZ92" s="5">
        <f t="shared" si="85"/>
        <v>157263</v>
      </c>
      <c r="BA92" s="5">
        <f t="shared" si="86"/>
        <v>13360</v>
      </c>
      <c r="BB92" s="5">
        <f t="shared" si="87"/>
        <v>101</v>
      </c>
      <c r="BC92" s="5">
        <f>VLOOKUP($AF92,'251018'!$A$1:$M$200,4,FALSE)</f>
        <v>814528</v>
      </c>
      <c r="BD92" s="5">
        <f>VLOOKUP($AF92,'251018'!$A$1:$M$200,5,FALSE)</f>
        <v>4651</v>
      </c>
      <c r="BE92" s="5">
        <f t="shared" si="88"/>
        <v>159959</v>
      </c>
      <c r="BF92" s="5">
        <f t="shared" si="89"/>
        <v>2696</v>
      </c>
      <c r="BG92" s="5">
        <f t="shared" si="90"/>
        <v>50</v>
      </c>
      <c r="BH92" s="5">
        <f>VLOOKUP($AF92,'251018'!$A$1:$M$200,4,FALSE)</f>
        <v>814528</v>
      </c>
    </row>
    <row r="93" spans="1:60" x14ac:dyDescent="0.3">
      <c r="A93" t="s">
        <v>700</v>
      </c>
      <c r="B93" s="5" t="s">
        <v>768</v>
      </c>
      <c r="C93" s="5">
        <f>VLOOKUP($B93,'251008_0시'!$A$1:$M$200,4,FALSE)</f>
        <v>179282</v>
      </c>
      <c r="D93" s="5">
        <f>VLOOKUP($B93,'251008_0시'!$A$1:$M$200,5,FALSE)</f>
        <v>350</v>
      </c>
      <c r="E93" s="5">
        <f>VLOOKUP($B93,'251009_0시'!$A$1:$M$200,4,FALSE)</f>
        <v>349498</v>
      </c>
      <c r="F93" s="5">
        <f>VLOOKUP($B93,'251009_0시'!$A$1:$M$200,5,FALSE)</f>
        <v>350</v>
      </c>
      <c r="G93" s="5">
        <f t="shared" si="61"/>
        <v>170216</v>
      </c>
      <c r="H93" s="5">
        <f t="shared" si="62"/>
        <v>80575</v>
      </c>
      <c r="I93" s="5">
        <f t="shared" si="63"/>
        <v>0</v>
      </c>
      <c r="J93" s="5">
        <f>VLOOKUP($B93,'251010_0시'!$A$1:$M$200,4,FALSE)</f>
        <v>470152</v>
      </c>
      <c r="K93" s="5">
        <f>VLOOKUP($B93,'251010_0시'!$A$1:$M$200,5,FALSE)</f>
        <v>350</v>
      </c>
      <c r="L93" s="5">
        <f t="shared" si="64"/>
        <v>120654</v>
      </c>
      <c r="M93" s="5">
        <f t="shared" si="65"/>
        <v>-49562</v>
      </c>
      <c r="N93" s="5">
        <f t="shared" si="66"/>
        <v>0</v>
      </c>
      <c r="O93" s="5">
        <f>VLOOKUP($B93,'251011_0시'!$A$1:$M$200,4,FALSE)</f>
        <v>593096</v>
      </c>
      <c r="P93" s="5">
        <f>VLOOKUP($B93,'251011_0시'!$A$1:$M$200,5,FALSE)</f>
        <v>350</v>
      </c>
      <c r="Q93" s="5">
        <f t="shared" si="67"/>
        <v>122944</v>
      </c>
      <c r="R93" s="5">
        <f t="shared" si="68"/>
        <v>2290</v>
      </c>
      <c r="S93" s="5">
        <f t="shared" si="69"/>
        <v>0</v>
      </c>
      <c r="T93" s="5">
        <f>VLOOKUP($B93,'251012_0시'!$A$1:$M$200,4,FALSE)</f>
        <v>756222</v>
      </c>
      <c r="U93" s="5">
        <f>VLOOKUP($B93,'251012_0시'!$A$1:$M$200,5,FALSE)</f>
        <v>350</v>
      </c>
      <c r="V93" s="5">
        <f t="shared" si="70"/>
        <v>163126</v>
      </c>
      <c r="W93" s="5">
        <f t="shared" si="71"/>
        <v>40182</v>
      </c>
      <c r="X93" s="5">
        <f t="shared" si="72"/>
        <v>0</v>
      </c>
      <c r="Y93" s="5">
        <f>VLOOKUP($B93,'251013_0시'!$A$1:$M$200,4,FALSE)</f>
        <v>854404</v>
      </c>
      <c r="Z93" s="5">
        <f>VLOOKUP($B93,'251013_0시'!$A$1:$M$200,5,FALSE)</f>
        <v>350</v>
      </c>
      <c r="AA93" s="5">
        <f t="shared" si="73"/>
        <v>98182</v>
      </c>
      <c r="AB93" s="5">
        <f t="shared" si="74"/>
        <v>-64944</v>
      </c>
      <c r="AC93" s="5">
        <f t="shared" si="75"/>
        <v>0</v>
      </c>
      <c r="AD93" s="5">
        <f>VLOOKUP($B93,'251013_0시'!$A$1:$M$200,4,FALSE)</f>
        <v>854404</v>
      </c>
      <c r="AF93" s="5" t="s">
        <v>796</v>
      </c>
      <c r="AG93" s="5">
        <f>VLOOKUP($AF93,'251013'!$A$1:$M$200,4,FALSE)</f>
        <v>154154</v>
      </c>
      <c r="AH93" s="5">
        <f>VLOOKUP($AF93,'251013'!$A$1:$M$200,5,FALSE)</f>
        <v>4950</v>
      </c>
      <c r="AI93" s="5">
        <f>VLOOKUP($AF93,'251014'!$A$1:$M$200,4,FALSE)</f>
        <v>277658</v>
      </c>
      <c r="AJ93" s="5">
        <f>VLOOKUP($AF93,'251014'!$A$1:$M$200,5,FALSE)</f>
        <v>8550</v>
      </c>
      <c r="AK93" s="5">
        <f t="shared" si="76"/>
        <v>123504</v>
      </c>
      <c r="AL93" s="5">
        <f t="shared" si="77"/>
        <v>-30650</v>
      </c>
      <c r="AM93" s="5">
        <f t="shared" si="78"/>
        <v>3600</v>
      </c>
      <c r="AN93" s="5">
        <f>VLOOKUP($AF93,'251015'!$A$1:$M$200,4,FALSE)</f>
        <v>396685</v>
      </c>
      <c r="AO93" s="5">
        <f>VLOOKUP($AF93,'251015'!$A$1:$M$200,5,FALSE)</f>
        <v>9000</v>
      </c>
      <c r="AP93" s="5">
        <f t="shared" si="79"/>
        <v>119027</v>
      </c>
      <c r="AQ93" s="5">
        <f t="shared" si="80"/>
        <v>-4477</v>
      </c>
      <c r="AR93" s="5">
        <f t="shared" si="81"/>
        <v>450</v>
      </c>
      <c r="AS93" s="5">
        <f>VLOOKUP($AF93,'251016'!$A$1:$M$200,4,FALSE)</f>
        <v>553589</v>
      </c>
      <c r="AT93" s="5">
        <f>VLOOKUP($AF93,'251016'!$A$1:$M$200,5,FALSE)</f>
        <v>12150</v>
      </c>
      <c r="AU93" s="5">
        <f t="shared" si="82"/>
        <v>156904</v>
      </c>
      <c r="AV93" s="5">
        <f t="shared" si="83"/>
        <v>37877</v>
      </c>
      <c r="AW93" s="5">
        <f t="shared" si="84"/>
        <v>3150</v>
      </c>
      <c r="AX93" s="5">
        <f>VLOOKUP($AF93,'251017'!$A$1:$M$200,4,FALSE)</f>
        <v>696950</v>
      </c>
      <c r="AY93" s="5">
        <f>VLOOKUP($AF93,'251017'!$A$1:$M$200,5,FALSE)</f>
        <v>12338</v>
      </c>
      <c r="AZ93" s="5">
        <f t="shared" si="85"/>
        <v>143361</v>
      </c>
      <c r="BA93" s="5">
        <f t="shared" si="86"/>
        <v>-13543</v>
      </c>
      <c r="BB93" s="5">
        <f t="shared" si="87"/>
        <v>188</v>
      </c>
      <c r="BC93" s="5">
        <f>VLOOKUP($AF93,'251018'!$A$1:$M$200,4,FALSE)</f>
        <v>810122</v>
      </c>
      <c r="BD93" s="5">
        <f>VLOOKUP($AF93,'251018'!$A$1:$M$200,5,FALSE)</f>
        <v>12338</v>
      </c>
      <c r="BE93" s="5">
        <f t="shared" si="88"/>
        <v>113172</v>
      </c>
      <c r="BF93" s="5">
        <f t="shared" si="89"/>
        <v>-30189</v>
      </c>
      <c r="BG93" s="5">
        <f t="shared" si="90"/>
        <v>0</v>
      </c>
      <c r="BH93" s="5">
        <f>VLOOKUP($AF93,'251018'!$A$1:$M$200,4,FALSE)</f>
        <v>810122</v>
      </c>
    </row>
    <row r="94" spans="1:60" x14ac:dyDescent="0.3">
      <c r="B94" s="5" t="s">
        <v>813</v>
      </c>
      <c r="C94" s="5">
        <f>VLOOKUP($B94,'251008_0시'!$A$1:$M$200,4,FALSE)</f>
        <v>266429</v>
      </c>
      <c r="D94" s="5">
        <f>VLOOKUP($B94,'251008_0시'!$A$1:$M$200,5,FALSE)</f>
        <v>0</v>
      </c>
      <c r="E94" s="5">
        <f>VLOOKUP($B94,'251009_0시'!$A$1:$M$200,4,FALSE)</f>
        <v>390059</v>
      </c>
      <c r="F94" s="5">
        <f>VLOOKUP($B94,'251009_0시'!$A$1:$M$200,5,FALSE)</f>
        <v>0</v>
      </c>
      <c r="G94" s="5">
        <f t="shared" si="61"/>
        <v>123630</v>
      </c>
      <c r="H94" s="5">
        <f t="shared" si="62"/>
        <v>-9584.5</v>
      </c>
      <c r="I94" s="5">
        <f t="shared" si="63"/>
        <v>0</v>
      </c>
      <c r="J94" s="5">
        <f>VLOOKUP($B94,'251010_0시'!$A$1:$M$200,4,FALSE)</f>
        <v>514449</v>
      </c>
      <c r="K94" s="5">
        <f>VLOOKUP($B94,'251010_0시'!$A$1:$M$200,5,FALSE)</f>
        <v>202</v>
      </c>
      <c r="L94" s="5">
        <f t="shared" si="64"/>
        <v>124390</v>
      </c>
      <c r="M94" s="5">
        <f t="shared" si="65"/>
        <v>760</v>
      </c>
      <c r="N94" s="5">
        <f t="shared" si="66"/>
        <v>202</v>
      </c>
      <c r="O94" s="5">
        <f>VLOOKUP($B94,'251011_0시'!$A$1:$M$200,4,FALSE)</f>
        <v>671822</v>
      </c>
      <c r="P94" s="5">
        <f>VLOOKUP($B94,'251011_0시'!$A$1:$M$200,5,FALSE)</f>
        <v>202</v>
      </c>
      <c r="Q94" s="5">
        <f t="shared" si="67"/>
        <v>157373</v>
      </c>
      <c r="R94" s="5">
        <f t="shared" si="68"/>
        <v>32983</v>
      </c>
      <c r="S94" s="5">
        <f t="shared" si="69"/>
        <v>0</v>
      </c>
      <c r="T94" s="5">
        <f>VLOOKUP($B94,'251012_0시'!$A$1:$M$200,4,FALSE)</f>
        <v>765419</v>
      </c>
      <c r="U94" s="5">
        <f>VLOOKUP($B94,'251012_0시'!$A$1:$M$200,5,FALSE)</f>
        <v>202</v>
      </c>
      <c r="V94" s="5">
        <f t="shared" si="70"/>
        <v>93597</v>
      </c>
      <c r="W94" s="5">
        <f t="shared" si="71"/>
        <v>-63776</v>
      </c>
      <c r="X94" s="5">
        <f t="shared" si="72"/>
        <v>0</v>
      </c>
      <c r="Y94" s="5">
        <f>VLOOKUP($B94,'251013_0시'!$A$1:$M$200,4,FALSE)</f>
        <v>851242</v>
      </c>
      <c r="Z94" s="5">
        <f>VLOOKUP($B94,'251013_0시'!$A$1:$M$200,5,FALSE)</f>
        <v>202</v>
      </c>
      <c r="AA94" s="5">
        <f t="shared" si="73"/>
        <v>85823</v>
      </c>
      <c r="AB94" s="5">
        <f t="shared" si="74"/>
        <v>-7774</v>
      </c>
      <c r="AC94" s="5">
        <f t="shared" si="75"/>
        <v>0</v>
      </c>
      <c r="AD94" s="5">
        <f>VLOOKUP($B94,'251013_0시'!$A$1:$M$200,4,FALSE)</f>
        <v>851242</v>
      </c>
      <c r="AF94" s="5" t="s">
        <v>787</v>
      </c>
      <c r="AG94" s="5">
        <f>VLOOKUP($AF94,'251013'!$A$1:$M$200,4,FALSE)</f>
        <v>123262</v>
      </c>
      <c r="AH94" s="5">
        <f>VLOOKUP($AF94,'251013'!$A$1:$M$200,5,FALSE)</f>
        <v>0</v>
      </c>
      <c r="AI94" s="5">
        <f>VLOOKUP($AF94,'251014'!$A$1:$M$200,4,FALSE)</f>
        <v>269758</v>
      </c>
      <c r="AJ94" s="5">
        <f>VLOOKUP($AF94,'251014'!$A$1:$M$200,5,FALSE)</f>
        <v>0</v>
      </c>
      <c r="AK94" s="5">
        <f t="shared" si="76"/>
        <v>146496</v>
      </c>
      <c r="AL94" s="5">
        <f t="shared" si="77"/>
        <v>23234</v>
      </c>
      <c r="AM94" s="5">
        <f t="shared" si="78"/>
        <v>0</v>
      </c>
      <c r="AN94" s="5">
        <f>VLOOKUP($AF94,'251015'!$A$1:$M$200,4,FALSE)</f>
        <v>335003</v>
      </c>
      <c r="AO94" s="5">
        <f>VLOOKUP($AF94,'251015'!$A$1:$M$200,5,FALSE)</f>
        <v>0</v>
      </c>
      <c r="AP94" s="5">
        <f t="shared" si="79"/>
        <v>65245</v>
      </c>
      <c r="AQ94" s="5">
        <f t="shared" si="80"/>
        <v>-81251</v>
      </c>
      <c r="AR94" s="5">
        <f t="shared" si="81"/>
        <v>0</v>
      </c>
      <c r="AS94" s="5">
        <f>VLOOKUP($AF94,'251016'!$A$1:$M$200,4,FALSE)</f>
        <v>441809</v>
      </c>
      <c r="AT94" s="5">
        <f>VLOOKUP($AF94,'251016'!$A$1:$M$200,5,FALSE)</f>
        <v>3150</v>
      </c>
      <c r="AU94" s="5">
        <f t="shared" si="82"/>
        <v>106806</v>
      </c>
      <c r="AV94" s="5">
        <f t="shared" si="83"/>
        <v>41561</v>
      </c>
      <c r="AW94" s="5">
        <f t="shared" si="84"/>
        <v>3150</v>
      </c>
      <c r="AX94" s="5">
        <f>VLOOKUP($AF94,'251017'!$A$1:$M$200,4,FALSE)</f>
        <v>639423</v>
      </c>
      <c r="AY94" s="5">
        <f>VLOOKUP($AF94,'251017'!$A$1:$M$200,5,FALSE)</f>
        <v>5400</v>
      </c>
      <c r="AZ94" s="5">
        <f t="shared" si="85"/>
        <v>197614</v>
      </c>
      <c r="BA94" s="5">
        <f t="shared" si="86"/>
        <v>90808</v>
      </c>
      <c r="BB94" s="5">
        <f t="shared" si="87"/>
        <v>2250</v>
      </c>
      <c r="BC94" s="5">
        <f>VLOOKUP($AF94,'251018'!$A$1:$M$200,4,FALSE)</f>
        <v>807824</v>
      </c>
      <c r="BD94" s="5">
        <f>VLOOKUP($AF94,'251018'!$A$1:$M$200,5,FALSE)</f>
        <v>5400</v>
      </c>
      <c r="BE94" s="5">
        <f t="shared" si="88"/>
        <v>168401</v>
      </c>
      <c r="BF94" s="5">
        <f t="shared" si="89"/>
        <v>-29213</v>
      </c>
      <c r="BG94" s="5">
        <f t="shared" si="90"/>
        <v>0</v>
      </c>
      <c r="BH94" s="5">
        <f>VLOOKUP($AF94,'251018'!$A$1:$M$200,4,FALSE)</f>
        <v>807824</v>
      </c>
    </row>
    <row r="95" spans="1:60" x14ac:dyDescent="0.3">
      <c r="B95" s="5" t="s">
        <v>811</v>
      </c>
      <c r="C95" s="5">
        <f>VLOOKUP($B95,'251008_0시'!$A$1:$M$200,4,FALSE)</f>
        <v>180279</v>
      </c>
      <c r="D95" s="5">
        <f>VLOOKUP($B95,'251008_0시'!$A$1:$M$200,5,FALSE)</f>
        <v>100</v>
      </c>
      <c r="E95" s="5">
        <f>VLOOKUP($B95,'251009_0시'!$A$1:$M$200,4,FALSE)</f>
        <v>371615</v>
      </c>
      <c r="F95" s="5">
        <f>VLOOKUP($B95,'251009_0시'!$A$1:$M$200,5,FALSE)</f>
        <v>550</v>
      </c>
      <c r="G95" s="5">
        <f t="shared" si="61"/>
        <v>191336</v>
      </c>
      <c r="H95" s="5">
        <f t="shared" si="62"/>
        <v>101196.5</v>
      </c>
      <c r="I95" s="5">
        <f t="shared" si="63"/>
        <v>450</v>
      </c>
      <c r="J95" s="5">
        <f>VLOOKUP($B95,'251010_0시'!$A$1:$M$200,4,FALSE)</f>
        <v>483195</v>
      </c>
      <c r="K95" s="5">
        <f>VLOOKUP($B95,'251010_0시'!$A$1:$M$200,5,FALSE)</f>
        <v>550</v>
      </c>
      <c r="L95" s="5">
        <f t="shared" si="64"/>
        <v>111580</v>
      </c>
      <c r="M95" s="5">
        <f t="shared" si="65"/>
        <v>-79756</v>
      </c>
      <c r="N95" s="5">
        <f t="shared" si="66"/>
        <v>0</v>
      </c>
      <c r="O95" s="5">
        <f>VLOOKUP($B95,'251011_0시'!$A$1:$M$200,4,FALSE)</f>
        <v>645275</v>
      </c>
      <c r="P95" s="5">
        <f>VLOOKUP($B95,'251011_0시'!$A$1:$M$200,5,FALSE)</f>
        <v>1050</v>
      </c>
      <c r="Q95" s="5">
        <f t="shared" si="67"/>
        <v>162080</v>
      </c>
      <c r="R95" s="5">
        <f t="shared" si="68"/>
        <v>50500</v>
      </c>
      <c r="S95" s="5">
        <f t="shared" si="69"/>
        <v>500</v>
      </c>
      <c r="T95" s="5">
        <f>VLOOKUP($B95,'251012_0시'!$A$1:$M$200,4,FALSE)</f>
        <v>721872</v>
      </c>
      <c r="U95" s="5">
        <f>VLOOKUP($B95,'251012_0시'!$A$1:$M$200,5,FALSE)</f>
        <v>1050</v>
      </c>
      <c r="V95" s="5">
        <f t="shared" si="70"/>
        <v>76597</v>
      </c>
      <c r="W95" s="5">
        <f t="shared" si="71"/>
        <v>-85483</v>
      </c>
      <c r="X95" s="5">
        <f t="shared" si="72"/>
        <v>0</v>
      </c>
      <c r="Y95" s="5">
        <f>VLOOKUP($B95,'251013_0시'!$A$1:$M$200,4,FALSE)</f>
        <v>848999</v>
      </c>
      <c r="Z95" s="5">
        <f>VLOOKUP($B95,'251013_0시'!$A$1:$M$200,5,FALSE)</f>
        <v>1950</v>
      </c>
      <c r="AA95" s="5">
        <f t="shared" si="73"/>
        <v>127127</v>
      </c>
      <c r="AB95" s="5">
        <f t="shared" si="74"/>
        <v>50530</v>
      </c>
      <c r="AC95" s="5">
        <f t="shared" si="75"/>
        <v>900</v>
      </c>
      <c r="AD95" s="5">
        <f>VLOOKUP($B95,'251013_0시'!$A$1:$M$200,4,FALSE)</f>
        <v>848999</v>
      </c>
      <c r="AF95" s="5" t="s">
        <v>768</v>
      </c>
      <c r="AG95" s="5">
        <f>VLOOKUP($AF95,'251013'!$A$1:$M$200,4,FALSE)</f>
        <v>158714</v>
      </c>
      <c r="AH95" s="5">
        <f>VLOOKUP($AF95,'251013'!$A$1:$M$200,5,FALSE)</f>
        <v>0</v>
      </c>
      <c r="AI95" s="5">
        <f>VLOOKUP($AF95,'251014'!$A$1:$M$200,4,FALSE)</f>
        <v>299473</v>
      </c>
      <c r="AJ95" s="5">
        <f>VLOOKUP($AF95,'251014'!$A$1:$M$200,5,FALSE)</f>
        <v>0</v>
      </c>
      <c r="AK95" s="5">
        <f t="shared" si="76"/>
        <v>140759</v>
      </c>
      <c r="AL95" s="5">
        <f t="shared" si="77"/>
        <v>-17955</v>
      </c>
      <c r="AM95" s="5">
        <f t="shared" si="78"/>
        <v>0</v>
      </c>
      <c r="AN95" s="5">
        <f>VLOOKUP($AF95,'251015'!$A$1:$M$200,4,FALSE)</f>
        <v>412729</v>
      </c>
      <c r="AO95" s="5">
        <f>VLOOKUP($AF95,'251015'!$A$1:$M$200,5,FALSE)</f>
        <v>0</v>
      </c>
      <c r="AP95" s="5">
        <f t="shared" si="79"/>
        <v>113256</v>
      </c>
      <c r="AQ95" s="5">
        <f t="shared" si="80"/>
        <v>-27503</v>
      </c>
      <c r="AR95" s="5">
        <f t="shared" si="81"/>
        <v>0</v>
      </c>
      <c r="AS95" s="5">
        <f>VLOOKUP($AF95,'251016'!$A$1:$M$200,4,FALSE)</f>
        <v>543073</v>
      </c>
      <c r="AT95" s="5">
        <f>VLOOKUP($AF95,'251016'!$A$1:$M$200,5,FALSE)</f>
        <v>0</v>
      </c>
      <c r="AU95" s="5">
        <f t="shared" si="82"/>
        <v>130344</v>
      </c>
      <c r="AV95" s="5">
        <f t="shared" si="83"/>
        <v>17088</v>
      </c>
      <c r="AW95" s="5">
        <f t="shared" si="84"/>
        <v>0</v>
      </c>
      <c r="AX95" s="5">
        <f>VLOOKUP($AF95,'251017'!$A$1:$M$200,4,FALSE)</f>
        <v>704586</v>
      </c>
      <c r="AY95" s="5">
        <f>VLOOKUP($AF95,'251017'!$A$1:$M$200,5,FALSE)</f>
        <v>0</v>
      </c>
      <c r="AZ95" s="5">
        <f t="shared" si="85"/>
        <v>161513</v>
      </c>
      <c r="BA95" s="5">
        <f t="shared" si="86"/>
        <v>31169</v>
      </c>
      <c r="BB95" s="5">
        <f t="shared" si="87"/>
        <v>0</v>
      </c>
      <c r="BC95" s="5">
        <f>VLOOKUP($AF95,'251018'!$A$1:$M$200,4,FALSE)</f>
        <v>805216</v>
      </c>
      <c r="BD95" s="5">
        <f>VLOOKUP($AF95,'251018'!$A$1:$M$200,5,FALSE)</f>
        <v>0</v>
      </c>
      <c r="BE95" s="5">
        <f t="shared" si="88"/>
        <v>100630</v>
      </c>
      <c r="BF95" s="5">
        <f t="shared" si="89"/>
        <v>-60883</v>
      </c>
      <c r="BG95" s="5">
        <f t="shared" si="90"/>
        <v>0</v>
      </c>
      <c r="BH95" s="5">
        <f>VLOOKUP($AF95,'251018'!$A$1:$M$200,4,FALSE)</f>
        <v>805216</v>
      </c>
    </row>
    <row r="96" spans="1:60" x14ac:dyDescent="0.3">
      <c r="B96" s="5" t="s">
        <v>865</v>
      </c>
      <c r="C96" s="5">
        <f>VLOOKUP($B96,'251008_0시'!$A$1:$M$200,4,FALSE)</f>
        <v>177235</v>
      </c>
      <c r="D96" s="5">
        <f>VLOOKUP($B96,'251008_0시'!$A$1:$M$200,5,FALSE)</f>
        <v>350</v>
      </c>
      <c r="E96" s="5">
        <f>VLOOKUP($B96,'251009_0시'!$A$1:$M$200,4,FALSE)</f>
        <v>326044</v>
      </c>
      <c r="F96" s="5">
        <f>VLOOKUP($B96,'251009_0시'!$A$1:$M$200,5,FALSE)</f>
        <v>350</v>
      </c>
      <c r="G96" s="5">
        <f t="shared" si="61"/>
        <v>148809</v>
      </c>
      <c r="H96" s="5">
        <f t="shared" si="62"/>
        <v>60191.5</v>
      </c>
      <c r="I96" s="5">
        <f t="shared" si="63"/>
        <v>0</v>
      </c>
      <c r="J96" s="5">
        <f>VLOOKUP($B96,'251010_0시'!$A$1:$M$200,4,FALSE)</f>
        <v>443334</v>
      </c>
      <c r="K96" s="5">
        <f>VLOOKUP($B96,'251010_0시'!$A$1:$M$200,5,FALSE)</f>
        <v>350</v>
      </c>
      <c r="L96" s="5">
        <f t="shared" si="64"/>
        <v>117290</v>
      </c>
      <c r="M96" s="5">
        <f t="shared" si="65"/>
        <v>-31519</v>
      </c>
      <c r="N96" s="5">
        <f t="shared" si="66"/>
        <v>0</v>
      </c>
      <c r="O96" s="5">
        <f>VLOOKUP($B96,'251011_0시'!$A$1:$M$200,4,FALSE)</f>
        <v>574392</v>
      </c>
      <c r="P96" s="5">
        <f>VLOOKUP($B96,'251011_0시'!$A$1:$M$200,5,FALSE)</f>
        <v>350</v>
      </c>
      <c r="Q96" s="5">
        <f t="shared" si="67"/>
        <v>131058</v>
      </c>
      <c r="R96" s="5">
        <f t="shared" si="68"/>
        <v>13768</v>
      </c>
      <c r="S96" s="5">
        <f t="shared" si="69"/>
        <v>0</v>
      </c>
      <c r="T96" s="5">
        <f>VLOOKUP($B96,'251012_0시'!$A$1:$M$200,4,FALSE)</f>
        <v>736606</v>
      </c>
      <c r="U96" s="5">
        <f>VLOOKUP($B96,'251012_0시'!$A$1:$M$200,5,FALSE)</f>
        <v>622</v>
      </c>
      <c r="V96" s="5">
        <f t="shared" si="70"/>
        <v>162214</v>
      </c>
      <c r="W96" s="5">
        <f t="shared" si="71"/>
        <v>31156</v>
      </c>
      <c r="X96" s="5">
        <f t="shared" si="72"/>
        <v>272</v>
      </c>
      <c r="Y96" s="5">
        <f>VLOOKUP($B96,'251013_0시'!$A$1:$M$200,4,FALSE)</f>
        <v>841067</v>
      </c>
      <c r="Z96" s="5">
        <f>VLOOKUP($B96,'251013_0시'!$A$1:$M$200,5,FALSE)</f>
        <v>622</v>
      </c>
      <c r="AA96" s="5">
        <f t="shared" si="73"/>
        <v>104461</v>
      </c>
      <c r="AB96" s="5">
        <f t="shared" si="74"/>
        <v>-57753</v>
      </c>
      <c r="AC96" s="5">
        <f t="shared" si="75"/>
        <v>0</v>
      </c>
      <c r="AD96" s="5">
        <f>VLOOKUP($B96,'251013_0시'!$A$1:$M$200,4,FALSE)</f>
        <v>841067</v>
      </c>
      <c r="AF96" s="5" t="s">
        <v>820</v>
      </c>
      <c r="AG96" s="5">
        <f>VLOOKUP($AF96,'251013'!$A$1:$M$200,4,FALSE)</f>
        <v>161340</v>
      </c>
      <c r="AH96" s="5">
        <f>VLOOKUP($AF96,'251013'!$A$1:$M$200,5,FALSE)</f>
        <v>650</v>
      </c>
      <c r="AI96" s="5">
        <f>VLOOKUP($AF96,'251014'!$A$1:$M$200,4,FALSE)</f>
        <v>216425</v>
      </c>
      <c r="AJ96" s="5">
        <f>VLOOKUP($AF96,'251014'!$A$1:$M$200,5,FALSE)</f>
        <v>700</v>
      </c>
      <c r="AK96" s="5">
        <f t="shared" si="76"/>
        <v>55085</v>
      </c>
      <c r="AL96" s="5">
        <f t="shared" si="77"/>
        <v>-106255</v>
      </c>
      <c r="AM96" s="5">
        <f t="shared" si="78"/>
        <v>50</v>
      </c>
      <c r="AN96" s="5">
        <f>VLOOKUP($AF96,'251015'!$A$1:$M$200,4,FALSE)</f>
        <v>387541</v>
      </c>
      <c r="AO96" s="5">
        <f>VLOOKUP($AF96,'251015'!$A$1:$M$200,5,FALSE)</f>
        <v>700</v>
      </c>
      <c r="AP96" s="5">
        <f t="shared" si="79"/>
        <v>171116</v>
      </c>
      <c r="AQ96" s="5">
        <f t="shared" si="80"/>
        <v>116031</v>
      </c>
      <c r="AR96" s="5">
        <f t="shared" si="81"/>
        <v>0</v>
      </c>
      <c r="AS96" s="5">
        <f>VLOOKUP($AF96,'251016'!$A$1:$M$200,4,FALSE)</f>
        <v>514456</v>
      </c>
      <c r="AT96" s="5">
        <f>VLOOKUP($AF96,'251016'!$A$1:$M$200,5,FALSE)</f>
        <v>700</v>
      </c>
      <c r="AU96" s="5">
        <f t="shared" si="82"/>
        <v>126915</v>
      </c>
      <c r="AV96" s="5">
        <f t="shared" si="83"/>
        <v>-44201</v>
      </c>
      <c r="AW96" s="5">
        <f t="shared" si="84"/>
        <v>0</v>
      </c>
      <c r="AX96" s="5">
        <f>VLOOKUP($AF96,'251017'!$A$1:$M$200,4,FALSE)</f>
        <v>642419</v>
      </c>
      <c r="AY96" s="5">
        <f>VLOOKUP($AF96,'251017'!$A$1:$M$200,5,FALSE)</f>
        <v>700</v>
      </c>
      <c r="AZ96" s="5">
        <f t="shared" si="85"/>
        <v>127963</v>
      </c>
      <c r="BA96" s="5">
        <f t="shared" si="86"/>
        <v>1048</v>
      </c>
      <c r="BB96" s="5">
        <f t="shared" si="87"/>
        <v>0</v>
      </c>
      <c r="BC96" s="5">
        <f>VLOOKUP($AF96,'251018'!$A$1:$M$200,4,FALSE)</f>
        <v>790539</v>
      </c>
      <c r="BD96" s="5">
        <f>VLOOKUP($AF96,'251018'!$A$1:$M$200,5,FALSE)</f>
        <v>750</v>
      </c>
      <c r="BE96" s="5">
        <f t="shared" si="88"/>
        <v>148120</v>
      </c>
      <c r="BF96" s="5">
        <f t="shared" si="89"/>
        <v>20157</v>
      </c>
      <c r="BG96" s="5">
        <f t="shared" si="90"/>
        <v>50</v>
      </c>
      <c r="BH96" s="5">
        <f>VLOOKUP($AF96,'251018'!$A$1:$M$200,4,FALSE)</f>
        <v>790539</v>
      </c>
    </row>
    <row r="97" spans="1:60" x14ac:dyDescent="0.3">
      <c r="B97" s="5" t="s">
        <v>820</v>
      </c>
      <c r="C97" s="5">
        <f>VLOOKUP($B97,'251008_0시'!$A$1:$M$200,4,FALSE)</f>
        <v>226891</v>
      </c>
      <c r="D97" s="5">
        <f>VLOOKUP($B97,'251008_0시'!$A$1:$M$200,5,FALSE)</f>
        <v>870</v>
      </c>
      <c r="E97" s="5">
        <f>VLOOKUP($B97,'251009_0시'!$A$1:$M$200,4,FALSE)</f>
        <v>360437</v>
      </c>
      <c r="F97" s="5">
        <f>VLOOKUP($B97,'251009_0시'!$A$1:$M$200,5,FALSE)</f>
        <v>870</v>
      </c>
      <c r="G97" s="5">
        <f t="shared" si="61"/>
        <v>133546</v>
      </c>
      <c r="H97" s="5">
        <f t="shared" si="62"/>
        <v>20100.5</v>
      </c>
      <c r="I97" s="5">
        <f t="shared" si="63"/>
        <v>0</v>
      </c>
      <c r="J97" s="5">
        <f>VLOOKUP($B97,'251010_0시'!$A$1:$M$200,4,FALSE)</f>
        <v>464993</v>
      </c>
      <c r="K97" s="5">
        <f>VLOOKUP($B97,'251010_0시'!$A$1:$M$200,5,FALSE)</f>
        <v>1928</v>
      </c>
      <c r="L97" s="5">
        <f t="shared" si="64"/>
        <v>104556</v>
      </c>
      <c r="M97" s="5">
        <f t="shared" si="65"/>
        <v>-28990</v>
      </c>
      <c r="N97" s="5">
        <f t="shared" si="66"/>
        <v>1058</v>
      </c>
      <c r="O97" s="5">
        <f>VLOOKUP($B97,'251011_0시'!$A$1:$M$200,4,FALSE)</f>
        <v>591252</v>
      </c>
      <c r="P97" s="5">
        <f>VLOOKUP($B97,'251011_0시'!$A$1:$M$200,5,FALSE)</f>
        <v>1978</v>
      </c>
      <c r="Q97" s="5">
        <f t="shared" si="67"/>
        <v>126259</v>
      </c>
      <c r="R97" s="5">
        <f t="shared" si="68"/>
        <v>21703</v>
      </c>
      <c r="S97" s="5">
        <f t="shared" si="69"/>
        <v>50</v>
      </c>
      <c r="T97" s="5">
        <f>VLOOKUP($B97,'251012_0시'!$A$1:$M$200,4,FALSE)</f>
        <v>710638</v>
      </c>
      <c r="U97" s="5">
        <f>VLOOKUP($B97,'251012_0시'!$A$1:$M$200,5,FALSE)</f>
        <v>1978</v>
      </c>
      <c r="V97" s="5">
        <f t="shared" si="70"/>
        <v>119386</v>
      </c>
      <c r="W97" s="5">
        <f t="shared" si="71"/>
        <v>-6873</v>
      </c>
      <c r="X97" s="5">
        <f t="shared" si="72"/>
        <v>0</v>
      </c>
      <c r="Y97" s="5">
        <f>VLOOKUP($B97,'251013_0시'!$A$1:$M$200,4,FALSE)</f>
        <v>839531</v>
      </c>
      <c r="Z97" s="5">
        <f>VLOOKUP($B97,'251013_0시'!$A$1:$M$200,5,FALSE)</f>
        <v>3542</v>
      </c>
      <c r="AA97" s="5">
        <f t="shared" si="73"/>
        <v>128893</v>
      </c>
      <c r="AB97" s="5">
        <f t="shared" si="74"/>
        <v>9507</v>
      </c>
      <c r="AC97" s="5">
        <f t="shared" si="75"/>
        <v>1564</v>
      </c>
      <c r="AD97" s="5">
        <f>VLOOKUP($B97,'251013_0시'!$A$1:$M$200,4,FALSE)</f>
        <v>839531</v>
      </c>
      <c r="AF97" s="5" t="s">
        <v>779</v>
      </c>
      <c r="AG97" s="5">
        <f>VLOOKUP($AF97,'251013'!$A$1:$M$200,4,FALSE)</f>
        <v>187702</v>
      </c>
      <c r="AH97" s="5">
        <f>VLOOKUP($AF97,'251013'!$A$1:$M$200,5,FALSE)</f>
        <v>0</v>
      </c>
      <c r="AI97" s="5">
        <f>VLOOKUP($AF97,'251014'!$A$1:$M$200,4,FALSE)</f>
        <v>265369</v>
      </c>
      <c r="AJ97" s="5">
        <f>VLOOKUP($AF97,'251014'!$A$1:$M$200,5,FALSE)</f>
        <v>0</v>
      </c>
      <c r="AK97" s="5">
        <f t="shared" si="76"/>
        <v>77667</v>
      </c>
      <c r="AL97" s="5">
        <f t="shared" si="77"/>
        <v>-110035</v>
      </c>
      <c r="AM97" s="5">
        <f t="shared" si="78"/>
        <v>0</v>
      </c>
      <c r="AN97" s="5">
        <f>VLOOKUP($AF97,'251015'!$A$1:$M$200,4,FALSE)</f>
        <v>394548</v>
      </c>
      <c r="AO97" s="5">
        <f>VLOOKUP($AF97,'251015'!$A$1:$M$200,5,FALSE)</f>
        <v>1050</v>
      </c>
      <c r="AP97" s="5">
        <f t="shared" si="79"/>
        <v>129179</v>
      </c>
      <c r="AQ97" s="5">
        <f t="shared" si="80"/>
        <v>51512</v>
      </c>
      <c r="AR97" s="5">
        <f t="shared" si="81"/>
        <v>1050</v>
      </c>
      <c r="AS97" s="5">
        <f>VLOOKUP($AF97,'251016'!$A$1:$M$200,4,FALSE)</f>
        <v>488410</v>
      </c>
      <c r="AT97" s="5">
        <f>VLOOKUP($AF97,'251016'!$A$1:$M$200,5,FALSE)</f>
        <v>1050</v>
      </c>
      <c r="AU97" s="5">
        <f t="shared" si="82"/>
        <v>93862</v>
      </c>
      <c r="AV97" s="5">
        <f t="shared" si="83"/>
        <v>-35317</v>
      </c>
      <c r="AW97" s="5">
        <f t="shared" si="84"/>
        <v>0</v>
      </c>
      <c r="AX97" s="5">
        <f>VLOOKUP($AF97,'251017'!$A$1:$M$200,4,FALSE)</f>
        <v>616423</v>
      </c>
      <c r="AY97" s="5">
        <f>VLOOKUP($AF97,'251017'!$A$1:$M$200,5,FALSE)</f>
        <v>1050</v>
      </c>
      <c r="AZ97" s="5">
        <f t="shared" si="85"/>
        <v>128013</v>
      </c>
      <c r="BA97" s="5">
        <f t="shared" si="86"/>
        <v>34151</v>
      </c>
      <c r="BB97" s="5">
        <f t="shared" si="87"/>
        <v>0</v>
      </c>
      <c r="BC97" s="5">
        <f>VLOOKUP($AF97,'251018'!$A$1:$M$200,4,FALSE)</f>
        <v>776060</v>
      </c>
      <c r="BD97" s="5">
        <f>VLOOKUP($AF97,'251018'!$A$1:$M$200,5,FALSE)</f>
        <v>1050</v>
      </c>
      <c r="BE97" s="5">
        <f t="shared" si="88"/>
        <v>159637</v>
      </c>
      <c r="BF97" s="5">
        <f t="shared" si="89"/>
        <v>31624</v>
      </c>
      <c r="BG97" s="5">
        <f t="shared" si="90"/>
        <v>0</v>
      </c>
      <c r="BH97" s="5">
        <f>VLOOKUP($AF97,'251018'!$A$1:$M$200,4,FALSE)</f>
        <v>776060</v>
      </c>
    </row>
    <row r="98" spans="1:60" x14ac:dyDescent="0.3">
      <c r="B98" s="5" t="s">
        <v>816</v>
      </c>
      <c r="C98" s="5">
        <f>VLOOKUP($B98,'251008_0시'!$A$1:$M$200,4,FALSE)</f>
        <v>267087</v>
      </c>
      <c r="D98" s="5">
        <f>VLOOKUP($B98,'251008_0시'!$A$1:$M$200,5,FALSE)</f>
        <v>8350</v>
      </c>
      <c r="E98" s="5">
        <f>VLOOKUP($B98,'251009_0시'!$A$1:$M$200,4,FALSE)</f>
        <v>409340</v>
      </c>
      <c r="F98" s="5">
        <f>VLOOKUP($B98,'251009_0시'!$A$1:$M$200,5,FALSE)</f>
        <v>9050</v>
      </c>
      <c r="G98" s="5">
        <f t="shared" si="61"/>
        <v>142253</v>
      </c>
      <c r="H98" s="5">
        <f t="shared" si="62"/>
        <v>8709.5</v>
      </c>
      <c r="I98" s="5">
        <f t="shared" si="63"/>
        <v>700</v>
      </c>
      <c r="J98" s="5">
        <f>VLOOKUP($B98,'251010_0시'!$A$1:$M$200,4,FALSE)</f>
        <v>533809</v>
      </c>
      <c r="K98" s="5">
        <f>VLOOKUP($B98,'251010_0시'!$A$1:$M$200,5,FALSE)</f>
        <v>11051</v>
      </c>
      <c r="L98" s="5">
        <f t="shared" si="64"/>
        <v>124469</v>
      </c>
      <c r="M98" s="5">
        <f t="shared" si="65"/>
        <v>-17784</v>
      </c>
      <c r="N98" s="5">
        <f t="shared" si="66"/>
        <v>2001</v>
      </c>
      <c r="O98" s="5">
        <f>VLOOKUP($B98,'251011_0시'!$A$1:$M$200,4,FALSE)</f>
        <v>604871</v>
      </c>
      <c r="P98" s="5">
        <f>VLOOKUP($B98,'251011_0시'!$A$1:$M$200,5,FALSE)</f>
        <v>12851</v>
      </c>
      <c r="Q98" s="5">
        <f t="shared" si="67"/>
        <v>71062</v>
      </c>
      <c r="R98" s="5">
        <f t="shared" si="68"/>
        <v>-53407</v>
      </c>
      <c r="S98" s="5">
        <f t="shared" si="69"/>
        <v>1800</v>
      </c>
      <c r="T98" s="5">
        <f>VLOOKUP($B98,'251012_0시'!$A$1:$M$200,4,FALSE)</f>
        <v>724777</v>
      </c>
      <c r="U98" s="5">
        <f>VLOOKUP($B98,'251012_0시'!$A$1:$M$200,5,FALSE)</f>
        <v>14651</v>
      </c>
      <c r="V98" s="5">
        <f t="shared" si="70"/>
        <v>119906</v>
      </c>
      <c r="W98" s="5">
        <f t="shared" si="71"/>
        <v>48844</v>
      </c>
      <c r="X98" s="5">
        <f t="shared" si="72"/>
        <v>1800</v>
      </c>
      <c r="Y98" s="5">
        <f>VLOOKUP($B98,'251013_0시'!$A$1:$M$200,4,FALSE)</f>
        <v>837298</v>
      </c>
      <c r="Z98" s="5">
        <f>VLOOKUP($B98,'251013_0시'!$A$1:$M$200,5,FALSE)</f>
        <v>19151</v>
      </c>
      <c r="AA98" s="5">
        <f t="shared" si="73"/>
        <v>112521</v>
      </c>
      <c r="AB98" s="5">
        <f t="shared" si="74"/>
        <v>-7385</v>
      </c>
      <c r="AC98" s="5">
        <f t="shared" si="75"/>
        <v>4500</v>
      </c>
      <c r="AD98" s="5">
        <f>VLOOKUP($B98,'251013_0시'!$A$1:$M$200,4,FALSE)</f>
        <v>837298</v>
      </c>
      <c r="AF98" s="5" t="s">
        <v>830</v>
      </c>
      <c r="AG98" s="5">
        <f>VLOOKUP($AF98,'251013'!$A$1:$M$200,4,FALSE)</f>
        <v>122145</v>
      </c>
      <c r="AH98" s="5">
        <f>VLOOKUP($AF98,'251013'!$A$1:$M$200,5,FALSE)</f>
        <v>900</v>
      </c>
      <c r="AI98" s="5">
        <f>VLOOKUP($AF98,'251014'!$A$1:$M$200,4,FALSE)</f>
        <v>243562</v>
      </c>
      <c r="AJ98" s="5">
        <f>VLOOKUP($AF98,'251014'!$A$1:$M$200,5,FALSE)</f>
        <v>2700</v>
      </c>
      <c r="AK98" s="5">
        <f t="shared" si="76"/>
        <v>121417</v>
      </c>
      <c r="AL98" s="5">
        <f t="shared" si="77"/>
        <v>-728</v>
      </c>
      <c r="AM98" s="5">
        <f t="shared" si="78"/>
        <v>1800</v>
      </c>
      <c r="AN98" s="5">
        <f>VLOOKUP($AF98,'251015'!$A$1:$M$200,4,FALSE)</f>
        <v>336965</v>
      </c>
      <c r="AO98" s="5">
        <f>VLOOKUP($AF98,'251015'!$A$1:$M$200,5,FALSE)</f>
        <v>3150</v>
      </c>
      <c r="AP98" s="5">
        <f t="shared" si="79"/>
        <v>93403</v>
      </c>
      <c r="AQ98" s="5">
        <f t="shared" si="80"/>
        <v>-28014</v>
      </c>
      <c r="AR98" s="5">
        <f t="shared" si="81"/>
        <v>450</v>
      </c>
      <c r="AS98" s="5">
        <f>VLOOKUP($AF98,'251016'!$A$1:$M$200,4,FALSE)</f>
        <v>458223</v>
      </c>
      <c r="AT98" s="5">
        <f>VLOOKUP($AF98,'251016'!$A$1:$M$200,5,FALSE)</f>
        <v>3600</v>
      </c>
      <c r="AU98" s="5">
        <f t="shared" si="82"/>
        <v>121258</v>
      </c>
      <c r="AV98" s="5">
        <f t="shared" si="83"/>
        <v>27855</v>
      </c>
      <c r="AW98" s="5">
        <f t="shared" si="84"/>
        <v>450</v>
      </c>
      <c r="AX98" s="5">
        <f>VLOOKUP($AF98,'251017'!$A$1:$M$200,4,FALSE)</f>
        <v>622690</v>
      </c>
      <c r="AY98" s="5">
        <f>VLOOKUP($AF98,'251017'!$A$1:$M$200,5,FALSE)</f>
        <v>4950</v>
      </c>
      <c r="AZ98" s="5">
        <f t="shared" si="85"/>
        <v>164467</v>
      </c>
      <c r="BA98" s="5">
        <f t="shared" si="86"/>
        <v>43209</v>
      </c>
      <c r="BB98" s="5">
        <f t="shared" si="87"/>
        <v>1350</v>
      </c>
      <c r="BC98" s="5">
        <f>VLOOKUP($AF98,'251018'!$A$1:$M$200,4,FALSE)</f>
        <v>775788</v>
      </c>
      <c r="BD98" s="5">
        <f>VLOOKUP($AF98,'251018'!$A$1:$M$200,5,FALSE)</f>
        <v>4950</v>
      </c>
      <c r="BE98" s="5">
        <f t="shared" si="88"/>
        <v>153098</v>
      </c>
      <c r="BF98" s="5">
        <f t="shared" si="89"/>
        <v>-11369</v>
      </c>
      <c r="BG98" s="5">
        <f t="shared" si="90"/>
        <v>0</v>
      </c>
      <c r="BH98" s="5">
        <f>VLOOKUP($AF98,'251018'!$A$1:$M$200,4,FALSE)</f>
        <v>775788</v>
      </c>
    </row>
    <row r="99" spans="1:60" x14ac:dyDescent="0.3">
      <c r="B99" s="5" t="s">
        <v>958</v>
      </c>
      <c r="C99" s="5">
        <f>VLOOKUP($B99,'251008_0시'!$A$1:$M$200,4,FALSE)</f>
        <v>240567</v>
      </c>
      <c r="D99" s="5">
        <f>VLOOKUP($B99,'251008_0시'!$A$1:$M$200,5,FALSE)</f>
        <v>0</v>
      </c>
      <c r="E99" s="5">
        <f>VLOOKUP($B99,'251009_0시'!$A$1:$M$200,4,FALSE)</f>
        <v>353349</v>
      </c>
      <c r="F99" s="5">
        <f>VLOOKUP($B99,'251009_0시'!$A$1:$M$200,5,FALSE)</f>
        <v>0</v>
      </c>
      <c r="G99" s="5">
        <f t="shared" si="61"/>
        <v>112782</v>
      </c>
      <c r="H99" s="5">
        <f t="shared" si="62"/>
        <v>-7501.5</v>
      </c>
      <c r="I99" s="5">
        <f t="shared" si="63"/>
        <v>0</v>
      </c>
      <c r="J99" s="5">
        <f>VLOOKUP($B99,'251010_0시'!$A$1:$M$200,4,FALSE)</f>
        <v>455526</v>
      </c>
      <c r="K99" s="5">
        <f>VLOOKUP($B99,'251010_0시'!$A$1:$M$200,5,FALSE)</f>
        <v>350</v>
      </c>
      <c r="L99" s="5">
        <f t="shared" si="64"/>
        <v>102177</v>
      </c>
      <c r="M99" s="5">
        <f t="shared" si="65"/>
        <v>-10605</v>
      </c>
      <c r="N99" s="5">
        <f t="shared" si="66"/>
        <v>350</v>
      </c>
      <c r="O99" s="5">
        <f>VLOOKUP($B99,'251011_0시'!$A$1:$M$200,4,FALSE)</f>
        <v>585192</v>
      </c>
      <c r="P99" s="5">
        <f>VLOOKUP($B99,'251011_0시'!$A$1:$M$200,5,FALSE)</f>
        <v>350</v>
      </c>
      <c r="Q99" s="5">
        <f t="shared" si="67"/>
        <v>129666</v>
      </c>
      <c r="R99" s="5">
        <f t="shared" si="68"/>
        <v>27489</v>
      </c>
      <c r="S99" s="5">
        <f t="shared" si="69"/>
        <v>0</v>
      </c>
      <c r="T99" s="5">
        <f>VLOOKUP($B99,'251012_0시'!$A$1:$M$200,4,FALSE)</f>
        <v>704290</v>
      </c>
      <c r="U99" s="5">
        <f>VLOOKUP($B99,'251012_0시'!$A$1:$M$200,5,FALSE)</f>
        <v>350</v>
      </c>
      <c r="V99" s="5">
        <f t="shared" si="70"/>
        <v>119098</v>
      </c>
      <c r="W99" s="5">
        <f t="shared" si="71"/>
        <v>-10568</v>
      </c>
      <c r="X99" s="5">
        <f t="shared" si="72"/>
        <v>0</v>
      </c>
      <c r="Y99" s="5">
        <f>VLOOKUP($B99,'251013_0시'!$A$1:$M$200,4,FALSE)</f>
        <v>836588</v>
      </c>
      <c r="Z99" s="5">
        <f>VLOOKUP($B99,'251013_0시'!$A$1:$M$200,5,FALSE)</f>
        <v>350</v>
      </c>
      <c r="AA99" s="5">
        <f t="shared" si="73"/>
        <v>132298</v>
      </c>
      <c r="AB99" s="5">
        <f t="shared" si="74"/>
        <v>13200</v>
      </c>
      <c r="AC99" s="5">
        <f t="shared" si="75"/>
        <v>0</v>
      </c>
      <c r="AD99" s="5">
        <f>VLOOKUP($B99,'251013_0시'!$A$1:$M$200,4,FALSE)</f>
        <v>836588</v>
      </c>
      <c r="AF99" s="5" t="s">
        <v>794</v>
      </c>
      <c r="AG99" s="5">
        <f>VLOOKUP($AF99,'251013'!$A$1:$M$200,4,FALSE)</f>
        <v>97279</v>
      </c>
      <c r="AH99" s="5">
        <f>VLOOKUP($AF99,'251013'!$A$1:$M$200,5,FALSE)</f>
        <v>0</v>
      </c>
      <c r="AI99" s="5">
        <f>VLOOKUP($AF99,'251014'!$A$1:$M$200,4,FALSE)</f>
        <v>239435</v>
      </c>
      <c r="AJ99" s="5">
        <f>VLOOKUP($AF99,'251014'!$A$1:$M$200,5,FALSE)</f>
        <v>0</v>
      </c>
      <c r="AK99" s="5">
        <f t="shared" si="76"/>
        <v>142156</v>
      </c>
      <c r="AL99" s="5">
        <f t="shared" si="77"/>
        <v>44877</v>
      </c>
      <c r="AM99" s="5">
        <f t="shared" si="78"/>
        <v>0</v>
      </c>
      <c r="AN99" s="5">
        <f>VLOOKUP($AF99,'251015'!$A$1:$M$200,4,FALSE)</f>
        <v>371294</v>
      </c>
      <c r="AO99" s="5">
        <f>VLOOKUP($AF99,'251015'!$A$1:$M$200,5,FALSE)</f>
        <v>0</v>
      </c>
      <c r="AP99" s="5">
        <f t="shared" si="79"/>
        <v>131859</v>
      </c>
      <c r="AQ99" s="5">
        <f t="shared" si="80"/>
        <v>-10297</v>
      </c>
      <c r="AR99" s="5">
        <f t="shared" si="81"/>
        <v>0</v>
      </c>
      <c r="AS99" s="5">
        <f>VLOOKUP($AF99,'251016'!$A$1:$M$200,4,FALSE)</f>
        <v>513898</v>
      </c>
      <c r="AT99" s="5">
        <f>VLOOKUP($AF99,'251016'!$A$1:$M$200,5,FALSE)</f>
        <v>0</v>
      </c>
      <c r="AU99" s="5">
        <f t="shared" si="82"/>
        <v>142604</v>
      </c>
      <c r="AV99" s="5">
        <f t="shared" si="83"/>
        <v>10745</v>
      </c>
      <c r="AW99" s="5">
        <f t="shared" si="84"/>
        <v>0</v>
      </c>
      <c r="AX99" s="5">
        <f>VLOOKUP($AF99,'251017'!$A$1:$M$200,4,FALSE)</f>
        <v>657997</v>
      </c>
      <c r="AY99" s="5">
        <f>VLOOKUP($AF99,'251017'!$A$1:$M$200,5,FALSE)</f>
        <v>0</v>
      </c>
      <c r="AZ99" s="5">
        <f t="shared" si="85"/>
        <v>144099</v>
      </c>
      <c r="BA99" s="5">
        <f t="shared" si="86"/>
        <v>1495</v>
      </c>
      <c r="BB99" s="5">
        <f t="shared" si="87"/>
        <v>0</v>
      </c>
      <c r="BC99" s="5">
        <f>VLOOKUP($AF99,'251018'!$A$1:$M$200,4,FALSE)</f>
        <v>775270</v>
      </c>
      <c r="BD99" s="5">
        <f>VLOOKUP($AF99,'251018'!$A$1:$M$200,5,FALSE)</f>
        <v>0</v>
      </c>
      <c r="BE99" s="5">
        <f t="shared" si="88"/>
        <v>117273</v>
      </c>
      <c r="BF99" s="5">
        <f t="shared" si="89"/>
        <v>-26826</v>
      </c>
      <c r="BG99" s="5">
        <f t="shared" si="90"/>
        <v>0</v>
      </c>
      <c r="BH99" s="5">
        <f>VLOOKUP($AF99,'251018'!$A$1:$M$200,4,FALSE)</f>
        <v>775270</v>
      </c>
    </row>
    <row r="100" spans="1:60" x14ac:dyDescent="0.3">
      <c r="B100" s="5" t="s">
        <v>802</v>
      </c>
      <c r="C100" s="5">
        <f>VLOOKUP($B100,'251008_0시'!$A$1:$M$200,4,FALSE)</f>
        <v>205114</v>
      </c>
      <c r="D100" s="5">
        <f>VLOOKUP($B100,'251008_0시'!$A$1:$M$200,5,FALSE)</f>
        <v>350</v>
      </c>
      <c r="E100" s="5">
        <f>VLOOKUP($B100,'251009_0시'!$A$1:$M$200,4,FALSE)</f>
        <v>299673</v>
      </c>
      <c r="F100" s="5">
        <f>VLOOKUP($B100,'251009_0시'!$A$1:$M$200,5,FALSE)</f>
        <v>350</v>
      </c>
      <c r="G100" s="5">
        <f t="shared" si="61"/>
        <v>94559</v>
      </c>
      <c r="H100" s="5">
        <f t="shared" si="62"/>
        <v>-7998</v>
      </c>
      <c r="I100" s="5">
        <f t="shared" si="63"/>
        <v>0</v>
      </c>
      <c r="J100" s="5">
        <f>VLOOKUP($B100,'251010_0시'!$A$1:$M$200,4,FALSE)</f>
        <v>448276</v>
      </c>
      <c r="K100" s="5">
        <f>VLOOKUP($B100,'251010_0시'!$A$1:$M$200,5,FALSE)</f>
        <v>446</v>
      </c>
      <c r="L100" s="5">
        <f t="shared" si="64"/>
        <v>148603</v>
      </c>
      <c r="M100" s="5">
        <f t="shared" si="65"/>
        <v>54044</v>
      </c>
      <c r="N100" s="5">
        <f t="shared" si="66"/>
        <v>96</v>
      </c>
      <c r="O100" s="5">
        <f>VLOOKUP($B100,'251011_0시'!$A$1:$M$200,4,FALSE)</f>
        <v>566655</v>
      </c>
      <c r="P100" s="5">
        <f>VLOOKUP($B100,'251011_0시'!$A$1:$M$200,5,FALSE)</f>
        <v>446</v>
      </c>
      <c r="Q100" s="5">
        <f t="shared" si="67"/>
        <v>118379</v>
      </c>
      <c r="R100" s="5">
        <f t="shared" si="68"/>
        <v>-30224</v>
      </c>
      <c r="S100" s="5">
        <f t="shared" si="69"/>
        <v>0</v>
      </c>
      <c r="T100" s="5">
        <f>VLOOKUP($B100,'251012_0시'!$A$1:$M$200,4,FALSE)</f>
        <v>707879</v>
      </c>
      <c r="U100" s="5">
        <f>VLOOKUP($B100,'251012_0시'!$A$1:$M$200,5,FALSE)</f>
        <v>842</v>
      </c>
      <c r="V100" s="5">
        <f t="shared" si="70"/>
        <v>141224</v>
      </c>
      <c r="W100" s="5">
        <f t="shared" si="71"/>
        <v>22845</v>
      </c>
      <c r="X100" s="5">
        <f t="shared" si="72"/>
        <v>396</v>
      </c>
      <c r="Y100" s="5">
        <f>VLOOKUP($B100,'251013_0시'!$A$1:$M$200,4,FALSE)</f>
        <v>832898</v>
      </c>
      <c r="Z100" s="5">
        <f>VLOOKUP($B100,'251013_0시'!$A$1:$M$200,5,FALSE)</f>
        <v>842</v>
      </c>
      <c r="AA100" s="5">
        <f t="shared" si="73"/>
        <v>125019</v>
      </c>
      <c r="AB100" s="5">
        <f t="shared" si="74"/>
        <v>-16205</v>
      </c>
      <c r="AC100" s="5">
        <f t="shared" si="75"/>
        <v>0</v>
      </c>
      <c r="AD100" s="5">
        <f>VLOOKUP($B100,'251013_0시'!$A$1:$M$200,4,FALSE)</f>
        <v>832898</v>
      </c>
      <c r="AF100" s="5" t="s">
        <v>808</v>
      </c>
      <c r="AG100" s="5">
        <f>VLOOKUP($AF100,'251013'!$A$1:$M$200,4,FALSE)</f>
        <v>144646</v>
      </c>
      <c r="AH100" s="5">
        <f>VLOOKUP($AF100,'251013'!$A$1:$M$200,5,FALSE)</f>
        <v>540</v>
      </c>
      <c r="AI100" s="5">
        <f>VLOOKUP($AF100,'251014'!$A$1:$M$200,4,FALSE)</f>
        <v>254729</v>
      </c>
      <c r="AJ100" s="5">
        <f>VLOOKUP($AF100,'251014'!$A$1:$M$200,5,FALSE)</f>
        <v>540</v>
      </c>
      <c r="AK100" s="5">
        <f t="shared" si="76"/>
        <v>110083</v>
      </c>
      <c r="AL100" s="5">
        <f t="shared" si="77"/>
        <v>-34563</v>
      </c>
      <c r="AM100" s="5">
        <f t="shared" si="78"/>
        <v>0</v>
      </c>
      <c r="AN100" s="5">
        <f>VLOOKUP($AF100,'251015'!$A$1:$M$200,4,FALSE)</f>
        <v>347364</v>
      </c>
      <c r="AO100" s="5">
        <f>VLOOKUP($AF100,'251015'!$A$1:$M$200,5,FALSE)</f>
        <v>540</v>
      </c>
      <c r="AP100" s="5">
        <f t="shared" si="79"/>
        <v>92635</v>
      </c>
      <c r="AQ100" s="5">
        <f t="shared" si="80"/>
        <v>-17448</v>
      </c>
      <c r="AR100" s="5">
        <f t="shared" si="81"/>
        <v>0</v>
      </c>
      <c r="AS100" s="5">
        <f>VLOOKUP($AF100,'251016'!$A$1:$M$200,4,FALSE)</f>
        <v>472246</v>
      </c>
      <c r="AT100" s="5">
        <f>VLOOKUP($AF100,'251016'!$A$1:$M$200,5,FALSE)</f>
        <v>540</v>
      </c>
      <c r="AU100" s="5">
        <f t="shared" si="82"/>
        <v>124882</v>
      </c>
      <c r="AV100" s="5">
        <f t="shared" si="83"/>
        <v>32247</v>
      </c>
      <c r="AW100" s="5">
        <f t="shared" si="84"/>
        <v>0</v>
      </c>
      <c r="AX100" s="5">
        <f>VLOOKUP($AF100,'251017'!$A$1:$M$200,4,FALSE)</f>
        <v>624685</v>
      </c>
      <c r="AY100" s="5">
        <f>VLOOKUP($AF100,'251017'!$A$1:$M$200,5,FALSE)</f>
        <v>540</v>
      </c>
      <c r="AZ100" s="5">
        <f t="shared" si="85"/>
        <v>152439</v>
      </c>
      <c r="BA100" s="5">
        <f t="shared" si="86"/>
        <v>27557</v>
      </c>
      <c r="BB100" s="5">
        <f t="shared" si="87"/>
        <v>0</v>
      </c>
      <c r="BC100" s="5">
        <f>VLOOKUP($AF100,'251018'!$A$1:$M$200,4,FALSE)</f>
        <v>762964</v>
      </c>
      <c r="BD100" s="5">
        <f>VLOOKUP($AF100,'251018'!$A$1:$M$200,5,FALSE)</f>
        <v>540</v>
      </c>
      <c r="BE100" s="5">
        <f t="shared" si="88"/>
        <v>138279</v>
      </c>
      <c r="BF100" s="5">
        <f t="shared" si="89"/>
        <v>-14160</v>
      </c>
      <c r="BG100" s="5">
        <f t="shared" si="90"/>
        <v>0</v>
      </c>
      <c r="BH100" s="5">
        <f>VLOOKUP($AF100,'251018'!$A$1:$M$200,4,FALSE)</f>
        <v>762964</v>
      </c>
    </row>
    <row r="101" spans="1:60" x14ac:dyDescent="0.3">
      <c r="B101" s="5" t="s">
        <v>829</v>
      </c>
      <c r="C101" s="5">
        <f>VLOOKUP($B101,'251008_0시'!$A$1:$M$200,4,FALSE)</f>
        <v>210320</v>
      </c>
      <c r="D101" s="5">
        <f>VLOOKUP($B101,'251008_0시'!$A$1:$M$200,5,FALSE)</f>
        <v>0</v>
      </c>
      <c r="E101" s="5">
        <f>VLOOKUP($B101,'251009_0시'!$A$1:$M$200,4,FALSE)</f>
        <v>351080</v>
      </c>
      <c r="F101" s="5">
        <f>VLOOKUP($B101,'251009_0시'!$A$1:$M$200,5,FALSE)</f>
        <v>50</v>
      </c>
      <c r="G101" s="5">
        <f t="shared" si="61"/>
        <v>140760</v>
      </c>
      <c r="H101" s="5">
        <f t="shared" si="62"/>
        <v>35600</v>
      </c>
      <c r="I101" s="5">
        <f t="shared" si="63"/>
        <v>50</v>
      </c>
      <c r="J101" s="5">
        <f>VLOOKUP($B101,'251010_0시'!$A$1:$M$200,4,FALSE)</f>
        <v>476713</v>
      </c>
      <c r="K101" s="5">
        <f>VLOOKUP($B101,'251010_0시'!$A$1:$M$200,5,FALSE)</f>
        <v>151</v>
      </c>
      <c r="L101" s="5">
        <f t="shared" si="64"/>
        <v>125633</v>
      </c>
      <c r="M101" s="5">
        <f t="shared" si="65"/>
        <v>-15127</v>
      </c>
      <c r="N101" s="5">
        <f t="shared" si="66"/>
        <v>101</v>
      </c>
      <c r="O101" s="5">
        <f>VLOOKUP($B101,'251011_0시'!$A$1:$M$200,4,FALSE)</f>
        <v>618228</v>
      </c>
      <c r="P101" s="5">
        <f>VLOOKUP($B101,'251011_0시'!$A$1:$M$200,5,FALSE)</f>
        <v>151</v>
      </c>
      <c r="Q101" s="5">
        <f t="shared" si="67"/>
        <v>141515</v>
      </c>
      <c r="R101" s="5">
        <f t="shared" si="68"/>
        <v>15882</v>
      </c>
      <c r="S101" s="5">
        <f t="shared" si="69"/>
        <v>0</v>
      </c>
      <c r="T101" s="5">
        <f>VLOOKUP($B101,'251012_0시'!$A$1:$M$200,4,FALSE)</f>
        <v>748168</v>
      </c>
      <c r="U101" s="5">
        <f>VLOOKUP($B101,'251012_0시'!$A$1:$M$200,5,FALSE)</f>
        <v>151</v>
      </c>
      <c r="V101" s="5">
        <f t="shared" si="70"/>
        <v>129940</v>
      </c>
      <c r="W101" s="5">
        <f t="shared" si="71"/>
        <v>-11575</v>
      </c>
      <c r="X101" s="5">
        <f t="shared" si="72"/>
        <v>0</v>
      </c>
      <c r="Y101" s="5">
        <f>VLOOKUP($B101,'251013_0시'!$A$1:$M$200,4,FALSE)</f>
        <v>829277</v>
      </c>
      <c r="Z101" s="5">
        <f>VLOOKUP($B101,'251013_0시'!$A$1:$M$200,5,FALSE)</f>
        <v>151</v>
      </c>
      <c r="AA101" s="5">
        <f t="shared" si="73"/>
        <v>81109</v>
      </c>
      <c r="AB101" s="5">
        <f t="shared" si="74"/>
        <v>-48831</v>
      </c>
      <c r="AC101" s="5">
        <f t="shared" si="75"/>
        <v>0</v>
      </c>
      <c r="AD101" s="5">
        <f>VLOOKUP($B101,'251013_0시'!$A$1:$M$200,4,FALSE)</f>
        <v>829277</v>
      </c>
      <c r="AF101" s="5" t="s">
        <v>968</v>
      </c>
      <c r="AG101" s="5">
        <f>VLOOKUP($AF101,'251013'!$A$1:$M$200,4,FALSE)</f>
        <v>127297</v>
      </c>
      <c r="AH101" s="5">
        <f>VLOOKUP($AF101,'251013'!$A$1:$M$200,5,FALSE)</f>
        <v>350</v>
      </c>
      <c r="AI101" s="5">
        <f>VLOOKUP($AF101,'251014'!$A$1:$M$200,4,FALSE)</f>
        <v>265552</v>
      </c>
      <c r="AJ101" s="5">
        <f>VLOOKUP($AF101,'251014'!$A$1:$M$200,5,FALSE)</f>
        <v>350</v>
      </c>
      <c r="AK101" s="5">
        <f t="shared" si="76"/>
        <v>138255</v>
      </c>
      <c r="AL101" s="5">
        <f t="shared" si="77"/>
        <v>10958</v>
      </c>
      <c r="AM101" s="5">
        <f t="shared" si="78"/>
        <v>0</v>
      </c>
      <c r="AN101" s="5">
        <f>VLOOKUP($AF101,'251015'!$A$1:$M$200,4,FALSE)</f>
        <v>371040</v>
      </c>
      <c r="AO101" s="5">
        <f>VLOOKUP($AF101,'251015'!$A$1:$M$200,5,FALSE)</f>
        <v>552</v>
      </c>
      <c r="AP101" s="5">
        <f t="shared" si="79"/>
        <v>105488</v>
      </c>
      <c r="AQ101" s="5">
        <f t="shared" si="80"/>
        <v>-32767</v>
      </c>
      <c r="AR101" s="5">
        <f t="shared" si="81"/>
        <v>202</v>
      </c>
      <c r="AS101" s="5">
        <f>VLOOKUP($AF101,'251016'!$A$1:$M$200,4,FALSE)</f>
        <v>492160</v>
      </c>
      <c r="AT101" s="5">
        <f>VLOOKUP($AF101,'251016'!$A$1:$M$200,5,FALSE)</f>
        <v>552</v>
      </c>
      <c r="AU101" s="5">
        <f t="shared" si="82"/>
        <v>121120</v>
      </c>
      <c r="AV101" s="5">
        <f t="shared" si="83"/>
        <v>15632</v>
      </c>
      <c r="AW101" s="5">
        <f t="shared" si="84"/>
        <v>0</v>
      </c>
      <c r="AX101" s="5">
        <f>VLOOKUP($AF101,'251017'!$A$1:$M$200,4,FALSE)</f>
        <v>602360</v>
      </c>
      <c r="AY101" s="5">
        <f>VLOOKUP($AF101,'251017'!$A$1:$M$200,5,FALSE)</f>
        <v>552</v>
      </c>
      <c r="AZ101" s="5">
        <f t="shared" si="85"/>
        <v>110200</v>
      </c>
      <c r="BA101" s="5">
        <f t="shared" si="86"/>
        <v>-10920</v>
      </c>
      <c r="BB101" s="5">
        <f t="shared" si="87"/>
        <v>0</v>
      </c>
      <c r="BC101" s="5">
        <f>VLOOKUP($AF101,'251018'!$A$1:$M$200,4,FALSE)</f>
        <v>762911</v>
      </c>
      <c r="BD101" s="5">
        <f>VLOOKUP($AF101,'251018'!$A$1:$M$200,5,FALSE)</f>
        <v>552</v>
      </c>
      <c r="BE101" s="5">
        <f t="shared" si="88"/>
        <v>160551</v>
      </c>
      <c r="BF101" s="5">
        <f t="shared" si="89"/>
        <v>50351</v>
      </c>
      <c r="BG101" s="5">
        <f t="shared" si="90"/>
        <v>0</v>
      </c>
      <c r="BH101" s="5">
        <f>VLOOKUP($AF101,'251018'!$A$1:$M$200,4,FALSE)</f>
        <v>762911</v>
      </c>
    </row>
    <row r="102" spans="1:60" x14ac:dyDescent="0.3">
      <c r="B102" s="5" t="s">
        <v>821</v>
      </c>
      <c r="C102" s="5">
        <f>VLOOKUP($B102,'251008_0시'!$A$1:$M$200,4,FALSE)</f>
        <v>248553</v>
      </c>
      <c r="D102" s="5">
        <f>VLOOKUP($B102,'251008_0시'!$A$1:$M$200,5,FALSE)</f>
        <v>5400</v>
      </c>
      <c r="E102" s="5">
        <f>VLOOKUP($B102,'251009_0시'!$A$1:$M$200,4,FALSE)</f>
        <v>366795</v>
      </c>
      <c r="F102" s="5">
        <f>VLOOKUP($B102,'251009_0시'!$A$1:$M$200,5,FALSE)</f>
        <v>6800</v>
      </c>
      <c r="G102" s="5">
        <f t="shared" ref="G102:G132" si="91">E102-C102</f>
        <v>118242</v>
      </c>
      <c r="H102" s="5">
        <f t="shared" ref="H102:H132" si="92">G102-(C102/2)</f>
        <v>-6034.5</v>
      </c>
      <c r="I102" s="5">
        <f t="shared" ref="I102:I132" si="93">F102-D102</f>
        <v>1400</v>
      </c>
      <c r="J102" s="5">
        <f>VLOOKUP($B102,'251010_0시'!$A$1:$M$200,4,FALSE)</f>
        <v>476597</v>
      </c>
      <c r="K102" s="5">
        <f>VLOOKUP($B102,'251010_0시'!$A$1:$M$200,5,FALSE)</f>
        <v>7002</v>
      </c>
      <c r="L102" s="5">
        <f t="shared" ref="L102:L132" si="94">J102-E102</f>
        <v>109802</v>
      </c>
      <c r="M102" s="5">
        <f t="shared" ref="M102:M132" si="95">L102-G102</f>
        <v>-8440</v>
      </c>
      <c r="N102" s="5">
        <f t="shared" ref="N102:N132" si="96">K102-F102</f>
        <v>202</v>
      </c>
      <c r="O102" s="5">
        <f>VLOOKUP($B102,'251011_0시'!$A$1:$M$200,4,FALSE)</f>
        <v>586363</v>
      </c>
      <c r="P102" s="5">
        <f>VLOOKUP($B102,'251011_0시'!$A$1:$M$200,5,FALSE)</f>
        <v>7002</v>
      </c>
      <c r="Q102" s="5">
        <f t="shared" ref="Q102:Q132" si="97">O102-J102</f>
        <v>109766</v>
      </c>
      <c r="R102" s="5">
        <f t="shared" ref="R102:R132" si="98">Q102-L102</f>
        <v>-36</v>
      </c>
      <c r="S102" s="5">
        <f t="shared" ref="S102:S132" si="99">P102-K102</f>
        <v>0</v>
      </c>
      <c r="T102" s="5">
        <f>VLOOKUP($B102,'251012_0시'!$A$1:$M$200,4,FALSE)</f>
        <v>698716</v>
      </c>
      <c r="U102" s="5">
        <f>VLOOKUP($B102,'251012_0시'!$A$1:$M$200,5,FALSE)</f>
        <v>7002</v>
      </c>
      <c r="V102" s="5">
        <f t="shared" ref="V102:V132" si="100">T102-O102</f>
        <v>112353</v>
      </c>
      <c r="W102" s="5">
        <f t="shared" ref="W102:W132" si="101">V102-Q102</f>
        <v>2587</v>
      </c>
      <c r="X102" s="5">
        <f t="shared" ref="X102:X132" si="102">U102-P102</f>
        <v>0</v>
      </c>
      <c r="Y102" s="5">
        <f>VLOOKUP($B102,'251013_0시'!$A$1:$M$200,4,FALSE)</f>
        <v>815146</v>
      </c>
      <c r="Z102" s="5">
        <f>VLOOKUP($B102,'251013_0시'!$A$1:$M$200,5,FALSE)</f>
        <v>7002</v>
      </c>
      <c r="AA102" s="5">
        <f t="shared" ref="AA102:AA132" si="103">Y102-T102</f>
        <v>116430</v>
      </c>
      <c r="AB102" s="5">
        <f t="shared" ref="AB102:AB132" si="104">AA102-V102</f>
        <v>4077</v>
      </c>
      <c r="AC102" s="5">
        <f t="shared" ref="AC102:AC132" si="105">Z102-U102</f>
        <v>0</v>
      </c>
      <c r="AD102" s="5">
        <f>VLOOKUP($B102,'251013_0시'!$A$1:$M$200,4,FALSE)</f>
        <v>815146</v>
      </c>
      <c r="AF102" s="5" t="s">
        <v>826</v>
      </c>
      <c r="AG102" s="5">
        <f>VLOOKUP($AF102,'251013'!$A$1:$M$200,4,FALSE)</f>
        <v>124426</v>
      </c>
      <c r="AH102" s="5">
        <f>VLOOKUP($AF102,'251013'!$A$1:$M$200,5,FALSE)</f>
        <v>1315</v>
      </c>
      <c r="AI102" s="5">
        <f>VLOOKUP($AF102,'251014'!$A$1:$M$200,4,FALSE)</f>
        <v>249207</v>
      </c>
      <c r="AJ102" s="5">
        <f>VLOOKUP($AF102,'251014'!$A$1:$M$200,5,FALSE)</f>
        <v>1865</v>
      </c>
      <c r="AK102" s="5">
        <f t="shared" ref="AK102:AK133" si="106">AI102-AG102</f>
        <v>124781</v>
      </c>
      <c r="AL102" s="5">
        <f t="shared" ref="AL102:AL133" si="107">AK102-AG102</f>
        <v>355</v>
      </c>
      <c r="AM102" s="5">
        <f t="shared" ref="AM102:AM133" si="108">AJ102-AH102</f>
        <v>550</v>
      </c>
      <c r="AN102" s="5">
        <f>VLOOKUP($AF102,'251015'!$A$1:$M$200,4,FALSE)</f>
        <v>374910</v>
      </c>
      <c r="AO102" s="5">
        <f>VLOOKUP($AF102,'251015'!$A$1:$M$200,5,FALSE)</f>
        <v>1964</v>
      </c>
      <c r="AP102" s="5">
        <f t="shared" ref="AP102:AP133" si="109">AN102-AI102</f>
        <v>125703</v>
      </c>
      <c r="AQ102" s="5">
        <f t="shared" ref="AQ102:AQ133" si="110">AP102-AK102</f>
        <v>922</v>
      </c>
      <c r="AR102" s="5">
        <f t="shared" ref="AR102:AR133" si="111">AO102-AJ102</f>
        <v>99</v>
      </c>
      <c r="AS102" s="5">
        <f>VLOOKUP($AF102,'251016'!$A$1:$M$200,4,FALSE)</f>
        <v>500961</v>
      </c>
      <c r="AT102" s="5">
        <f>VLOOKUP($AF102,'251016'!$A$1:$M$200,5,FALSE)</f>
        <v>1964</v>
      </c>
      <c r="AU102" s="5">
        <f t="shared" ref="AU102:AU133" si="112">AS102-AN102</f>
        <v>126051</v>
      </c>
      <c r="AV102" s="5">
        <f t="shared" ref="AV102:AV133" si="113">AU102-AP102</f>
        <v>348</v>
      </c>
      <c r="AW102" s="5">
        <f t="shared" ref="AW102:AW133" si="114">AT102-AO102</f>
        <v>0</v>
      </c>
      <c r="AX102" s="5">
        <f>VLOOKUP($AF102,'251017'!$A$1:$M$200,4,FALSE)</f>
        <v>646784</v>
      </c>
      <c r="AY102" s="5">
        <f>VLOOKUP($AF102,'251017'!$A$1:$M$200,5,FALSE)</f>
        <v>1964</v>
      </c>
      <c r="AZ102" s="5">
        <f t="shared" ref="AZ102:AZ133" si="115">AX102-AS102</f>
        <v>145823</v>
      </c>
      <c r="BA102" s="5">
        <f t="shared" ref="BA102:BA133" si="116">AZ102-AU102</f>
        <v>19772</v>
      </c>
      <c r="BB102" s="5">
        <f t="shared" ref="BB102:BB133" si="117">AY102-AT102</f>
        <v>0</v>
      </c>
      <c r="BC102" s="5">
        <f>VLOOKUP($AF102,'251018'!$A$1:$M$200,4,FALSE)</f>
        <v>757913</v>
      </c>
      <c r="BD102" s="5">
        <f>VLOOKUP($AF102,'251018'!$A$1:$M$200,5,FALSE)</f>
        <v>2152</v>
      </c>
      <c r="BE102" s="5">
        <f t="shared" ref="BE102:BE133" si="118">BC102-AX102</f>
        <v>111129</v>
      </c>
      <c r="BF102" s="5">
        <f t="shared" ref="BF102:BF133" si="119">BE102-AZ102</f>
        <v>-34694</v>
      </c>
      <c r="BG102" s="5">
        <f t="shared" ref="BG102:BG133" si="120">BD102-AY102</f>
        <v>188</v>
      </c>
      <c r="BH102" s="5">
        <f>VLOOKUP($AF102,'251018'!$A$1:$M$200,4,FALSE)</f>
        <v>757913</v>
      </c>
    </row>
    <row r="103" spans="1:60" x14ac:dyDescent="0.3">
      <c r="B103" s="5" t="s">
        <v>864</v>
      </c>
      <c r="C103" s="5">
        <f>VLOOKUP($B103,'251008_0시'!$A$1:$M$200,4,FALSE)</f>
        <v>174914</v>
      </c>
      <c r="D103" s="5">
        <f>VLOOKUP($B103,'251008_0시'!$A$1:$M$200,5,FALSE)</f>
        <v>350</v>
      </c>
      <c r="E103" s="5">
        <f>VLOOKUP($B103,'251009_0시'!$A$1:$M$200,4,FALSE)</f>
        <v>283790</v>
      </c>
      <c r="F103" s="5">
        <f>VLOOKUP($B103,'251009_0시'!$A$1:$M$200,5,FALSE)</f>
        <v>350</v>
      </c>
      <c r="G103" s="5">
        <f t="shared" si="91"/>
        <v>108876</v>
      </c>
      <c r="H103" s="5">
        <f t="shared" si="92"/>
        <v>21419</v>
      </c>
      <c r="I103" s="5">
        <f t="shared" si="93"/>
        <v>0</v>
      </c>
      <c r="J103" s="5">
        <f>VLOOKUP($B103,'251010_0시'!$A$1:$M$200,4,FALSE)</f>
        <v>410706</v>
      </c>
      <c r="K103" s="5">
        <f>VLOOKUP($B103,'251010_0시'!$A$1:$M$200,5,FALSE)</f>
        <v>350</v>
      </c>
      <c r="L103" s="5">
        <f t="shared" si="94"/>
        <v>126916</v>
      </c>
      <c r="M103" s="5">
        <f t="shared" si="95"/>
        <v>18040</v>
      </c>
      <c r="N103" s="5">
        <f t="shared" si="96"/>
        <v>0</v>
      </c>
      <c r="O103" s="5">
        <f>VLOOKUP($B103,'251011_0시'!$A$1:$M$200,4,FALSE)</f>
        <v>585143</v>
      </c>
      <c r="P103" s="5">
        <f>VLOOKUP($B103,'251011_0시'!$A$1:$M$200,5,FALSE)</f>
        <v>600</v>
      </c>
      <c r="Q103" s="5">
        <f t="shared" si="97"/>
        <v>174437</v>
      </c>
      <c r="R103" s="5">
        <f t="shared" si="98"/>
        <v>47521</v>
      </c>
      <c r="S103" s="5">
        <f t="shared" si="99"/>
        <v>250</v>
      </c>
      <c r="T103" s="5">
        <f>VLOOKUP($B103,'251012_0시'!$A$1:$M$200,4,FALSE)</f>
        <v>724616</v>
      </c>
      <c r="U103" s="5">
        <f>VLOOKUP($B103,'251012_0시'!$A$1:$M$200,5,FALSE)</f>
        <v>840</v>
      </c>
      <c r="V103" s="5">
        <f t="shared" si="100"/>
        <v>139473</v>
      </c>
      <c r="W103" s="5">
        <f t="shared" si="101"/>
        <v>-34964</v>
      </c>
      <c r="X103" s="5">
        <f t="shared" si="102"/>
        <v>240</v>
      </c>
      <c r="Y103" s="5">
        <f>VLOOKUP($B103,'251013_0시'!$A$1:$M$200,4,FALSE)</f>
        <v>813609</v>
      </c>
      <c r="Z103" s="5">
        <f>VLOOKUP($B103,'251013_0시'!$A$1:$M$200,5,FALSE)</f>
        <v>1190</v>
      </c>
      <c r="AA103" s="5">
        <f t="shared" si="103"/>
        <v>88993</v>
      </c>
      <c r="AB103" s="5">
        <f t="shared" si="104"/>
        <v>-50480</v>
      </c>
      <c r="AC103" s="5">
        <f t="shared" si="105"/>
        <v>350</v>
      </c>
      <c r="AD103" s="5">
        <f>VLOOKUP($B103,'251013_0시'!$A$1:$M$200,4,FALSE)</f>
        <v>813609</v>
      </c>
      <c r="AF103" s="5" t="s">
        <v>822</v>
      </c>
      <c r="AG103" s="5">
        <f>VLOOKUP($AF103,'251013'!$A$1:$M$200,4,FALSE)</f>
        <v>126238</v>
      </c>
      <c r="AH103" s="5">
        <f>VLOOKUP($AF103,'251013'!$A$1:$M$200,5,FALSE)</f>
        <v>0</v>
      </c>
      <c r="AI103" s="5">
        <f>VLOOKUP($AF103,'251014'!$A$1:$M$200,4,FALSE)</f>
        <v>256947</v>
      </c>
      <c r="AJ103" s="5">
        <f>VLOOKUP($AF103,'251014'!$A$1:$M$200,5,FALSE)</f>
        <v>350</v>
      </c>
      <c r="AK103" s="5">
        <f t="shared" si="106"/>
        <v>130709</v>
      </c>
      <c r="AL103" s="5">
        <f t="shared" si="107"/>
        <v>4471</v>
      </c>
      <c r="AM103" s="5">
        <f t="shared" si="108"/>
        <v>350</v>
      </c>
      <c r="AN103" s="5">
        <f>VLOOKUP($AF103,'251015'!$A$1:$M$200,4,FALSE)</f>
        <v>408612</v>
      </c>
      <c r="AO103" s="5">
        <f>VLOOKUP($AF103,'251015'!$A$1:$M$200,5,FALSE)</f>
        <v>350</v>
      </c>
      <c r="AP103" s="5">
        <f t="shared" si="109"/>
        <v>151665</v>
      </c>
      <c r="AQ103" s="5">
        <f t="shared" si="110"/>
        <v>20956</v>
      </c>
      <c r="AR103" s="5">
        <f t="shared" si="111"/>
        <v>0</v>
      </c>
      <c r="AS103" s="5">
        <f>VLOOKUP($AF103,'251016'!$A$1:$M$200,4,FALSE)</f>
        <v>491517</v>
      </c>
      <c r="AT103" s="5">
        <f>VLOOKUP($AF103,'251016'!$A$1:$M$200,5,FALSE)</f>
        <v>1700</v>
      </c>
      <c r="AU103" s="5">
        <f t="shared" si="112"/>
        <v>82905</v>
      </c>
      <c r="AV103" s="5">
        <f t="shared" si="113"/>
        <v>-68760</v>
      </c>
      <c r="AW103" s="5">
        <f t="shared" si="114"/>
        <v>1350</v>
      </c>
      <c r="AX103" s="5">
        <f>VLOOKUP($AF103,'251017'!$A$1:$M$200,4,FALSE)</f>
        <v>636117</v>
      </c>
      <c r="AY103" s="5">
        <f>VLOOKUP($AF103,'251017'!$A$1:$M$200,5,FALSE)</f>
        <v>3500</v>
      </c>
      <c r="AZ103" s="5">
        <f t="shared" si="115"/>
        <v>144600</v>
      </c>
      <c r="BA103" s="5">
        <f t="shared" si="116"/>
        <v>61695</v>
      </c>
      <c r="BB103" s="5">
        <f t="shared" si="117"/>
        <v>1800</v>
      </c>
      <c r="BC103" s="5">
        <f>VLOOKUP($AF103,'251018'!$A$1:$M$200,4,FALSE)</f>
        <v>747407</v>
      </c>
      <c r="BD103" s="5">
        <f>VLOOKUP($AF103,'251018'!$A$1:$M$200,5,FALSE)</f>
        <v>3850</v>
      </c>
      <c r="BE103" s="5">
        <f t="shared" si="118"/>
        <v>111290</v>
      </c>
      <c r="BF103" s="5">
        <f t="shared" si="119"/>
        <v>-33310</v>
      </c>
      <c r="BG103" s="5">
        <f t="shared" si="120"/>
        <v>350</v>
      </c>
      <c r="BH103" s="5">
        <f>VLOOKUP($AF103,'251018'!$A$1:$M$200,4,FALSE)</f>
        <v>747407</v>
      </c>
    </row>
    <row r="104" spans="1:60" x14ac:dyDescent="0.3">
      <c r="B104" s="5" t="s">
        <v>806</v>
      </c>
      <c r="C104" s="5">
        <f>VLOOKUP($B104,'251008_0시'!$A$1:$M$200,4,FALSE)</f>
        <v>192907</v>
      </c>
      <c r="D104" s="5">
        <f>VLOOKUP($B104,'251008_0시'!$A$1:$M$200,5,FALSE)</f>
        <v>0</v>
      </c>
      <c r="E104" s="5">
        <f>VLOOKUP($B104,'251009_0시'!$A$1:$M$200,4,FALSE)</f>
        <v>300678</v>
      </c>
      <c r="F104" s="5">
        <f>VLOOKUP($B104,'251009_0시'!$A$1:$M$200,5,FALSE)</f>
        <v>50</v>
      </c>
      <c r="G104" s="5">
        <f t="shared" si="91"/>
        <v>107771</v>
      </c>
      <c r="H104" s="5">
        <f t="shared" si="92"/>
        <v>11317.5</v>
      </c>
      <c r="I104" s="5">
        <f t="shared" si="93"/>
        <v>50</v>
      </c>
      <c r="J104" s="5">
        <f>VLOOKUP($B104,'251010_0시'!$A$1:$M$200,4,FALSE)</f>
        <v>422755</v>
      </c>
      <c r="K104" s="5">
        <f>VLOOKUP($B104,'251010_0시'!$A$1:$M$200,5,FALSE)</f>
        <v>444</v>
      </c>
      <c r="L104" s="5">
        <f t="shared" si="94"/>
        <v>122077</v>
      </c>
      <c r="M104" s="5">
        <f t="shared" si="95"/>
        <v>14306</v>
      </c>
      <c r="N104" s="5">
        <f t="shared" si="96"/>
        <v>394</v>
      </c>
      <c r="O104" s="5">
        <f>VLOOKUP($B104,'251011_0시'!$A$1:$M$200,4,FALSE)</f>
        <v>576984</v>
      </c>
      <c r="P104" s="5">
        <f>VLOOKUP($B104,'251011_0시'!$A$1:$M$200,5,FALSE)</f>
        <v>444</v>
      </c>
      <c r="Q104" s="5">
        <f t="shared" si="97"/>
        <v>154229</v>
      </c>
      <c r="R104" s="5">
        <f t="shared" si="98"/>
        <v>32152</v>
      </c>
      <c r="S104" s="5">
        <f t="shared" si="99"/>
        <v>0</v>
      </c>
      <c r="T104" s="5">
        <f>VLOOKUP($B104,'251012_0시'!$A$1:$M$200,4,FALSE)</f>
        <v>654830</v>
      </c>
      <c r="U104" s="5">
        <f>VLOOKUP($B104,'251012_0시'!$A$1:$M$200,5,FALSE)</f>
        <v>444</v>
      </c>
      <c r="V104" s="5">
        <f t="shared" si="100"/>
        <v>77846</v>
      </c>
      <c r="W104" s="5">
        <f t="shared" si="101"/>
        <v>-76383</v>
      </c>
      <c r="X104" s="5">
        <f t="shared" si="102"/>
        <v>0</v>
      </c>
      <c r="Y104" s="5">
        <f>VLOOKUP($B104,'251013_0시'!$A$1:$M$200,4,FALSE)</f>
        <v>812452</v>
      </c>
      <c r="Z104" s="5">
        <f>VLOOKUP($B104,'251013_0시'!$A$1:$M$200,5,FALSE)</f>
        <v>444</v>
      </c>
      <c r="AA104" s="5">
        <f t="shared" si="103"/>
        <v>157622</v>
      </c>
      <c r="AB104" s="5">
        <f t="shared" si="104"/>
        <v>79776</v>
      </c>
      <c r="AC104" s="5">
        <f t="shared" si="105"/>
        <v>0</v>
      </c>
      <c r="AD104" s="5">
        <f>VLOOKUP($B104,'251013_0시'!$A$1:$M$200,4,FALSE)</f>
        <v>812452</v>
      </c>
      <c r="AF104" s="5" t="s">
        <v>603</v>
      </c>
      <c r="AG104" s="5">
        <f>VLOOKUP($AF104,'251013'!$A$1:$M$200,4,FALSE)</f>
        <v>121958</v>
      </c>
      <c r="AH104" s="5">
        <f>VLOOKUP($AF104,'251013'!$A$1:$M$200,5,FALSE)</f>
        <v>0</v>
      </c>
      <c r="AI104" s="5">
        <f>VLOOKUP($AF104,'251014'!$A$1:$M$200,4,FALSE)</f>
        <v>228707</v>
      </c>
      <c r="AJ104" s="5">
        <f>VLOOKUP($AF104,'251014'!$A$1:$M$200,5,FALSE)</f>
        <v>50</v>
      </c>
      <c r="AK104" s="5">
        <f t="shared" si="106"/>
        <v>106749</v>
      </c>
      <c r="AL104" s="5">
        <f t="shared" si="107"/>
        <v>-15209</v>
      </c>
      <c r="AM104" s="5">
        <f t="shared" si="108"/>
        <v>50</v>
      </c>
      <c r="AN104" s="5">
        <f>VLOOKUP($AF104,'251015'!$A$1:$M$200,4,FALSE)</f>
        <v>319960</v>
      </c>
      <c r="AO104" s="5">
        <f>VLOOKUP($AF104,'251015'!$A$1:$M$200,5,FALSE)</f>
        <v>50</v>
      </c>
      <c r="AP104" s="5">
        <f t="shared" si="109"/>
        <v>91253</v>
      </c>
      <c r="AQ104" s="5">
        <f t="shared" si="110"/>
        <v>-15496</v>
      </c>
      <c r="AR104" s="5">
        <f t="shared" si="111"/>
        <v>0</v>
      </c>
      <c r="AS104" s="5">
        <f>VLOOKUP($AF104,'251016'!$A$1:$M$200,4,FALSE)</f>
        <v>417532</v>
      </c>
      <c r="AT104" s="5">
        <f>VLOOKUP($AF104,'251016'!$A$1:$M$200,5,FALSE)</f>
        <v>50</v>
      </c>
      <c r="AU104" s="5">
        <f t="shared" si="112"/>
        <v>97572</v>
      </c>
      <c r="AV104" s="5">
        <f t="shared" si="113"/>
        <v>6319</v>
      </c>
      <c r="AW104" s="5">
        <f t="shared" si="114"/>
        <v>0</v>
      </c>
      <c r="AX104" s="5">
        <f>VLOOKUP($AF104,'251017'!$A$1:$M$200,4,FALSE)</f>
        <v>582534</v>
      </c>
      <c r="AY104" s="5">
        <f>VLOOKUP($AF104,'251017'!$A$1:$M$200,5,FALSE)</f>
        <v>151</v>
      </c>
      <c r="AZ104" s="5">
        <f t="shared" si="115"/>
        <v>165002</v>
      </c>
      <c r="BA104" s="5">
        <f t="shared" si="116"/>
        <v>67430</v>
      </c>
      <c r="BB104" s="5">
        <f t="shared" si="117"/>
        <v>101</v>
      </c>
      <c r="BC104" s="5">
        <f>VLOOKUP($AF104,'251018'!$A$1:$M$200,4,FALSE)</f>
        <v>741466</v>
      </c>
      <c r="BD104" s="5">
        <f>VLOOKUP($AF104,'251018'!$A$1:$M$200,5,FALSE)</f>
        <v>151</v>
      </c>
      <c r="BE104" s="5">
        <f t="shared" si="118"/>
        <v>158932</v>
      </c>
      <c r="BF104" s="5">
        <f t="shared" si="119"/>
        <v>-6070</v>
      </c>
      <c r="BG104" s="5">
        <f t="shared" si="120"/>
        <v>0</v>
      </c>
      <c r="BH104" s="5">
        <f>VLOOKUP($AF104,'251018'!$A$1:$M$200,4,FALSE)</f>
        <v>741466</v>
      </c>
    </row>
    <row r="105" spans="1:60" x14ac:dyDescent="0.3">
      <c r="B105" s="5" t="s">
        <v>782</v>
      </c>
      <c r="C105" s="5">
        <f>VLOOKUP($B105,'251008_0시'!$A$1:$M$200,4,FALSE)</f>
        <v>225203</v>
      </c>
      <c r="D105" s="5">
        <f>VLOOKUP($B105,'251008_0시'!$A$1:$M$200,5,FALSE)</f>
        <v>950</v>
      </c>
      <c r="E105" s="5">
        <f>VLOOKUP($B105,'251009_0시'!$A$1:$M$200,4,FALSE)</f>
        <v>384242</v>
      </c>
      <c r="F105" s="5">
        <f>VLOOKUP($B105,'251009_0시'!$A$1:$M$200,5,FALSE)</f>
        <v>1750</v>
      </c>
      <c r="G105" s="5">
        <f t="shared" si="91"/>
        <v>159039</v>
      </c>
      <c r="H105" s="5">
        <f t="shared" si="92"/>
        <v>46437.5</v>
      </c>
      <c r="I105" s="5">
        <f t="shared" si="93"/>
        <v>800</v>
      </c>
      <c r="J105" s="5">
        <f>VLOOKUP($B105,'251010_0시'!$A$1:$M$200,4,FALSE)</f>
        <v>473305</v>
      </c>
      <c r="K105" s="5">
        <f>VLOOKUP($B105,'251010_0시'!$A$1:$M$200,5,FALSE)</f>
        <v>3550</v>
      </c>
      <c r="L105" s="5">
        <f t="shared" si="94"/>
        <v>89063</v>
      </c>
      <c r="M105" s="5">
        <f t="shared" si="95"/>
        <v>-69976</v>
      </c>
      <c r="N105" s="5">
        <f t="shared" si="96"/>
        <v>1800</v>
      </c>
      <c r="O105" s="5">
        <f>VLOOKUP($B105,'251011_0시'!$A$1:$M$200,4,FALSE)</f>
        <v>581590</v>
      </c>
      <c r="P105" s="5">
        <f>VLOOKUP($B105,'251011_0시'!$A$1:$M$200,5,FALSE)</f>
        <v>3670</v>
      </c>
      <c r="Q105" s="5">
        <f t="shared" si="97"/>
        <v>108285</v>
      </c>
      <c r="R105" s="5">
        <f t="shared" si="98"/>
        <v>19222</v>
      </c>
      <c r="S105" s="5">
        <f t="shared" si="99"/>
        <v>120</v>
      </c>
      <c r="T105" s="5">
        <f>VLOOKUP($B105,'251012_0시'!$A$1:$M$200,4,FALSE)</f>
        <v>667909</v>
      </c>
      <c r="U105" s="5">
        <f>VLOOKUP($B105,'251012_0시'!$A$1:$M$200,5,FALSE)</f>
        <v>3670</v>
      </c>
      <c r="V105" s="5">
        <f t="shared" si="100"/>
        <v>86319</v>
      </c>
      <c r="W105" s="5">
        <f t="shared" si="101"/>
        <v>-21966</v>
      </c>
      <c r="X105" s="5">
        <f t="shared" si="102"/>
        <v>0</v>
      </c>
      <c r="Y105" s="5">
        <f>VLOOKUP($B105,'251013_0시'!$A$1:$M$200,4,FALSE)</f>
        <v>796684</v>
      </c>
      <c r="Z105" s="5">
        <f>VLOOKUP($B105,'251013_0시'!$A$1:$M$200,5,FALSE)</f>
        <v>3670</v>
      </c>
      <c r="AA105" s="5">
        <f t="shared" si="103"/>
        <v>128775</v>
      </c>
      <c r="AB105" s="5">
        <f t="shared" si="104"/>
        <v>42456</v>
      </c>
      <c r="AC105" s="5">
        <f t="shared" si="105"/>
        <v>0</v>
      </c>
      <c r="AD105" s="5">
        <f>VLOOKUP($B105,'251013_0시'!$A$1:$M$200,4,FALSE)</f>
        <v>796684</v>
      </c>
      <c r="AF105" s="5" t="s">
        <v>823</v>
      </c>
      <c r="AG105" s="5">
        <f>VLOOKUP($AF105,'251013'!$A$1:$M$200,4,FALSE)</f>
        <v>103272</v>
      </c>
      <c r="AH105" s="5">
        <f>VLOOKUP($AF105,'251013'!$A$1:$M$200,5,FALSE)</f>
        <v>293</v>
      </c>
      <c r="AI105" s="5">
        <f>VLOOKUP($AF105,'251014'!$A$1:$M$200,4,FALSE)</f>
        <v>211340</v>
      </c>
      <c r="AJ105" s="5">
        <f>VLOOKUP($AF105,'251014'!$A$1:$M$200,5,FALSE)</f>
        <v>293</v>
      </c>
      <c r="AK105" s="5">
        <f t="shared" si="106"/>
        <v>108068</v>
      </c>
      <c r="AL105" s="5">
        <f t="shared" si="107"/>
        <v>4796</v>
      </c>
      <c r="AM105" s="5">
        <f t="shared" si="108"/>
        <v>0</v>
      </c>
      <c r="AN105" s="5">
        <f>VLOOKUP($AF105,'251015'!$A$1:$M$200,4,FALSE)</f>
        <v>369493</v>
      </c>
      <c r="AO105" s="5">
        <f>VLOOKUP($AF105,'251015'!$A$1:$M$200,5,FALSE)</f>
        <v>293</v>
      </c>
      <c r="AP105" s="5">
        <f t="shared" si="109"/>
        <v>158153</v>
      </c>
      <c r="AQ105" s="5">
        <f t="shared" si="110"/>
        <v>50085</v>
      </c>
      <c r="AR105" s="5">
        <f t="shared" si="111"/>
        <v>0</v>
      </c>
      <c r="AS105" s="5">
        <f>VLOOKUP($AF105,'251016'!$A$1:$M$200,4,FALSE)</f>
        <v>502970</v>
      </c>
      <c r="AT105" s="5">
        <f>VLOOKUP($AF105,'251016'!$A$1:$M$200,5,FALSE)</f>
        <v>643</v>
      </c>
      <c r="AU105" s="5">
        <f t="shared" si="112"/>
        <v>133477</v>
      </c>
      <c r="AV105" s="5">
        <f t="shared" si="113"/>
        <v>-24676</v>
      </c>
      <c r="AW105" s="5">
        <f t="shared" si="114"/>
        <v>350</v>
      </c>
      <c r="AX105" s="5">
        <f>VLOOKUP($AF105,'251017'!$A$1:$M$200,4,FALSE)</f>
        <v>622679</v>
      </c>
      <c r="AY105" s="5">
        <f>VLOOKUP($AF105,'251017'!$A$1:$M$200,5,FALSE)</f>
        <v>643</v>
      </c>
      <c r="AZ105" s="5">
        <f t="shared" si="115"/>
        <v>119709</v>
      </c>
      <c r="BA105" s="5">
        <f t="shared" si="116"/>
        <v>-13768</v>
      </c>
      <c r="BB105" s="5">
        <f t="shared" si="117"/>
        <v>0</v>
      </c>
      <c r="BC105" s="5">
        <f>VLOOKUP($AF105,'251018'!$A$1:$M$200,4,FALSE)</f>
        <v>733445</v>
      </c>
      <c r="BD105" s="5">
        <f>VLOOKUP($AF105,'251018'!$A$1:$M$200,5,FALSE)</f>
        <v>643</v>
      </c>
      <c r="BE105" s="5">
        <f t="shared" si="118"/>
        <v>110766</v>
      </c>
      <c r="BF105" s="5">
        <f t="shared" si="119"/>
        <v>-8943</v>
      </c>
      <c r="BG105" s="5">
        <f t="shared" si="120"/>
        <v>0</v>
      </c>
      <c r="BH105" s="5">
        <f>VLOOKUP($AF105,'251018'!$A$1:$M$200,4,FALSE)</f>
        <v>733445</v>
      </c>
    </row>
    <row r="106" spans="1:60" x14ac:dyDescent="0.3">
      <c r="B106" s="5" t="s">
        <v>972</v>
      </c>
      <c r="C106" s="5">
        <f>VLOOKUP($B106,'251008_0시'!$A$1:$M$200,4,FALSE)</f>
        <v>103195</v>
      </c>
      <c r="D106" s="5">
        <f>VLOOKUP($B106,'251008_0시'!$A$1:$M$200,5,FALSE)</f>
        <v>0</v>
      </c>
      <c r="E106" s="5">
        <f>VLOOKUP($B106,'251009_0시'!$A$1:$M$200,4,FALSE)</f>
        <v>262072</v>
      </c>
      <c r="F106" s="5">
        <f>VLOOKUP($B106,'251009_0시'!$A$1:$M$200,5,FALSE)</f>
        <v>101</v>
      </c>
      <c r="G106" s="5">
        <f t="shared" si="91"/>
        <v>158877</v>
      </c>
      <c r="H106" s="5">
        <f t="shared" si="92"/>
        <v>107279.5</v>
      </c>
      <c r="I106" s="5">
        <f t="shared" si="93"/>
        <v>101</v>
      </c>
      <c r="J106" s="5">
        <f>VLOOKUP($B106,'251010_0시'!$A$1:$M$200,4,FALSE)</f>
        <v>434363</v>
      </c>
      <c r="K106" s="5">
        <f>VLOOKUP($B106,'251010_0시'!$A$1:$M$200,5,FALSE)</f>
        <v>717</v>
      </c>
      <c r="L106" s="5">
        <f t="shared" si="94"/>
        <v>172291</v>
      </c>
      <c r="M106" s="5">
        <f t="shared" si="95"/>
        <v>13414</v>
      </c>
      <c r="N106" s="5">
        <f t="shared" si="96"/>
        <v>616</v>
      </c>
      <c r="O106" s="5">
        <f>VLOOKUP($B106,'251011_0시'!$A$1:$M$200,4,FALSE)</f>
        <v>552073</v>
      </c>
      <c r="P106" s="5">
        <f>VLOOKUP($B106,'251011_0시'!$A$1:$M$200,5,FALSE)</f>
        <v>757</v>
      </c>
      <c r="Q106" s="5">
        <f t="shared" si="97"/>
        <v>117710</v>
      </c>
      <c r="R106" s="5">
        <f t="shared" si="98"/>
        <v>-54581</v>
      </c>
      <c r="S106" s="5">
        <f t="shared" si="99"/>
        <v>40</v>
      </c>
      <c r="T106" s="5">
        <f>VLOOKUP($B106,'251012_0시'!$A$1:$M$200,4,FALSE)</f>
        <v>671496</v>
      </c>
      <c r="U106" s="5">
        <f>VLOOKUP($B106,'251012_0시'!$A$1:$M$200,5,FALSE)</f>
        <v>828</v>
      </c>
      <c r="V106" s="5">
        <f t="shared" si="100"/>
        <v>119423</v>
      </c>
      <c r="W106" s="5">
        <f t="shared" si="101"/>
        <v>1713</v>
      </c>
      <c r="X106" s="5">
        <f t="shared" si="102"/>
        <v>71</v>
      </c>
      <c r="Y106" s="5">
        <f>VLOOKUP($B106,'251013_0시'!$A$1:$M$200,4,FALSE)</f>
        <v>793020</v>
      </c>
      <c r="Z106" s="5">
        <f>VLOOKUP($B106,'251013_0시'!$A$1:$M$200,5,FALSE)</f>
        <v>878</v>
      </c>
      <c r="AA106" s="5">
        <f t="shared" si="103"/>
        <v>121524</v>
      </c>
      <c r="AB106" s="5">
        <f t="shared" si="104"/>
        <v>2101</v>
      </c>
      <c r="AC106" s="5">
        <f t="shared" si="105"/>
        <v>50</v>
      </c>
      <c r="AD106" s="5">
        <f>VLOOKUP($B106,'251013_0시'!$A$1:$M$200,4,FALSE)</f>
        <v>793020</v>
      </c>
      <c r="AF106" s="5" t="s">
        <v>834</v>
      </c>
      <c r="AG106" s="5">
        <f>VLOOKUP($AF106,'251013'!$A$1:$M$200,4,FALSE)</f>
        <v>125672</v>
      </c>
      <c r="AH106" s="5">
        <f>VLOOKUP($AF106,'251013'!$A$1:$M$200,5,FALSE)</f>
        <v>209</v>
      </c>
      <c r="AI106" s="5">
        <f>VLOOKUP($AF106,'251014'!$A$1:$M$200,4,FALSE)</f>
        <v>241119</v>
      </c>
      <c r="AJ106" s="5">
        <f>VLOOKUP($AF106,'251014'!$A$1:$M$200,5,FALSE)</f>
        <v>714</v>
      </c>
      <c r="AK106" s="5">
        <f t="shared" si="106"/>
        <v>115447</v>
      </c>
      <c r="AL106" s="5">
        <f t="shared" si="107"/>
        <v>-10225</v>
      </c>
      <c r="AM106" s="5">
        <f t="shared" si="108"/>
        <v>505</v>
      </c>
      <c r="AN106" s="5">
        <f>VLOOKUP($AF106,'251015'!$A$1:$M$200,4,FALSE)</f>
        <v>379380</v>
      </c>
      <c r="AO106" s="5">
        <f>VLOOKUP($AF106,'251015'!$A$1:$M$200,5,FALSE)</f>
        <v>714</v>
      </c>
      <c r="AP106" s="5">
        <f t="shared" si="109"/>
        <v>138261</v>
      </c>
      <c r="AQ106" s="5">
        <f t="shared" si="110"/>
        <v>22814</v>
      </c>
      <c r="AR106" s="5">
        <f t="shared" si="111"/>
        <v>0</v>
      </c>
      <c r="AS106" s="5">
        <f>VLOOKUP($AF106,'251016'!$A$1:$M$200,4,FALSE)</f>
        <v>467080</v>
      </c>
      <c r="AT106" s="5">
        <f>VLOOKUP($AF106,'251016'!$A$1:$M$200,5,FALSE)</f>
        <v>714</v>
      </c>
      <c r="AU106" s="5">
        <f t="shared" si="112"/>
        <v>87700</v>
      </c>
      <c r="AV106" s="5">
        <f t="shared" si="113"/>
        <v>-50561</v>
      </c>
      <c r="AW106" s="5">
        <f t="shared" si="114"/>
        <v>0</v>
      </c>
      <c r="AX106" s="5">
        <f>VLOOKUP($AF106,'251017'!$A$1:$M$200,4,FALSE)</f>
        <v>563496</v>
      </c>
      <c r="AY106" s="5">
        <f>VLOOKUP($AF106,'251017'!$A$1:$M$200,5,FALSE)</f>
        <v>714</v>
      </c>
      <c r="AZ106" s="5">
        <f t="shared" si="115"/>
        <v>96416</v>
      </c>
      <c r="BA106" s="5">
        <f t="shared" si="116"/>
        <v>8716</v>
      </c>
      <c r="BB106" s="5">
        <f t="shared" si="117"/>
        <v>0</v>
      </c>
      <c r="BC106" s="5">
        <f>VLOOKUP($AF106,'251018'!$A$1:$M$200,4,FALSE)</f>
        <v>730679</v>
      </c>
      <c r="BD106" s="5">
        <f>VLOOKUP($AF106,'251018'!$A$1:$M$200,5,FALSE)</f>
        <v>714</v>
      </c>
      <c r="BE106" s="5">
        <f t="shared" si="118"/>
        <v>167183</v>
      </c>
      <c r="BF106" s="5">
        <f t="shared" si="119"/>
        <v>70767</v>
      </c>
      <c r="BG106" s="5">
        <f t="shared" si="120"/>
        <v>0</v>
      </c>
      <c r="BH106" s="5">
        <f>VLOOKUP($AF106,'251018'!$A$1:$M$200,4,FALSE)</f>
        <v>730679</v>
      </c>
    </row>
    <row r="107" spans="1:60" x14ac:dyDescent="0.3">
      <c r="B107" s="5" t="s">
        <v>836</v>
      </c>
      <c r="C107" s="5">
        <f>VLOOKUP($B107,'251008_0시'!$A$1:$M$200,4,FALSE)</f>
        <v>206692</v>
      </c>
      <c r="D107" s="5">
        <f>VLOOKUP($B107,'251008_0시'!$A$1:$M$200,5,FALSE)</f>
        <v>0</v>
      </c>
      <c r="E107" s="5">
        <f>VLOOKUP($B107,'251009_0시'!$A$1:$M$200,4,FALSE)</f>
        <v>323335</v>
      </c>
      <c r="F107" s="5">
        <f>VLOOKUP($B107,'251009_0시'!$A$1:$M$200,5,FALSE)</f>
        <v>0</v>
      </c>
      <c r="G107" s="5">
        <f t="shared" si="91"/>
        <v>116643</v>
      </c>
      <c r="H107" s="5">
        <f t="shared" si="92"/>
        <v>13297</v>
      </c>
      <c r="I107" s="5">
        <f t="shared" si="93"/>
        <v>0</v>
      </c>
      <c r="J107" s="5">
        <f>VLOOKUP($B107,'251010_0시'!$A$1:$M$200,4,FALSE)</f>
        <v>428766</v>
      </c>
      <c r="K107" s="5">
        <f>VLOOKUP($B107,'251010_0시'!$A$1:$M$200,5,FALSE)</f>
        <v>0</v>
      </c>
      <c r="L107" s="5">
        <f t="shared" si="94"/>
        <v>105431</v>
      </c>
      <c r="M107" s="5">
        <f t="shared" si="95"/>
        <v>-11212</v>
      </c>
      <c r="N107" s="5">
        <f t="shared" si="96"/>
        <v>0</v>
      </c>
      <c r="O107" s="5">
        <f>VLOOKUP($B107,'251011_0시'!$A$1:$M$200,4,FALSE)</f>
        <v>536151</v>
      </c>
      <c r="P107" s="5">
        <f>VLOOKUP($B107,'251011_0시'!$A$1:$M$200,5,FALSE)</f>
        <v>0</v>
      </c>
      <c r="Q107" s="5">
        <f t="shared" si="97"/>
        <v>107385</v>
      </c>
      <c r="R107" s="5">
        <f t="shared" si="98"/>
        <v>1954</v>
      </c>
      <c r="S107" s="5">
        <f t="shared" si="99"/>
        <v>0</v>
      </c>
      <c r="T107" s="5">
        <f>VLOOKUP($B107,'251012_0시'!$A$1:$M$200,4,FALSE)</f>
        <v>663287</v>
      </c>
      <c r="U107" s="5">
        <f>VLOOKUP($B107,'251012_0시'!$A$1:$M$200,5,FALSE)</f>
        <v>0</v>
      </c>
      <c r="V107" s="5">
        <f t="shared" si="100"/>
        <v>127136</v>
      </c>
      <c r="W107" s="5">
        <f t="shared" si="101"/>
        <v>19751</v>
      </c>
      <c r="X107" s="5">
        <f t="shared" si="102"/>
        <v>0</v>
      </c>
      <c r="Y107" s="5">
        <f>VLOOKUP($B107,'251013_0시'!$A$1:$M$200,4,FALSE)</f>
        <v>789426</v>
      </c>
      <c r="Z107" s="5">
        <f>VLOOKUP($B107,'251013_0시'!$A$1:$M$200,5,FALSE)</f>
        <v>0</v>
      </c>
      <c r="AA107" s="5">
        <f t="shared" si="103"/>
        <v>126139</v>
      </c>
      <c r="AB107" s="5">
        <f t="shared" si="104"/>
        <v>-997</v>
      </c>
      <c r="AC107" s="5">
        <f t="shared" si="105"/>
        <v>0</v>
      </c>
      <c r="AD107" s="5">
        <f>VLOOKUP($B107,'251013_0시'!$A$1:$M$200,4,FALSE)</f>
        <v>789426</v>
      </c>
      <c r="AF107" s="5" t="s">
        <v>865</v>
      </c>
      <c r="AG107" s="5">
        <f>VLOOKUP($AF107,'251013'!$A$1:$M$200,4,FALSE)</f>
        <v>111212</v>
      </c>
      <c r="AH107" s="5">
        <f>VLOOKUP($AF107,'251013'!$A$1:$M$200,5,FALSE)</f>
        <v>0</v>
      </c>
      <c r="AI107" s="5">
        <f>VLOOKUP($AF107,'251014'!$A$1:$M$200,4,FALSE)</f>
        <v>246623</v>
      </c>
      <c r="AJ107" s="5">
        <f>VLOOKUP($AF107,'251014'!$A$1:$M$200,5,FALSE)</f>
        <v>0</v>
      </c>
      <c r="AK107" s="5">
        <f t="shared" si="106"/>
        <v>135411</v>
      </c>
      <c r="AL107" s="5">
        <f t="shared" si="107"/>
        <v>24199</v>
      </c>
      <c r="AM107" s="5">
        <f t="shared" si="108"/>
        <v>0</v>
      </c>
      <c r="AN107" s="5">
        <f>VLOOKUP($AF107,'251015'!$A$1:$M$200,4,FALSE)</f>
        <v>376992</v>
      </c>
      <c r="AO107" s="5">
        <f>VLOOKUP($AF107,'251015'!$A$1:$M$200,5,FALSE)</f>
        <v>0</v>
      </c>
      <c r="AP107" s="5">
        <f t="shared" si="109"/>
        <v>130369</v>
      </c>
      <c r="AQ107" s="5">
        <f t="shared" si="110"/>
        <v>-5042</v>
      </c>
      <c r="AR107" s="5">
        <f t="shared" si="111"/>
        <v>0</v>
      </c>
      <c r="AS107" s="5">
        <f>VLOOKUP($AF107,'251016'!$A$1:$M$200,4,FALSE)</f>
        <v>505590</v>
      </c>
      <c r="AT107" s="5">
        <f>VLOOKUP($AF107,'251016'!$A$1:$M$200,5,FALSE)</f>
        <v>0</v>
      </c>
      <c r="AU107" s="5">
        <f t="shared" si="112"/>
        <v>128598</v>
      </c>
      <c r="AV107" s="5">
        <f t="shared" si="113"/>
        <v>-1771</v>
      </c>
      <c r="AW107" s="5">
        <f t="shared" si="114"/>
        <v>0</v>
      </c>
      <c r="AX107" s="5">
        <f>VLOOKUP($AF107,'251017'!$A$1:$M$200,4,FALSE)</f>
        <v>593479</v>
      </c>
      <c r="AY107" s="5">
        <f>VLOOKUP($AF107,'251017'!$A$1:$M$200,5,FALSE)</f>
        <v>0</v>
      </c>
      <c r="AZ107" s="5">
        <f t="shared" si="115"/>
        <v>87889</v>
      </c>
      <c r="BA107" s="5">
        <f t="shared" si="116"/>
        <v>-40709</v>
      </c>
      <c r="BB107" s="5">
        <f t="shared" si="117"/>
        <v>0</v>
      </c>
      <c r="BC107" s="5">
        <f>VLOOKUP($AF107,'251018'!$A$1:$M$200,4,FALSE)</f>
        <v>728835</v>
      </c>
      <c r="BD107" s="5">
        <f>VLOOKUP($AF107,'251018'!$A$1:$M$200,5,FALSE)</f>
        <v>0</v>
      </c>
      <c r="BE107" s="5">
        <f t="shared" si="118"/>
        <v>135356</v>
      </c>
      <c r="BF107" s="5">
        <f t="shared" si="119"/>
        <v>47467</v>
      </c>
      <c r="BG107" s="5">
        <f t="shared" si="120"/>
        <v>0</v>
      </c>
      <c r="BH107" s="5">
        <f>VLOOKUP($AF107,'251018'!$A$1:$M$200,4,FALSE)</f>
        <v>728835</v>
      </c>
    </row>
    <row r="108" spans="1:60" x14ac:dyDescent="0.3">
      <c r="B108" s="5" t="s">
        <v>839</v>
      </c>
      <c r="C108" s="5">
        <f>VLOOKUP($B108,'251008_0시'!$A$1:$M$200,4,FALSE)</f>
        <v>246463</v>
      </c>
      <c r="D108" s="5">
        <f>VLOOKUP($B108,'251008_0시'!$A$1:$M$200,5,FALSE)</f>
        <v>0</v>
      </c>
      <c r="E108" s="5">
        <f>VLOOKUP($B108,'251009_0시'!$A$1:$M$200,4,FALSE)</f>
        <v>416204</v>
      </c>
      <c r="F108" s="5">
        <f>VLOOKUP($B108,'251009_0시'!$A$1:$M$200,5,FALSE)</f>
        <v>302</v>
      </c>
      <c r="G108" s="5">
        <f t="shared" si="91"/>
        <v>169741</v>
      </c>
      <c r="H108" s="5">
        <f t="shared" si="92"/>
        <v>46509.5</v>
      </c>
      <c r="I108" s="5">
        <f t="shared" si="93"/>
        <v>302</v>
      </c>
      <c r="J108" s="5">
        <f>VLOOKUP($B108,'251010_0시'!$A$1:$M$200,4,FALSE)</f>
        <v>509767</v>
      </c>
      <c r="K108" s="5">
        <f>VLOOKUP($B108,'251010_0시'!$A$1:$M$200,5,FALSE)</f>
        <v>654</v>
      </c>
      <c r="L108" s="5">
        <f t="shared" si="94"/>
        <v>93563</v>
      </c>
      <c r="M108" s="5">
        <f t="shared" si="95"/>
        <v>-76178</v>
      </c>
      <c r="N108" s="5">
        <f t="shared" si="96"/>
        <v>352</v>
      </c>
      <c r="O108" s="5">
        <f>VLOOKUP($B108,'251011_0시'!$A$1:$M$200,4,FALSE)</f>
        <v>583894</v>
      </c>
      <c r="P108" s="5">
        <f>VLOOKUP($B108,'251011_0시'!$A$1:$M$200,5,FALSE)</f>
        <v>804</v>
      </c>
      <c r="Q108" s="5">
        <f t="shared" si="97"/>
        <v>74127</v>
      </c>
      <c r="R108" s="5">
        <f t="shared" si="98"/>
        <v>-19436</v>
      </c>
      <c r="S108" s="5">
        <f t="shared" si="99"/>
        <v>150</v>
      </c>
      <c r="T108" s="5">
        <f>VLOOKUP($B108,'251012_0시'!$A$1:$M$200,4,FALSE)</f>
        <v>692561</v>
      </c>
      <c r="U108" s="5">
        <f>VLOOKUP($B108,'251012_0시'!$A$1:$M$200,5,FALSE)</f>
        <v>1576</v>
      </c>
      <c r="V108" s="5">
        <f t="shared" si="100"/>
        <v>108667</v>
      </c>
      <c r="W108" s="5">
        <f t="shared" si="101"/>
        <v>34540</v>
      </c>
      <c r="X108" s="5">
        <f t="shared" si="102"/>
        <v>772</v>
      </c>
      <c r="Y108" s="5">
        <f>VLOOKUP($B108,'251013_0시'!$A$1:$M$200,4,FALSE)</f>
        <v>789349</v>
      </c>
      <c r="Z108" s="5">
        <f>VLOOKUP($B108,'251013_0시'!$A$1:$M$200,5,FALSE)</f>
        <v>5776</v>
      </c>
      <c r="AA108" s="5">
        <f t="shared" si="103"/>
        <v>96788</v>
      </c>
      <c r="AB108" s="5">
        <f t="shared" si="104"/>
        <v>-11879</v>
      </c>
      <c r="AC108" s="5">
        <f t="shared" si="105"/>
        <v>4200</v>
      </c>
      <c r="AD108" s="5">
        <f>VLOOKUP($B108,'251013_0시'!$A$1:$M$200,4,FALSE)</f>
        <v>789349</v>
      </c>
      <c r="AF108" s="5" t="s">
        <v>807</v>
      </c>
      <c r="AG108" s="5">
        <f>VLOOKUP($AF108,'251013'!$A$1:$M$200,4,FALSE)</f>
        <v>101203</v>
      </c>
      <c r="AH108" s="5">
        <f>VLOOKUP($AF108,'251013'!$A$1:$M$200,5,FALSE)</f>
        <v>0</v>
      </c>
      <c r="AI108" s="5">
        <f>VLOOKUP($AF108,'251014'!$A$1:$M$200,4,FALSE)</f>
        <v>265972</v>
      </c>
      <c r="AJ108" s="5">
        <f>VLOOKUP($AF108,'251014'!$A$1:$M$200,5,FALSE)</f>
        <v>0</v>
      </c>
      <c r="AK108" s="5">
        <f t="shared" si="106"/>
        <v>164769</v>
      </c>
      <c r="AL108" s="5">
        <f t="shared" si="107"/>
        <v>63566</v>
      </c>
      <c r="AM108" s="5">
        <f t="shared" si="108"/>
        <v>0</v>
      </c>
      <c r="AN108" s="5">
        <f>VLOOKUP($AF108,'251015'!$A$1:$M$200,4,FALSE)</f>
        <v>329629</v>
      </c>
      <c r="AO108" s="5">
        <f>VLOOKUP($AF108,'251015'!$A$1:$M$200,5,FALSE)</f>
        <v>0</v>
      </c>
      <c r="AP108" s="5">
        <f t="shared" si="109"/>
        <v>63657</v>
      </c>
      <c r="AQ108" s="5">
        <f t="shared" si="110"/>
        <v>-101112</v>
      </c>
      <c r="AR108" s="5">
        <f t="shared" si="111"/>
        <v>0</v>
      </c>
      <c r="AS108" s="5">
        <f>VLOOKUP($AF108,'251016'!$A$1:$M$200,4,FALSE)</f>
        <v>471169</v>
      </c>
      <c r="AT108" s="5">
        <f>VLOOKUP($AF108,'251016'!$A$1:$M$200,5,FALSE)</f>
        <v>0</v>
      </c>
      <c r="AU108" s="5">
        <f t="shared" si="112"/>
        <v>141540</v>
      </c>
      <c r="AV108" s="5">
        <f t="shared" si="113"/>
        <v>77883</v>
      </c>
      <c r="AW108" s="5">
        <f t="shared" si="114"/>
        <v>0</v>
      </c>
      <c r="AX108" s="5">
        <f>VLOOKUP($AF108,'251017'!$A$1:$M$200,4,FALSE)</f>
        <v>598613</v>
      </c>
      <c r="AY108" s="5">
        <f>VLOOKUP($AF108,'251017'!$A$1:$M$200,5,FALSE)</f>
        <v>700</v>
      </c>
      <c r="AZ108" s="5">
        <f t="shared" si="115"/>
        <v>127444</v>
      </c>
      <c r="BA108" s="5">
        <f t="shared" si="116"/>
        <v>-14096</v>
      </c>
      <c r="BB108" s="5">
        <f t="shared" si="117"/>
        <v>700</v>
      </c>
      <c r="BC108" s="5">
        <f>VLOOKUP($AF108,'251018'!$A$1:$M$200,4,FALSE)</f>
        <v>728192</v>
      </c>
      <c r="BD108" s="5">
        <f>VLOOKUP($AF108,'251018'!$A$1:$M$200,5,FALSE)</f>
        <v>700</v>
      </c>
      <c r="BE108" s="5">
        <f t="shared" si="118"/>
        <v>129579</v>
      </c>
      <c r="BF108" s="5">
        <f t="shared" si="119"/>
        <v>2135</v>
      </c>
      <c r="BG108" s="5">
        <f t="shared" si="120"/>
        <v>0</v>
      </c>
      <c r="BH108" s="5">
        <f>VLOOKUP($AF108,'251018'!$A$1:$M$200,4,FALSE)</f>
        <v>728192</v>
      </c>
    </row>
    <row r="109" spans="1:60" x14ac:dyDescent="0.3">
      <c r="B109" s="5" t="s">
        <v>966</v>
      </c>
      <c r="C109" s="5">
        <f>VLOOKUP($B109,'251008_0시'!$A$1:$M$200,4,FALSE)</f>
        <v>174479</v>
      </c>
      <c r="D109" s="5">
        <f>VLOOKUP($B109,'251008_0시'!$A$1:$M$200,5,FALSE)</f>
        <v>206</v>
      </c>
      <c r="E109" s="5">
        <f>VLOOKUP($B109,'251009_0시'!$A$1:$M$200,4,FALSE)</f>
        <v>286089</v>
      </c>
      <c r="F109" s="5">
        <f>VLOOKUP($B109,'251009_0시'!$A$1:$M$200,5,FALSE)</f>
        <v>206</v>
      </c>
      <c r="G109" s="5">
        <f t="shared" si="91"/>
        <v>111610</v>
      </c>
      <c r="H109" s="5">
        <f t="shared" si="92"/>
        <v>24370.5</v>
      </c>
      <c r="I109" s="5">
        <f t="shared" si="93"/>
        <v>0</v>
      </c>
      <c r="J109" s="5">
        <f>VLOOKUP($B109,'251010_0시'!$A$1:$M$200,4,FALSE)</f>
        <v>410540</v>
      </c>
      <c r="K109" s="5">
        <f>VLOOKUP($B109,'251010_0시'!$A$1:$M$200,5,FALSE)</f>
        <v>408</v>
      </c>
      <c r="L109" s="5">
        <f t="shared" si="94"/>
        <v>124451</v>
      </c>
      <c r="M109" s="5">
        <f t="shared" si="95"/>
        <v>12841</v>
      </c>
      <c r="N109" s="5">
        <f t="shared" si="96"/>
        <v>202</v>
      </c>
      <c r="O109" s="5">
        <f>VLOOKUP($B109,'251011_0시'!$A$1:$M$200,4,FALSE)</f>
        <v>539829</v>
      </c>
      <c r="P109" s="5">
        <f>VLOOKUP($B109,'251011_0시'!$A$1:$M$200,5,FALSE)</f>
        <v>408</v>
      </c>
      <c r="Q109" s="5">
        <f t="shared" si="97"/>
        <v>129289</v>
      </c>
      <c r="R109" s="5">
        <f t="shared" si="98"/>
        <v>4838</v>
      </c>
      <c r="S109" s="5">
        <f t="shared" si="99"/>
        <v>0</v>
      </c>
      <c r="T109" s="5">
        <f>VLOOKUP($B109,'251012_0시'!$A$1:$M$200,4,FALSE)</f>
        <v>645452</v>
      </c>
      <c r="U109" s="5">
        <f>VLOOKUP($B109,'251012_0시'!$A$1:$M$200,5,FALSE)</f>
        <v>408</v>
      </c>
      <c r="V109" s="5">
        <f t="shared" si="100"/>
        <v>105623</v>
      </c>
      <c r="W109" s="5">
        <f t="shared" si="101"/>
        <v>-23666</v>
      </c>
      <c r="X109" s="5">
        <f t="shared" si="102"/>
        <v>0</v>
      </c>
      <c r="Y109" s="5">
        <f>VLOOKUP($B109,'251013_0시'!$A$1:$M$200,4,FALSE)</f>
        <v>785002</v>
      </c>
      <c r="Z109" s="5">
        <f>VLOOKUP($B109,'251013_0시'!$A$1:$M$200,5,FALSE)</f>
        <v>408</v>
      </c>
      <c r="AA109" s="5">
        <f t="shared" si="103"/>
        <v>139550</v>
      </c>
      <c r="AB109" s="5">
        <f t="shared" si="104"/>
        <v>33927</v>
      </c>
      <c r="AC109" s="5">
        <f t="shared" si="105"/>
        <v>0</v>
      </c>
      <c r="AD109" s="5">
        <f>VLOOKUP($B109,'251013_0시'!$A$1:$M$200,4,FALSE)</f>
        <v>785002</v>
      </c>
      <c r="AF109" s="5" t="s">
        <v>782</v>
      </c>
      <c r="AG109" s="5">
        <f>VLOOKUP($AF109,'251013'!$A$1:$M$200,4,FALSE)</f>
        <v>78039</v>
      </c>
      <c r="AH109" s="5">
        <f>VLOOKUP($AF109,'251013'!$A$1:$M$200,5,FALSE)</f>
        <v>0</v>
      </c>
      <c r="AI109" s="5">
        <f>VLOOKUP($AF109,'251014'!$A$1:$M$200,4,FALSE)</f>
        <v>191453</v>
      </c>
      <c r="AJ109" s="5">
        <f>VLOOKUP($AF109,'251014'!$A$1:$M$200,5,FALSE)</f>
        <v>1350</v>
      </c>
      <c r="AK109" s="5">
        <f t="shared" si="106"/>
        <v>113414</v>
      </c>
      <c r="AL109" s="5">
        <f t="shared" si="107"/>
        <v>35375</v>
      </c>
      <c r="AM109" s="5">
        <f t="shared" si="108"/>
        <v>1350</v>
      </c>
      <c r="AN109" s="5">
        <f>VLOOKUP($AF109,'251015'!$A$1:$M$200,4,FALSE)</f>
        <v>317599</v>
      </c>
      <c r="AO109" s="5">
        <f>VLOOKUP($AF109,'251015'!$A$1:$M$200,5,FALSE)</f>
        <v>1350</v>
      </c>
      <c r="AP109" s="5">
        <f t="shared" si="109"/>
        <v>126146</v>
      </c>
      <c r="AQ109" s="5">
        <f t="shared" si="110"/>
        <v>12732</v>
      </c>
      <c r="AR109" s="5">
        <f t="shared" si="111"/>
        <v>0</v>
      </c>
      <c r="AS109" s="5">
        <f>VLOOKUP($AF109,'251016'!$A$1:$M$200,4,FALSE)</f>
        <v>413874</v>
      </c>
      <c r="AT109" s="5">
        <f>VLOOKUP($AF109,'251016'!$A$1:$M$200,5,FALSE)</f>
        <v>1800</v>
      </c>
      <c r="AU109" s="5">
        <f t="shared" si="112"/>
        <v>96275</v>
      </c>
      <c r="AV109" s="5">
        <f t="shared" si="113"/>
        <v>-29871</v>
      </c>
      <c r="AW109" s="5">
        <f t="shared" si="114"/>
        <v>450</v>
      </c>
      <c r="AX109" s="5">
        <f>VLOOKUP($AF109,'251017'!$A$1:$M$200,4,FALSE)</f>
        <v>561088</v>
      </c>
      <c r="AY109" s="5">
        <f>VLOOKUP($AF109,'251017'!$A$1:$M$200,5,FALSE)</f>
        <v>3150</v>
      </c>
      <c r="AZ109" s="5">
        <f t="shared" si="115"/>
        <v>147214</v>
      </c>
      <c r="BA109" s="5">
        <f t="shared" si="116"/>
        <v>50939</v>
      </c>
      <c r="BB109" s="5">
        <f t="shared" si="117"/>
        <v>1350</v>
      </c>
      <c r="BC109" s="5">
        <f>VLOOKUP($AF109,'251018'!$A$1:$M$200,4,FALSE)</f>
        <v>715818</v>
      </c>
      <c r="BD109" s="5">
        <f>VLOOKUP($AF109,'251018'!$A$1:$M$200,5,FALSE)</f>
        <v>4050</v>
      </c>
      <c r="BE109" s="5">
        <f t="shared" si="118"/>
        <v>154730</v>
      </c>
      <c r="BF109" s="5">
        <f t="shared" si="119"/>
        <v>7516</v>
      </c>
      <c r="BG109" s="5">
        <f t="shared" si="120"/>
        <v>900</v>
      </c>
      <c r="BH109" s="5">
        <f>VLOOKUP($AF109,'251018'!$A$1:$M$200,4,FALSE)</f>
        <v>715818</v>
      </c>
    </row>
    <row r="110" spans="1:60" x14ac:dyDescent="0.3">
      <c r="B110" s="5" t="s">
        <v>807</v>
      </c>
      <c r="C110" s="5">
        <f>VLOOKUP($B110,'251008_0시'!$A$1:$M$200,4,FALSE)</f>
        <v>127894</v>
      </c>
      <c r="D110" s="5">
        <f>VLOOKUP($B110,'251008_0시'!$A$1:$M$200,5,FALSE)</f>
        <v>0</v>
      </c>
      <c r="E110" s="5">
        <f>VLOOKUP($B110,'251009_0시'!$A$1:$M$200,4,FALSE)</f>
        <v>276828</v>
      </c>
      <c r="F110" s="5">
        <f>VLOOKUP($B110,'251009_0시'!$A$1:$M$200,5,FALSE)</f>
        <v>0</v>
      </c>
      <c r="G110" s="5">
        <f t="shared" si="91"/>
        <v>148934</v>
      </c>
      <c r="H110" s="5">
        <f t="shared" si="92"/>
        <v>84987</v>
      </c>
      <c r="I110" s="5">
        <f t="shared" si="93"/>
        <v>0</v>
      </c>
      <c r="J110" s="5">
        <f>VLOOKUP($B110,'251010_0시'!$A$1:$M$200,4,FALSE)</f>
        <v>436988</v>
      </c>
      <c r="K110" s="5">
        <f>VLOOKUP($B110,'251010_0시'!$A$1:$M$200,5,FALSE)</f>
        <v>1570</v>
      </c>
      <c r="L110" s="5">
        <f t="shared" si="94"/>
        <v>160160</v>
      </c>
      <c r="M110" s="5">
        <f t="shared" si="95"/>
        <v>11226</v>
      </c>
      <c r="N110" s="5">
        <f t="shared" si="96"/>
        <v>1570</v>
      </c>
      <c r="O110" s="5">
        <f>VLOOKUP($B110,'251011_0시'!$A$1:$M$200,4,FALSE)</f>
        <v>534492</v>
      </c>
      <c r="P110" s="5">
        <f>VLOOKUP($B110,'251011_0시'!$A$1:$M$200,5,FALSE)</f>
        <v>1570</v>
      </c>
      <c r="Q110" s="5">
        <f t="shared" si="97"/>
        <v>97504</v>
      </c>
      <c r="R110" s="5">
        <f t="shared" si="98"/>
        <v>-62656</v>
      </c>
      <c r="S110" s="5">
        <f t="shared" si="99"/>
        <v>0</v>
      </c>
      <c r="T110" s="5">
        <f>VLOOKUP($B110,'251012_0시'!$A$1:$M$200,4,FALSE)</f>
        <v>681631</v>
      </c>
      <c r="U110" s="5">
        <f>VLOOKUP($B110,'251012_0시'!$A$1:$M$200,5,FALSE)</f>
        <v>1570</v>
      </c>
      <c r="V110" s="5">
        <f t="shared" si="100"/>
        <v>147139</v>
      </c>
      <c r="W110" s="5">
        <f t="shared" si="101"/>
        <v>49635</v>
      </c>
      <c r="X110" s="5">
        <f t="shared" si="102"/>
        <v>0</v>
      </c>
      <c r="Y110" s="5">
        <f>VLOOKUP($B110,'251013_0시'!$A$1:$M$200,4,FALSE)</f>
        <v>784903</v>
      </c>
      <c r="Z110" s="5">
        <f>VLOOKUP($B110,'251013_0시'!$A$1:$M$200,5,FALSE)</f>
        <v>1570</v>
      </c>
      <c r="AA110" s="5">
        <f t="shared" si="103"/>
        <v>103272</v>
      </c>
      <c r="AB110" s="5">
        <f t="shared" si="104"/>
        <v>-43867</v>
      </c>
      <c r="AC110" s="5">
        <f t="shared" si="105"/>
        <v>0</v>
      </c>
      <c r="AD110" s="5">
        <f>VLOOKUP($B110,'251013_0시'!$A$1:$M$200,4,FALSE)</f>
        <v>784903</v>
      </c>
      <c r="AF110" s="5" t="s">
        <v>788</v>
      </c>
      <c r="AG110" s="5">
        <f>VLOOKUP($AF110,'251013'!$A$1:$M$200,4,FALSE)</f>
        <v>143530</v>
      </c>
      <c r="AH110" s="5">
        <f>VLOOKUP($AF110,'251013'!$A$1:$M$200,5,FALSE)</f>
        <v>0</v>
      </c>
      <c r="AI110" s="5">
        <f>VLOOKUP($AF110,'251014'!$A$1:$M$200,4,FALSE)</f>
        <v>324432</v>
      </c>
      <c r="AJ110" s="5">
        <f>VLOOKUP($AF110,'251014'!$A$1:$M$200,5,FALSE)</f>
        <v>0</v>
      </c>
      <c r="AK110" s="5">
        <f t="shared" si="106"/>
        <v>180902</v>
      </c>
      <c r="AL110" s="5">
        <f t="shared" si="107"/>
        <v>37372</v>
      </c>
      <c r="AM110" s="5">
        <f t="shared" si="108"/>
        <v>0</v>
      </c>
      <c r="AN110" s="5">
        <f>VLOOKUP($AF110,'251015'!$A$1:$M$200,4,FALSE)</f>
        <v>384785</v>
      </c>
      <c r="AO110" s="5">
        <f>VLOOKUP($AF110,'251015'!$A$1:$M$200,5,FALSE)</f>
        <v>0</v>
      </c>
      <c r="AP110" s="5">
        <f t="shared" si="109"/>
        <v>60353</v>
      </c>
      <c r="AQ110" s="5">
        <f t="shared" si="110"/>
        <v>-120549</v>
      </c>
      <c r="AR110" s="5">
        <f t="shared" si="111"/>
        <v>0</v>
      </c>
      <c r="AS110" s="5">
        <f>VLOOKUP($AF110,'251016'!$A$1:$M$200,4,FALSE)</f>
        <v>514729</v>
      </c>
      <c r="AT110" s="5">
        <f>VLOOKUP($AF110,'251016'!$A$1:$M$200,5,FALSE)</f>
        <v>0</v>
      </c>
      <c r="AU110" s="5">
        <f t="shared" si="112"/>
        <v>129944</v>
      </c>
      <c r="AV110" s="5">
        <f t="shared" si="113"/>
        <v>69591</v>
      </c>
      <c r="AW110" s="5">
        <f t="shared" si="114"/>
        <v>0</v>
      </c>
      <c r="AX110" s="5">
        <f>VLOOKUP($AF110,'251017'!$A$1:$M$200,4,FALSE)</f>
        <v>628359</v>
      </c>
      <c r="AY110" s="5">
        <f>VLOOKUP($AF110,'251017'!$A$1:$M$200,5,FALSE)</f>
        <v>0</v>
      </c>
      <c r="AZ110" s="5">
        <f t="shared" si="115"/>
        <v>113630</v>
      </c>
      <c r="BA110" s="5">
        <f t="shared" si="116"/>
        <v>-16314</v>
      </c>
      <c r="BB110" s="5">
        <f t="shared" si="117"/>
        <v>0</v>
      </c>
      <c r="BC110" s="5">
        <f>VLOOKUP($AF110,'251018'!$A$1:$M$200,4,FALSE)</f>
        <v>703901</v>
      </c>
      <c r="BD110" s="5">
        <f>VLOOKUP($AF110,'251018'!$A$1:$M$200,5,FALSE)</f>
        <v>0</v>
      </c>
      <c r="BE110" s="5">
        <f t="shared" si="118"/>
        <v>75542</v>
      </c>
      <c r="BF110" s="5">
        <f t="shared" si="119"/>
        <v>-38088</v>
      </c>
      <c r="BG110" s="5">
        <f t="shared" si="120"/>
        <v>0</v>
      </c>
      <c r="BH110" s="5">
        <f>VLOOKUP($AF110,'251018'!$A$1:$M$200,4,FALSE)</f>
        <v>703901</v>
      </c>
    </row>
    <row r="111" spans="1:60" x14ac:dyDescent="0.3">
      <c r="B111" s="5" t="s">
        <v>787</v>
      </c>
      <c r="C111" s="5">
        <f>VLOOKUP($B111,'251008_0시'!$A$1:$M$200,4,FALSE)</f>
        <v>147275</v>
      </c>
      <c r="D111" s="5">
        <f>VLOOKUP($B111,'251008_0시'!$A$1:$M$200,5,FALSE)</f>
        <v>0</v>
      </c>
      <c r="E111" s="5">
        <f>VLOOKUP($B111,'251009_0시'!$A$1:$M$200,4,FALSE)</f>
        <v>272499</v>
      </c>
      <c r="F111" s="5">
        <f>VLOOKUP($B111,'251009_0시'!$A$1:$M$200,5,FALSE)</f>
        <v>0</v>
      </c>
      <c r="G111" s="5">
        <f t="shared" si="91"/>
        <v>125224</v>
      </c>
      <c r="H111" s="5">
        <f t="shared" si="92"/>
        <v>51586.5</v>
      </c>
      <c r="I111" s="5">
        <f t="shared" si="93"/>
        <v>0</v>
      </c>
      <c r="J111" s="5">
        <f>VLOOKUP($B111,'251010_0시'!$A$1:$M$200,4,FALSE)</f>
        <v>374143</v>
      </c>
      <c r="K111" s="5">
        <f>VLOOKUP($B111,'251010_0시'!$A$1:$M$200,5,FALSE)</f>
        <v>0</v>
      </c>
      <c r="L111" s="5">
        <f t="shared" si="94"/>
        <v>101644</v>
      </c>
      <c r="M111" s="5">
        <f t="shared" si="95"/>
        <v>-23580</v>
      </c>
      <c r="N111" s="5">
        <f t="shared" si="96"/>
        <v>0</v>
      </c>
      <c r="O111" s="5">
        <f>VLOOKUP($B111,'251011_0시'!$A$1:$M$200,4,FALSE)</f>
        <v>545470</v>
      </c>
      <c r="P111" s="5">
        <f>VLOOKUP($B111,'251011_0시'!$A$1:$M$200,5,FALSE)</f>
        <v>0</v>
      </c>
      <c r="Q111" s="5">
        <f t="shared" si="97"/>
        <v>171327</v>
      </c>
      <c r="R111" s="5">
        <f t="shared" si="98"/>
        <v>69683</v>
      </c>
      <c r="S111" s="5">
        <f t="shared" si="99"/>
        <v>0</v>
      </c>
      <c r="T111" s="5">
        <f>VLOOKUP($B111,'251012_0시'!$A$1:$M$200,4,FALSE)</f>
        <v>666531</v>
      </c>
      <c r="U111" s="5">
        <f>VLOOKUP($B111,'251012_0시'!$A$1:$M$200,5,FALSE)</f>
        <v>0</v>
      </c>
      <c r="V111" s="5">
        <f t="shared" si="100"/>
        <v>121061</v>
      </c>
      <c r="W111" s="5">
        <f t="shared" si="101"/>
        <v>-50266</v>
      </c>
      <c r="X111" s="5">
        <f t="shared" si="102"/>
        <v>0</v>
      </c>
      <c r="Y111" s="5">
        <f>VLOOKUP($B111,'251013_0시'!$A$1:$M$200,4,FALSE)</f>
        <v>778400</v>
      </c>
      <c r="Z111" s="5">
        <f>VLOOKUP($B111,'251013_0시'!$A$1:$M$200,5,FALSE)</f>
        <v>0</v>
      </c>
      <c r="AA111" s="5">
        <f t="shared" si="103"/>
        <v>111869</v>
      </c>
      <c r="AB111" s="5">
        <f t="shared" si="104"/>
        <v>-9192</v>
      </c>
      <c r="AC111" s="5">
        <f t="shared" si="105"/>
        <v>0</v>
      </c>
      <c r="AD111" s="5">
        <f>VLOOKUP($B111,'251013_0시'!$A$1:$M$200,4,FALSE)</f>
        <v>778400</v>
      </c>
      <c r="AF111" s="5" t="s">
        <v>816</v>
      </c>
      <c r="AG111" s="5">
        <f>VLOOKUP($AF111,'251013'!$A$1:$M$200,4,FALSE)</f>
        <v>119248</v>
      </c>
      <c r="AH111" s="5">
        <f>VLOOKUP($AF111,'251013'!$A$1:$M$200,5,FALSE)</f>
        <v>687</v>
      </c>
      <c r="AI111" s="5">
        <f>VLOOKUP($AF111,'251014'!$A$1:$M$200,4,FALSE)</f>
        <v>162560</v>
      </c>
      <c r="AJ111" s="5">
        <f>VLOOKUP($AF111,'251014'!$A$1:$M$200,5,FALSE)</f>
        <v>687</v>
      </c>
      <c r="AK111" s="5">
        <f t="shared" si="106"/>
        <v>43312</v>
      </c>
      <c r="AL111" s="5">
        <f t="shared" si="107"/>
        <v>-75936</v>
      </c>
      <c r="AM111" s="5">
        <f t="shared" si="108"/>
        <v>0</v>
      </c>
      <c r="AN111" s="5">
        <f>VLOOKUP($AF111,'251015'!$A$1:$M$200,4,FALSE)</f>
        <v>310018</v>
      </c>
      <c r="AO111" s="5">
        <f>VLOOKUP($AF111,'251015'!$A$1:$M$200,5,FALSE)</f>
        <v>3837</v>
      </c>
      <c r="AP111" s="5">
        <f t="shared" si="109"/>
        <v>147458</v>
      </c>
      <c r="AQ111" s="5">
        <f t="shared" si="110"/>
        <v>104146</v>
      </c>
      <c r="AR111" s="5">
        <f t="shared" si="111"/>
        <v>3150</v>
      </c>
      <c r="AS111" s="5">
        <f>VLOOKUP($AF111,'251016'!$A$1:$M$200,4,FALSE)</f>
        <v>465141</v>
      </c>
      <c r="AT111" s="5">
        <f>VLOOKUP($AF111,'251016'!$A$1:$M$200,5,FALSE)</f>
        <v>6087</v>
      </c>
      <c r="AU111" s="5">
        <f t="shared" si="112"/>
        <v>155123</v>
      </c>
      <c r="AV111" s="5">
        <f t="shared" si="113"/>
        <v>7665</v>
      </c>
      <c r="AW111" s="5">
        <f t="shared" si="114"/>
        <v>2250</v>
      </c>
      <c r="AX111" s="5">
        <f>VLOOKUP($AF111,'251017'!$A$1:$M$200,4,FALSE)</f>
        <v>568297</v>
      </c>
      <c r="AY111" s="5">
        <f>VLOOKUP($AF111,'251017'!$A$1:$M$200,5,FALSE)</f>
        <v>6087</v>
      </c>
      <c r="AZ111" s="5">
        <f t="shared" si="115"/>
        <v>103156</v>
      </c>
      <c r="BA111" s="5">
        <f t="shared" si="116"/>
        <v>-51967</v>
      </c>
      <c r="BB111" s="5">
        <f t="shared" si="117"/>
        <v>0</v>
      </c>
      <c r="BC111" s="5">
        <f>VLOOKUP($AF111,'251018'!$A$1:$M$200,4,FALSE)</f>
        <v>701185</v>
      </c>
      <c r="BD111" s="5">
        <f>VLOOKUP($AF111,'251018'!$A$1:$M$200,5,FALSE)</f>
        <v>6987</v>
      </c>
      <c r="BE111" s="5">
        <f t="shared" si="118"/>
        <v>132888</v>
      </c>
      <c r="BF111" s="5">
        <f t="shared" si="119"/>
        <v>29732</v>
      </c>
      <c r="BG111" s="5">
        <f t="shared" si="120"/>
        <v>900</v>
      </c>
      <c r="BH111" s="5">
        <f>VLOOKUP($AF111,'251018'!$A$1:$M$200,4,FALSE)</f>
        <v>701185</v>
      </c>
    </row>
    <row r="112" spans="1:60" x14ac:dyDescent="0.3">
      <c r="A112" t="s">
        <v>700</v>
      </c>
      <c r="B112" s="5" t="s">
        <v>830</v>
      </c>
      <c r="C112" s="5">
        <f>VLOOKUP($B112,'251008_0시'!$A$1:$M$200,4,FALSE)</f>
        <v>160011</v>
      </c>
      <c r="D112" s="5">
        <f>VLOOKUP($B112,'251008_0시'!$A$1:$M$200,5,FALSE)</f>
        <v>2250</v>
      </c>
      <c r="E112" s="5">
        <f>VLOOKUP($B112,'251009_0시'!$A$1:$M$200,4,FALSE)</f>
        <v>236966</v>
      </c>
      <c r="F112" s="5">
        <f>VLOOKUP($B112,'251009_0시'!$A$1:$M$200,5,FALSE)</f>
        <v>2250</v>
      </c>
      <c r="G112" s="5">
        <f t="shared" si="91"/>
        <v>76955</v>
      </c>
      <c r="H112" s="5">
        <f t="shared" si="92"/>
        <v>-3050.5</v>
      </c>
      <c r="I112" s="5">
        <f t="shared" si="93"/>
        <v>0</v>
      </c>
      <c r="J112" s="5">
        <f>VLOOKUP($B112,'251010_0시'!$A$1:$M$200,4,FALSE)</f>
        <v>322900</v>
      </c>
      <c r="K112" s="5">
        <f>VLOOKUP($B112,'251010_0시'!$A$1:$M$200,5,FALSE)</f>
        <v>4950</v>
      </c>
      <c r="L112" s="5">
        <f t="shared" si="94"/>
        <v>85934</v>
      </c>
      <c r="M112" s="5">
        <f t="shared" si="95"/>
        <v>8979</v>
      </c>
      <c r="N112" s="5">
        <f t="shared" si="96"/>
        <v>2700</v>
      </c>
      <c r="O112" s="5">
        <f>VLOOKUP($B112,'251011_0시'!$A$1:$M$200,4,FALSE)</f>
        <v>493128</v>
      </c>
      <c r="P112" s="5">
        <f>VLOOKUP($B112,'251011_0시'!$A$1:$M$200,5,FALSE)</f>
        <v>5450</v>
      </c>
      <c r="Q112" s="5">
        <f t="shared" si="97"/>
        <v>170228</v>
      </c>
      <c r="R112" s="5">
        <f t="shared" si="98"/>
        <v>84294</v>
      </c>
      <c r="S112" s="5">
        <f t="shared" si="99"/>
        <v>500</v>
      </c>
      <c r="T112" s="5">
        <f>VLOOKUP($B112,'251012_0시'!$A$1:$M$200,4,FALSE)</f>
        <v>649321</v>
      </c>
      <c r="U112" s="5">
        <f>VLOOKUP($B112,'251012_0시'!$A$1:$M$200,5,FALSE)</f>
        <v>6800</v>
      </c>
      <c r="V112" s="5">
        <f t="shared" si="100"/>
        <v>156193</v>
      </c>
      <c r="W112" s="5">
        <f t="shared" si="101"/>
        <v>-14035</v>
      </c>
      <c r="X112" s="5">
        <f t="shared" si="102"/>
        <v>1350</v>
      </c>
      <c r="Y112" s="5">
        <f>VLOOKUP($B112,'251013_0시'!$A$1:$M$200,4,FALSE)</f>
        <v>774968</v>
      </c>
      <c r="Z112" s="5">
        <f>VLOOKUP($B112,'251013_0시'!$A$1:$M$200,5,FALSE)</f>
        <v>8050</v>
      </c>
      <c r="AA112" s="5">
        <f t="shared" si="103"/>
        <v>125647</v>
      </c>
      <c r="AB112" s="5">
        <f t="shared" si="104"/>
        <v>-30546</v>
      </c>
      <c r="AC112" s="5">
        <f t="shared" si="105"/>
        <v>1250</v>
      </c>
      <c r="AD112" s="5">
        <f>VLOOKUP($B112,'251013_0시'!$A$1:$M$200,4,FALSE)</f>
        <v>774968</v>
      </c>
      <c r="AF112" s="5" t="s">
        <v>750</v>
      </c>
      <c r="AG112" s="5">
        <f>VLOOKUP($AF112,'251013'!$A$1:$M$200,4,FALSE)</f>
        <v>166555</v>
      </c>
      <c r="AH112" s="5">
        <f>VLOOKUP($AF112,'251013'!$A$1:$M$200,5,FALSE)</f>
        <v>1400</v>
      </c>
      <c r="AI112" s="5">
        <f>VLOOKUP($AF112,'251014'!$A$1:$M$200,4,FALSE)</f>
        <v>232728</v>
      </c>
      <c r="AJ112" s="5">
        <f>VLOOKUP($AF112,'251014'!$A$1:$M$200,5,FALSE)</f>
        <v>1400</v>
      </c>
      <c r="AK112" s="5">
        <f t="shared" si="106"/>
        <v>66173</v>
      </c>
      <c r="AL112" s="5">
        <f t="shared" si="107"/>
        <v>-100382</v>
      </c>
      <c r="AM112" s="5">
        <f t="shared" si="108"/>
        <v>0</v>
      </c>
      <c r="AN112" s="5">
        <f>VLOOKUP($AF112,'251015'!$A$1:$M$200,4,FALSE)</f>
        <v>341568</v>
      </c>
      <c r="AO112" s="5">
        <f>VLOOKUP($AF112,'251015'!$A$1:$M$200,5,FALSE)</f>
        <v>1400</v>
      </c>
      <c r="AP112" s="5">
        <f t="shared" si="109"/>
        <v>108840</v>
      </c>
      <c r="AQ112" s="5">
        <f t="shared" si="110"/>
        <v>42667</v>
      </c>
      <c r="AR112" s="5">
        <f t="shared" si="111"/>
        <v>0</v>
      </c>
      <c r="AS112" s="5">
        <f>VLOOKUP($AF112,'251016'!$A$1:$M$200,4,FALSE)</f>
        <v>394111</v>
      </c>
      <c r="AT112" s="5">
        <f>VLOOKUP($AF112,'251016'!$A$1:$M$200,5,FALSE)</f>
        <v>1400</v>
      </c>
      <c r="AU112" s="5">
        <f t="shared" si="112"/>
        <v>52543</v>
      </c>
      <c r="AV112" s="5">
        <f t="shared" si="113"/>
        <v>-56297</v>
      </c>
      <c r="AW112" s="5">
        <f t="shared" si="114"/>
        <v>0</v>
      </c>
      <c r="AX112" s="5">
        <f>VLOOKUP($AF112,'251017'!$A$1:$M$200,4,FALSE)</f>
        <v>532598</v>
      </c>
      <c r="AY112" s="5">
        <f>VLOOKUP($AF112,'251017'!$A$1:$M$200,5,FALSE)</f>
        <v>1794</v>
      </c>
      <c r="AZ112" s="5">
        <f t="shared" si="115"/>
        <v>138487</v>
      </c>
      <c r="BA112" s="5">
        <f t="shared" si="116"/>
        <v>85944</v>
      </c>
      <c r="BB112" s="5">
        <f t="shared" si="117"/>
        <v>394</v>
      </c>
      <c r="BC112" s="5">
        <f>VLOOKUP($AF112,'251018'!$A$1:$M$200,4,FALSE)</f>
        <v>700847</v>
      </c>
      <c r="BD112" s="5">
        <f>VLOOKUP($AF112,'251018'!$A$1:$M$200,5,FALSE)</f>
        <v>2694</v>
      </c>
      <c r="BE112" s="5">
        <f t="shared" si="118"/>
        <v>168249</v>
      </c>
      <c r="BF112" s="5">
        <f t="shared" si="119"/>
        <v>29762</v>
      </c>
      <c r="BG112" s="5">
        <f t="shared" si="120"/>
        <v>900</v>
      </c>
      <c r="BH112" s="5">
        <f>VLOOKUP($AF112,'251018'!$A$1:$M$200,4,FALSE)</f>
        <v>700847</v>
      </c>
    </row>
    <row r="113" spans="1:60" x14ac:dyDescent="0.3">
      <c r="A113" t="s">
        <v>700</v>
      </c>
      <c r="B113" s="5" t="s">
        <v>822</v>
      </c>
      <c r="C113" s="5">
        <f>VLOOKUP($B113,'251008_0시'!$A$1:$M$200,4,FALSE)</f>
        <v>191200</v>
      </c>
      <c r="D113" s="5">
        <f>VLOOKUP($B113,'251008_0시'!$A$1:$M$200,5,FALSE)</f>
        <v>350</v>
      </c>
      <c r="E113" s="5">
        <f>VLOOKUP($B113,'251009_0시'!$A$1:$M$200,4,FALSE)</f>
        <v>323678</v>
      </c>
      <c r="F113" s="5">
        <f>VLOOKUP($B113,'251009_0시'!$A$1:$M$200,5,FALSE)</f>
        <v>700</v>
      </c>
      <c r="G113" s="5">
        <f t="shared" si="91"/>
        <v>132478</v>
      </c>
      <c r="H113" s="5">
        <f t="shared" si="92"/>
        <v>36878</v>
      </c>
      <c r="I113" s="5">
        <f t="shared" si="93"/>
        <v>350</v>
      </c>
      <c r="J113" s="5">
        <f>VLOOKUP($B113,'251010_0시'!$A$1:$M$200,4,FALSE)</f>
        <v>421804</v>
      </c>
      <c r="K113" s="5">
        <f>VLOOKUP($B113,'251010_0시'!$A$1:$M$200,5,FALSE)</f>
        <v>700</v>
      </c>
      <c r="L113" s="5">
        <f t="shared" si="94"/>
        <v>98126</v>
      </c>
      <c r="M113" s="5">
        <f t="shared" si="95"/>
        <v>-34352</v>
      </c>
      <c r="N113" s="5">
        <f t="shared" si="96"/>
        <v>0</v>
      </c>
      <c r="O113" s="5">
        <f>VLOOKUP($B113,'251011_0시'!$A$1:$M$200,4,FALSE)</f>
        <v>578184</v>
      </c>
      <c r="P113" s="5">
        <f>VLOOKUP($B113,'251011_0시'!$A$1:$M$200,5,FALSE)</f>
        <v>700</v>
      </c>
      <c r="Q113" s="5">
        <f t="shared" si="97"/>
        <v>156380</v>
      </c>
      <c r="R113" s="5">
        <f t="shared" si="98"/>
        <v>58254</v>
      </c>
      <c r="S113" s="5">
        <f t="shared" si="99"/>
        <v>0</v>
      </c>
      <c r="T113" s="5">
        <f>VLOOKUP($B113,'251012_0시'!$A$1:$M$200,4,FALSE)</f>
        <v>655587</v>
      </c>
      <c r="U113" s="5">
        <f>VLOOKUP($B113,'251012_0시'!$A$1:$M$200,5,FALSE)</f>
        <v>855</v>
      </c>
      <c r="V113" s="5">
        <f t="shared" si="100"/>
        <v>77403</v>
      </c>
      <c r="W113" s="5">
        <f t="shared" si="101"/>
        <v>-78977</v>
      </c>
      <c r="X113" s="5">
        <f t="shared" si="102"/>
        <v>155</v>
      </c>
      <c r="Y113" s="5">
        <f>VLOOKUP($B113,'251013_0시'!$A$1:$M$200,4,FALSE)</f>
        <v>768639</v>
      </c>
      <c r="Z113" s="5">
        <f>VLOOKUP($B113,'251013_0시'!$A$1:$M$200,5,FALSE)</f>
        <v>855</v>
      </c>
      <c r="AA113" s="5">
        <f t="shared" si="103"/>
        <v>113052</v>
      </c>
      <c r="AB113" s="5">
        <f t="shared" si="104"/>
        <v>35649</v>
      </c>
      <c r="AC113" s="5">
        <f t="shared" si="105"/>
        <v>0</v>
      </c>
      <c r="AD113" s="5">
        <f>VLOOKUP($B113,'251013_0시'!$A$1:$M$200,4,FALSE)</f>
        <v>768639</v>
      </c>
      <c r="AF113" s="5" t="s">
        <v>977</v>
      </c>
      <c r="AG113" s="5">
        <f>VLOOKUP($AF113,'251013'!$A$1:$M$200,4,FALSE)</f>
        <v>76318</v>
      </c>
      <c r="AH113" s="5">
        <f>VLOOKUP($AF113,'251013'!$A$1:$M$200,5,FALSE)</f>
        <v>0</v>
      </c>
      <c r="AI113" s="5">
        <f>VLOOKUP($AF113,'251014'!$A$1:$M$200,4,FALSE)</f>
        <v>203726</v>
      </c>
      <c r="AJ113" s="5">
        <f>VLOOKUP($AF113,'251014'!$A$1:$M$200,5,FALSE)</f>
        <v>350</v>
      </c>
      <c r="AK113" s="5">
        <f t="shared" si="106"/>
        <v>127408</v>
      </c>
      <c r="AL113" s="5">
        <f t="shared" si="107"/>
        <v>51090</v>
      </c>
      <c r="AM113" s="5">
        <f t="shared" si="108"/>
        <v>350</v>
      </c>
      <c r="AN113" s="5">
        <f>VLOOKUP($AF113,'251015'!$A$1:$M$200,4,FALSE)</f>
        <v>296276</v>
      </c>
      <c r="AO113" s="5">
        <f>VLOOKUP($AF113,'251015'!$A$1:$M$200,5,FALSE)</f>
        <v>487</v>
      </c>
      <c r="AP113" s="5">
        <f t="shared" si="109"/>
        <v>92550</v>
      </c>
      <c r="AQ113" s="5">
        <f t="shared" si="110"/>
        <v>-34858</v>
      </c>
      <c r="AR113" s="5">
        <f t="shared" si="111"/>
        <v>137</v>
      </c>
      <c r="AS113" s="5">
        <f>VLOOKUP($AF113,'251016'!$A$1:$M$200,4,FALSE)</f>
        <v>418161</v>
      </c>
      <c r="AT113" s="5">
        <f>VLOOKUP($AF113,'251016'!$A$1:$M$200,5,FALSE)</f>
        <v>487</v>
      </c>
      <c r="AU113" s="5">
        <f t="shared" si="112"/>
        <v>121885</v>
      </c>
      <c r="AV113" s="5">
        <f t="shared" si="113"/>
        <v>29335</v>
      </c>
      <c r="AW113" s="5">
        <f t="shared" si="114"/>
        <v>0</v>
      </c>
      <c r="AX113" s="5">
        <f>VLOOKUP($AF113,'251017'!$A$1:$M$200,4,FALSE)</f>
        <v>549747</v>
      </c>
      <c r="AY113" s="5">
        <f>VLOOKUP($AF113,'251017'!$A$1:$M$200,5,FALSE)</f>
        <v>487</v>
      </c>
      <c r="AZ113" s="5">
        <f t="shared" si="115"/>
        <v>131586</v>
      </c>
      <c r="BA113" s="5">
        <f t="shared" si="116"/>
        <v>9701</v>
      </c>
      <c r="BB113" s="5">
        <f t="shared" si="117"/>
        <v>0</v>
      </c>
      <c r="BC113" s="5">
        <f>VLOOKUP($AF113,'251018'!$A$1:$M$200,4,FALSE)</f>
        <v>700510</v>
      </c>
      <c r="BD113" s="5">
        <f>VLOOKUP($AF113,'251018'!$A$1:$M$200,5,FALSE)</f>
        <v>487</v>
      </c>
      <c r="BE113" s="5">
        <f t="shared" si="118"/>
        <v>150763</v>
      </c>
      <c r="BF113" s="5">
        <f t="shared" si="119"/>
        <v>19177</v>
      </c>
      <c r="BG113" s="5">
        <f t="shared" si="120"/>
        <v>0</v>
      </c>
      <c r="BH113" s="5">
        <f>VLOOKUP($AF113,'251018'!$A$1:$M$200,4,FALSE)</f>
        <v>700510</v>
      </c>
    </row>
    <row r="114" spans="1:60" x14ac:dyDescent="0.3">
      <c r="B114" s="5" t="s">
        <v>833</v>
      </c>
      <c r="C114" s="5">
        <f>VLOOKUP($B114,'251008_0시'!$A$1:$M$200,4,FALSE)</f>
        <v>198468</v>
      </c>
      <c r="D114" s="5">
        <f>VLOOKUP($B114,'251008_0시'!$A$1:$M$200,5,FALSE)</f>
        <v>0</v>
      </c>
      <c r="E114" s="5">
        <f>VLOOKUP($B114,'251009_0시'!$A$1:$M$200,4,FALSE)</f>
        <v>287427</v>
      </c>
      <c r="F114" s="5">
        <f>VLOOKUP($B114,'251009_0시'!$A$1:$M$200,5,FALSE)</f>
        <v>0</v>
      </c>
      <c r="G114" s="5">
        <f t="shared" si="91"/>
        <v>88959</v>
      </c>
      <c r="H114" s="5">
        <f t="shared" si="92"/>
        <v>-10275</v>
      </c>
      <c r="I114" s="5">
        <f t="shared" si="93"/>
        <v>0</v>
      </c>
      <c r="J114" s="5">
        <f>VLOOKUP($B114,'251010_0시'!$A$1:$M$200,4,FALSE)</f>
        <v>407909</v>
      </c>
      <c r="K114" s="5">
        <f>VLOOKUP($B114,'251010_0시'!$A$1:$M$200,5,FALSE)</f>
        <v>0</v>
      </c>
      <c r="L114" s="5">
        <f t="shared" si="94"/>
        <v>120482</v>
      </c>
      <c r="M114" s="5">
        <f t="shared" si="95"/>
        <v>31523</v>
      </c>
      <c r="N114" s="5">
        <f t="shared" si="96"/>
        <v>0</v>
      </c>
      <c r="O114" s="5">
        <f>VLOOKUP($B114,'251011_0시'!$A$1:$M$200,4,FALSE)</f>
        <v>514623</v>
      </c>
      <c r="P114" s="5">
        <f>VLOOKUP($B114,'251011_0시'!$A$1:$M$200,5,FALSE)</f>
        <v>4050</v>
      </c>
      <c r="Q114" s="5">
        <f t="shared" si="97"/>
        <v>106714</v>
      </c>
      <c r="R114" s="5">
        <f t="shared" si="98"/>
        <v>-13768</v>
      </c>
      <c r="S114" s="5">
        <f t="shared" si="99"/>
        <v>4050</v>
      </c>
      <c r="T114" s="5">
        <f>VLOOKUP($B114,'251012_0시'!$A$1:$M$200,4,FALSE)</f>
        <v>636398</v>
      </c>
      <c r="U114" s="5">
        <f>VLOOKUP($B114,'251012_0시'!$A$1:$M$200,5,FALSE)</f>
        <v>8100</v>
      </c>
      <c r="V114" s="5">
        <f t="shared" si="100"/>
        <v>121775</v>
      </c>
      <c r="W114" s="5">
        <f t="shared" si="101"/>
        <v>15061</v>
      </c>
      <c r="X114" s="5">
        <f t="shared" si="102"/>
        <v>4050</v>
      </c>
      <c r="Y114" s="5">
        <f>VLOOKUP($B114,'251013_0시'!$A$1:$M$200,4,FALSE)</f>
        <v>767878</v>
      </c>
      <c r="Z114" s="5">
        <f>VLOOKUP($B114,'251013_0시'!$A$1:$M$200,5,FALSE)</f>
        <v>11700</v>
      </c>
      <c r="AA114" s="5">
        <f t="shared" si="103"/>
        <v>131480</v>
      </c>
      <c r="AB114" s="5">
        <f t="shared" si="104"/>
        <v>9705</v>
      </c>
      <c r="AC114" s="5">
        <f t="shared" si="105"/>
        <v>3600</v>
      </c>
      <c r="AD114" s="5">
        <f>VLOOKUP($B114,'251013_0시'!$A$1:$M$200,4,FALSE)</f>
        <v>767878</v>
      </c>
      <c r="AF114" s="5" t="s">
        <v>853</v>
      </c>
      <c r="AG114" s="5">
        <f>VLOOKUP($AF114,'251013'!$A$1:$M$200,4,FALSE)</f>
        <v>76588</v>
      </c>
      <c r="AH114" s="5">
        <f>VLOOKUP($AF114,'251013'!$A$1:$M$200,5,FALSE)</f>
        <v>0</v>
      </c>
      <c r="AI114" s="5">
        <f>VLOOKUP($AF114,'251014'!$A$1:$M$200,4,FALSE)</f>
        <v>199438</v>
      </c>
      <c r="AJ114" s="5">
        <f>VLOOKUP($AF114,'251014'!$A$1:$M$200,5,FALSE)</f>
        <v>0</v>
      </c>
      <c r="AK114" s="5">
        <f t="shared" si="106"/>
        <v>122850</v>
      </c>
      <c r="AL114" s="5">
        <f t="shared" si="107"/>
        <v>46262</v>
      </c>
      <c r="AM114" s="5">
        <f t="shared" si="108"/>
        <v>0</v>
      </c>
      <c r="AN114" s="5">
        <f>VLOOKUP($AF114,'251015'!$A$1:$M$200,4,FALSE)</f>
        <v>347153</v>
      </c>
      <c r="AO114" s="5">
        <f>VLOOKUP($AF114,'251015'!$A$1:$M$200,5,FALSE)</f>
        <v>101</v>
      </c>
      <c r="AP114" s="5">
        <f t="shared" si="109"/>
        <v>147715</v>
      </c>
      <c r="AQ114" s="5">
        <f t="shared" si="110"/>
        <v>24865</v>
      </c>
      <c r="AR114" s="5">
        <f t="shared" si="111"/>
        <v>101</v>
      </c>
      <c r="AS114" s="5">
        <f>VLOOKUP($AF114,'251016'!$A$1:$M$200,4,FALSE)</f>
        <v>448646</v>
      </c>
      <c r="AT114" s="5">
        <f>VLOOKUP($AF114,'251016'!$A$1:$M$200,5,FALSE)</f>
        <v>101</v>
      </c>
      <c r="AU114" s="5">
        <f t="shared" si="112"/>
        <v>101493</v>
      </c>
      <c r="AV114" s="5">
        <f t="shared" si="113"/>
        <v>-46222</v>
      </c>
      <c r="AW114" s="5">
        <f t="shared" si="114"/>
        <v>0</v>
      </c>
      <c r="AX114" s="5">
        <f>VLOOKUP($AF114,'251017'!$A$1:$M$200,4,FALSE)</f>
        <v>574920</v>
      </c>
      <c r="AY114" s="5">
        <f>VLOOKUP($AF114,'251017'!$A$1:$M$200,5,FALSE)</f>
        <v>101</v>
      </c>
      <c r="AZ114" s="5">
        <f t="shared" si="115"/>
        <v>126274</v>
      </c>
      <c r="BA114" s="5">
        <f t="shared" si="116"/>
        <v>24781</v>
      </c>
      <c r="BB114" s="5">
        <f t="shared" si="117"/>
        <v>0</v>
      </c>
      <c r="BC114" s="5">
        <f>VLOOKUP($AF114,'251018'!$A$1:$M$200,4,FALSE)</f>
        <v>695286</v>
      </c>
      <c r="BD114" s="5">
        <f>VLOOKUP($AF114,'251018'!$A$1:$M$200,5,FALSE)</f>
        <v>101</v>
      </c>
      <c r="BE114" s="5">
        <f t="shared" si="118"/>
        <v>120366</v>
      </c>
      <c r="BF114" s="5">
        <f t="shared" si="119"/>
        <v>-5908</v>
      </c>
      <c r="BG114" s="5">
        <f t="shared" si="120"/>
        <v>0</v>
      </c>
      <c r="BH114" s="5">
        <f>VLOOKUP($AF114,'251018'!$A$1:$M$200,4,FALSE)</f>
        <v>695286</v>
      </c>
    </row>
    <row r="115" spans="1:60" x14ac:dyDescent="0.3">
      <c r="B115" s="5" t="s">
        <v>825</v>
      </c>
      <c r="C115" s="5">
        <f>VLOOKUP($B115,'251008_0시'!$A$1:$M$200,4,FALSE)</f>
        <v>205981</v>
      </c>
      <c r="D115" s="5">
        <f>VLOOKUP($B115,'251008_0시'!$A$1:$M$200,5,FALSE)</f>
        <v>0</v>
      </c>
      <c r="E115" s="5">
        <f>VLOOKUP($B115,'251009_0시'!$A$1:$M$200,4,FALSE)</f>
        <v>324273</v>
      </c>
      <c r="F115" s="5">
        <f>VLOOKUP($B115,'251009_0시'!$A$1:$M$200,5,FALSE)</f>
        <v>0</v>
      </c>
      <c r="G115" s="5">
        <f t="shared" si="91"/>
        <v>118292</v>
      </c>
      <c r="H115" s="5">
        <f t="shared" si="92"/>
        <v>15301.5</v>
      </c>
      <c r="I115" s="5">
        <f t="shared" si="93"/>
        <v>0</v>
      </c>
      <c r="J115" s="5">
        <f>VLOOKUP($B115,'251010_0시'!$A$1:$M$200,4,FALSE)</f>
        <v>443635</v>
      </c>
      <c r="K115" s="5">
        <f>VLOOKUP($B115,'251010_0시'!$A$1:$M$200,5,FALSE)</f>
        <v>404</v>
      </c>
      <c r="L115" s="5">
        <f t="shared" si="94"/>
        <v>119362</v>
      </c>
      <c r="M115" s="5">
        <f t="shared" si="95"/>
        <v>1070</v>
      </c>
      <c r="N115" s="5">
        <f t="shared" si="96"/>
        <v>404</v>
      </c>
      <c r="O115" s="5">
        <f>VLOOKUP($B115,'251011_0시'!$A$1:$M$200,4,FALSE)</f>
        <v>558537</v>
      </c>
      <c r="P115" s="5">
        <f>VLOOKUP($B115,'251011_0시'!$A$1:$M$200,5,FALSE)</f>
        <v>404</v>
      </c>
      <c r="Q115" s="5">
        <f t="shared" si="97"/>
        <v>114902</v>
      </c>
      <c r="R115" s="5">
        <f t="shared" si="98"/>
        <v>-4460</v>
      </c>
      <c r="S115" s="5">
        <f t="shared" si="99"/>
        <v>0</v>
      </c>
      <c r="T115" s="5">
        <f>VLOOKUP($B115,'251012_0시'!$A$1:$M$200,4,FALSE)</f>
        <v>662053</v>
      </c>
      <c r="U115" s="5">
        <f>VLOOKUP($B115,'251012_0시'!$A$1:$M$200,5,FALSE)</f>
        <v>404</v>
      </c>
      <c r="V115" s="5">
        <f t="shared" si="100"/>
        <v>103516</v>
      </c>
      <c r="W115" s="5">
        <f t="shared" si="101"/>
        <v>-11386</v>
      </c>
      <c r="X115" s="5">
        <f t="shared" si="102"/>
        <v>0</v>
      </c>
      <c r="Y115" s="5">
        <f>VLOOKUP($B115,'251013_0시'!$A$1:$M$200,4,FALSE)</f>
        <v>755690</v>
      </c>
      <c r="Z115" s="5">
        <f>VLOOKUP($B115,'251013_0시'!$A$1:$M$200,5,FALSE)</f>
        <v>404</v>
      </c>
      <c r="AA115" s="5">
        <f t="shared" si="103"/>
        <v>93637</v>
      </c>
      <c r="AB115" s="5">
        <f t="shared" si="104"/>
        <v>-9879</v>
      </c>
      <c r="AC115" s="5">
        <f t="shared" si="105"/>
        <v>0</v>
      </c>
      <c r="AD115" s="5">
        <f>VLOOKUP($B115,'251013_0시'!$A$1:$M$200,4,FALSE)</f>
        <v>755690</v>
      </c>
      <c r="AF115" s="5" t="s">
        <v>813</v>
      </c>
      <c r="AG115" s="5">
        <f>VLOOKUP($AF115,'251013'!$A$1:$M$200,4,FALSE)</f>
        <v>126492</v>
      </c>
      <c r="AH115" s="5">
        <f>VLOOKUP($AF115,'251013'!$A$1:$M$200,5,FALSE)</f>
        <v>0</v>
      </c>
      <c r="AI115" s="5">
        <f>VLOOKUP($AF115,'251014'!$A$1:$M$200,4,FALSE)</f>
        <v>287686</v>
      </c>
      <c r="AJ115" s="5">
        <f>VLOOKUP($AF115,'251014'!$A$1:$M$200,5,FALSE)</f>
        <v>0</v>
      </c>
      <c r="AK115" s="5">
        <f t="shared" si="106"/>
        <v>161194</v>
      </c>
      <c r="AL115" s="5">
        <f t="shared" si="107"/>
        <v>34702</v>
      </c>
      <c r="AM115" s="5">
        <f t="shared" si="108"/>
        <v>0</v>
      </c>
      <c r="AN115" s="5">
        <f>VLOOKUP($AF115,'251015'!$A$1:$M$200,4,FALSE)</f>
        <v>399106</v>
      </c>
      <c r="AO115" s="5">
        <f>VLOOKUP($AF115,'251015'!$A$1:$M$200,5,FALSE)</f>
        <v>0</v>
      </c>
      <c r="AP115" s="5">
        <f t="shared" si="109"/>
        <v>111420</v>
      </c>
      <c r="AQ115" s="5">
        <f t="shared" si="110"/>
        <v>-49774</v>
      </c>
      <c r="AR115" s="5">
        <f t="shared" si="111"/>
        <v>0</v>
      </c>
      <c r="AS115" s="5">
        <f>VLOOKUP($AF115,'251016'!$A$1:$M$200,4,FALSE)</f>
        <v>497276</v>
      </c>
      <c r="AT115" s="5">
        <f>VLOOKUP($AF115,'251016'!$A$1:$M$200,5,FALSE)</f>
        <v>0</v>
      </c>
      <c r="AU115" s="5">
        <f t="shared" si="112"/>
        <v>98170</v>
      </c>
      <c r="AV115" s="5">
        <f t="shared" si="113"/>
        <v>-13250</v>
      </c>
      <c r="AW115" s="5">
        <f t="shared" si="114"/>
        <v>0</v>
      </c>
      <c r="AX115" s="5">
        <f>VLOOKUP($AF115,'251017'!$A$1:$M$200,4,FALSE)</f>
        <v>649028</v>
      </c>
      <c r="AY115" s="5">
        <f>VLOOKUP($AF115,'251017'!$A$1:$M$200,5,FALSE)</f>
        <v>0</v>
      </c>
      <c r="AZ115" s="5">
        <f t="shared" si="115"/>
        <v>151752</v>
      </c>
      <c r="BA115" s="5">
        <f t="shared" si="116"/>
        <v>53582</v>
      </c>
      <c r="BB115" s="5">
        <f t="shared" si="117"/>
        <v>0</v>
      </c>
      <c r="BC115" s="5">
        <f>VLOOKUP($AF115,'251018'!$A$1:$M$200,4,FALSE)</f>
        <v>692373</v>
      </c>
      <c r="BD115" s="5">
        <f>VLOOKUP($AF115,'251018'!$A$1:$M$200,5,FALSE)</f>
        <v>0</v>
      </c>
      <c r="BE115" s="5">
        <f t="shared" si="118"/>
        <v>43345</v>
      </c>
      <c r="BF115" s="5">
        <f t="shared" si="119"/>
        <v>-108407</v>
      </c>
      <c r="BG115" s="5">
        <f t="shared" si="120"/>
        <v>0</v>
      </c>
      <c r="BH115" s="5">
        <f>VLOOKUP($AF115,'251018'!$A$1:$M$200,4,FALSE)</f>
        <v>692373</v>
      </c>
    </row>
    <row r="116" spans="1:60" x14ac:dyDescent="0.3">
      <c r="B116" s="5" t="s">
        <v>603</v>
      </c>
      <c r="C116" s="5">
        <f>VLOOKUP($B116,'251008_0시'!$A$1:$M$200,4,FALSE)</f>
        <v>183363</v>
      </c>
      <c r="D116" s="5">
        <f>VLOOKUP($B116,'251008_0시'!$A$1:$M$200,5,FALSE)</f>
        <v>700</v>
      </c>
      <c r="E116" s="5">
        <f>VLOOKUP($B116,'251009_0시'!$A$1:$M$200,4,FALSE)</f>
        <v>286222</v>
      </c>
      <c r="F116" s="5">
        <f>VLOOKUP($B116,'251009_0시'!$A$1:$M$200,5,FALSE)</f>
        <v>700</v>
      </c>
      <c r="G116" s="5">
        <f t="shared" si="91"/>
        <v>102859</v>
      </c>
      <c r="H116" s="5">
        <f t="shared" si="92"/>
        <v>11177.5</v>
      </c>
      <c r="I116" s="5">
        <f t="shared" si="93"/>
        <v>0</v>
      </c>
      <c r="J116" s="5">
        <f>VLOOKUP($B116,'251010_0시'!$A$1:$M$200,4,FALSE)</f>
        <v>416579</v>
      </c>
      <c r="K116" s="5">
        <f>VLOOKUP($B116,'251010_0시'!$A$1:$M$200,5,FALSE)</f>
        <v>902</v>
      </c>
      <c r="L116" s="5">
        <f t="shared" si="94"/>
        <v>130357</v>
      </c>
      <c r="M116" s="5">
        <f t="shared" si="95"/>
        <v>27498</v>
      </c>
      <c r="N116" s="5">
        <f t="shared" si="96"/>
        <v>202</v>
      </c>
      <c r="O116" s="5">
        <f>VLOOKUP($B116,'251011_0시'!$A$1:$M$200,4,FALSE)</f>
        <v>542354</v>
      </c>
      <c r="P116" s="5">
        <f>VLOOKUP($B116,'251011_0시'!$A$1:$M$200,5,FALSE)</f>
        <v>902</v>
      </c>
      <c r="Q116" s="5">
        <f t="shared" si="97"/>
        <v>125775</v>
      </c>
      <c r="R116" s="5">
        <f t="shared" si="98"/>
        <v>-4582</v>
      </c>
      <c r="S116" s="5">
        <f t="shared" si="99"/>
        <v>0</v>
      </c>
      <c r="T116" s="5">
        <f>VLOOKUP($B116,'251012_0시'!$A$1:$M$200,4,FALSE)</f>
        <v>643022</v>
      </c>
      <c r="U116" s="5">
        <f>VLOOKUP($B116,'251012_0시'!$A$1:$M$200,5,FALSE)</f>
        <v>902</v>
      </c>
      <c r="V116" s="5">
        <f t="shared" si="100"/>
        <v>100668</v>
      </c>
      <c r="W116" s="5">
        <f t="shared" si="101"/>
        <v>-25107</v>
      </c>
      <c r="X116" s="5">
        <f t="shared" si="102"/>
        <v>0</v>
      </c>
      <c r="Y116" s="5">
        <f>VLOOKUP($B116,'251013_0시'!$A$1:$M$200,4,FALSE)</f>
        <v>751044</v>
      </c>
      <c r="Z116" s="5">
        <f>VLOOKUP($B116,'251013_0시'!$A$1:$M$200,5,FALSE)</f>
        <v>902</v>
      </c>
      <c r="AA116" s="5">
        <f t="shared" si="103"/>
        <v>108022</v>
      </c>
      <c r="AB116" s="5">
        <f t="shared" si="104"/>
        <v>7354</v>
      </c>
      <c r="AC116" s="5">
        <f t="shared" si="105"/>
        <v>0</v>
      </c>
      <c r="AD116" s="5">
        <f>VLOOKUP($B116,'251013_0시'!$A$1:$M$200,4,FALSE)</f>
        <v>751044</v>
      </c>
      <c r="AF116" s="5" t="s">
        <v>971</v>
      </c>
      <c r="AG116" s="5">
        <f>VLOOKUP($AF116,'251013'!$A$1:$M$200,4,FALSE)</f>
        <v>104810</v>
      </c>
      <c r="AH116" s="5">
        <f>VLOOKUP($AF116,'251013'!$A$1:$M$200,5,FALSE)</f>
        <v>350</v>
      </c>
      <c r="AI116" s="5">
        <f>VLOOKUP($AF116,'251014'!$A$1:$M$200,4,FALSE)</f>
        <v>213951</v>
      </c>
      <c r="AJ116" s="5">
        <f>VLOOKUP($AF116,'251014'!$A$1:$M$200,5,FALSE)</f>
        <v>350</v>
      </c>
      <c r="AK116" s="5">
        <f t="shared" si="106"/>
        <v>109141</v>
      </c>
      <c r="AL116" s="5">
        <f t="shared" si="107"/>
        <v>4331</v>
      </c>
      <c r="AM116" s="5">
        <f t="shared" si="108"/>
        <v>0</v>
      </c>
      <c r="AN116" s="5">
        <f>VLOOKUP($AF116,'251015'!$A$1:$M$200,4,FALSE)</f>
        <v>355178</v>
      </c>
      <c r="AO116" s="5">
        <f>VLOOKUP($AF116,'251015'!$A$1:$M$200,5,FALSE)</f>
        <v>350</v>
      </c>
      <c r="AP116" s="5">
        <f t="shared" si="109"/>
        <v>141227</v>
      </c>
      <c r="AQ116" s="5">
        <f t="shared" si="110"/>
        <v>32086</v>
      </c>
      <c r="AR116" s="5">
        <f t="shared" si="111"/>
        <v>0</v>
      </c>
      <c r="AS116" s="5">
        <f>VLOOKUP($AF116,'251016'!$A$1:$M$200,4,FALSE)</f>
        <v>448623</v>
      </c>
      <c r="AT116" s="5">
        <f>VLOOKUP($AF116,'251016'!$A$1:$M$200,5,FALSE)</f>
        <v>350</v>
      </c>
      <c r="AU116" s="5">
        <f t="shared" si="112"/>
        <v>93445</v>
      </c>
      <c r="AV116" s="5">
        <f t="shared" si="113"/>
        <v>-47782</v>
      </c>
      <c r="AW116" s="5">
        <f t="shared" si="114"/>
        <v>0</v>
      </c>
      <c r="AX116" s="5">
        <f>VLOOKUP($AF116,'251017'!$A$1:$M$200,4,FALSE)</f>
        <v>555975</v>
      </c>
      <c r="AY116" s="5">
        <f>VLOOKUP($AF116,'251017'!$A$1:$M$200,5,FALSE)</f>
        <v>550</v>
      </c>
      <c r="AZ116" s="5">
        <f t="shared" si="115"/>
        <v>107352</v>
      </c>
      <c r="BA116" s="5">
        <f t="shared" si="116"/>
        <v>13907</v>
      </c>
      <c r="BB116" s="5">
        <f t="shared" si="117"/>
        <v>200</v>
      </c>
      <c r="BC116" s="5">
        <f>VLOOKUP($AF116,'251018'!$A$1:$M$200,4,FALSE)</f>
        <v>691882</v>
      </c>
      <c r="BD116" s="5">
        <f>VLOOKUP($AF116,'251018'!$A$1:$M$200,5,FALSE)</f>
        <v>550</v>
      </c>
      <c r="BE116" s="5">
        <f t="shared" si="118"/>
        <v>135907</v>
      </c>
      <c r="BF116" s="5">
        <f t="shared" si="119"/>
        <v>28555</v>
      </c>
      <c r="BG116" s="5">
        <f t="shared" si="120"/>
        <v>0</v>
      </c>
      <c r="BH116" s="5">
        <f>VLOOKUP($AF116,'251018'!$A$1:$M$200,4,FALSE)</f>
        <v>691882</v>
      </c>
    </row>
    <row r="117" spans="1:60" x14ac:dyDescent="0.3">
      <c r="B117" s="5" t="s">
        <v>815</v>
      </c>
      <c r="C117" s="5">
        <f>VLOOKUP($B117,'251008_0시'!$A$1:$M$200,4,FALSE)</f>
        <v>226208</v>
      </c>
      <c r="D117" s="5">
        <f>VLOOKUP($B117,'251008_0시'!$A$1:$M$200,5,FALSE)</f>
        <v>250</v>
      </c>
      <c r="E117" s="5">
        <f>VLOOKUP($B117,'251009_0시'!$A$1:$M$200,4,FALSE)</f>
        <v>366585</v>
      </c>
      <c r="F117" s="5">
        <f>VLOOKUP($B117,'251009_0시'!$A$1:$M$200,5,FALSE)</f>
        <v>250</v>
      </c>
      <c r="G117" s="5">
        <f t="shared" si="91"/>
        <v>140377</v>
      </c>
      <c r="H117" s="5">
        <f t="shared" si="92"/>
        <v>27273</v>
      </c>
      <c r="I117" s="5">
        <f t="shared" si="93"/>
        <v>0</v>
      </c>
      <c r="J117" s="5">
        <f>VLOOKUP($B117,'251010_0시'!$A$1:$M$200,4,FALSE)</f>
        <v>440743</v>
      </c>
      <c r="K117" s="5">
        <f>VLOOKUP($B117,'251010_0시'!$A$1:$M$200,5,FALSE)</f>
        <v>250</v>
      </c>
      <c r="L117" s="5">
        <f t="shared" si="94"/>
        <v>74158</v>
      </c>
      <c r="M117" s="5">
        <f t="shared" si="95"/>
        <v>-66219</v>
      </c>
      <c r="N117" s="5">
        <f t="shared" si="96"/>
        <v>0</v>
      </c>
      <c r="O117" s="5">
        <f>VLOOKUP($B117,'251011_0시'!$A$1:$M$200,4,FALSE)</f>
        <v>549999</v>
      </c>
      <c r="P117" s="5">
        <f>VLOOKUP($B117,'251011_0시'!$A$1:$M$200,5,FALSE)</f>
        <v>250</v>
      </c>
      <c r="Q117" s="5">
        <f t="shared" si="97"/>
        <v>109256</v>
      </c>
      <c r="R117" s="5">
        <f t="shared" si="98"/>
        <v>35098</v>
      </c>
      <c r="S117" s="5">
        <f t="shared" si="99"/>
        <v>0</v>
      </c>
      <c r="T117" s="5">
        <f>VLOOKUP($B117,'251012_0시'!$A$1:$M$200,4,FALSE)</f>
        <v>630507</v>
      </c>
      <c r="U117" s="5">
        <f>VLOOKUP($B117,'251012_0시'!$A$1:$M$200,5,FALSE)</f>
        <v>250</v>
      </c>
      <c r="V117" s="5">
        <f t="shared" si="100"/>
        <v>80508</v>
      </c>
      <c r="W117" s="5">
        <f t="shared" si="101"/>
        <v>-28748</v>
      </c>
      <c r="X117" s="5">
        <f t="shared" si="102"/>
        <v>0</v>
      </c>
      <c r="Y117" s="5">
        <f>VLOOKUP($B117,'251013_0시'!$A$1:$M$200,4,FALSE)</f>
        <v>731404</v>
      </c>
      <c r="Z117" s="5">
        <f>VLOOKUP($B117,'251013_0시'!$A$1:$M$200,5,FALSE)</f>
        <v>450</v>
      </c>
      <c r="AA117" s="5">
        <f t="shared" si="103"/>
        <v>100897</v>
      </c>
      <c r="AB117" s="5">
        <f t="shared" si="104"/>
        <v>20389</v>
      </c>
      <c r="AC117" s="5">
        <f t="shared" si="105"/>
        <v>200</v>
      </c>
      <c r="AD117" s="5">
        <f>VLOOKUP($B117,'251013_0시'!$A$1:$M$200,4,FALSE)</f>
        <v>731404</v>
      </c>
      <c r="AF117" s="5" t="s">
        <v>825</v>
      </c>
      <c r="AG117" s="5">
        <f>VLOOKUP($AF117,'251013'!$A$1:$M$200,4,FALSE)</f>
        <v>119876</v>
      </c>
      <c r="AH117" s="5">
        <f>VLOOKUP($AF117,'251013'!$A$1:$M$200,5,FALSE)</f>
        <v>0</v>
      </c>
      <c r="AI117" s="5">
        <f>VLOOKUP($AF117,'251014'!$A$1:$M$200,4,FALSE)</f>
        <v>217367</v>
      </c>
      <c r="AJ117" s="5">
        <f>VLOOKUP($AF117,'251014'!$A$1:$M$200,5,FALSE)</f>
        <v>0</v>
      </c>
      <c r="AK117" s="5">
        <f t="shared" si="106"/>
        <v>97491</v>
      </c>
      <c r="AL117" s="5">
        <f t="shared" si="107"/>
        <v>-22385</v>
      </c>
      <c r="AM117" s="5">
        <f t="shared" si="108"/>
        <v>0</v>
      </c>
      <c r="AN117" s="5">
        <f>VLOOKUP($AF117,'251015'!$A$1:$M$200,4,FALSE)</f>
        <v>341639</v>
      </c>
      <c r="AO117" s="5">
        <f>VLOOKUP($AF117,'251015'!$A$1:$M$200,5,FALSE)</f>
        <v>50</v>
      </c>
      <c r="AP117" s="5">
        <f t="shared" si="109"/>
        <v>124272</v>
      </c>
      <c r="AQ117" s="5">
        <f t="shared" si="110"/>
        <v>26781</v>
      </c>
      <c r="AR117" s="5">
        <f t="shared" si="111"/>
        <v>50</v>
      </c>
      <c r="AS117" s="5">
        <f>VLOOKUP($AF117,'251016'!$A$1:$M$200,4,FALSE)</f>
        <v>474399</v>
      </c>
      <c r="AT117" s="5">
        <f>VLOOKUP($AF117,'251016'!$A$1:$M$200,5,FALSE)</f>
        <v>392</v>
      </c>
      <c r="AU117" s="5">
        <f t="shared" si="112"/>
        <v>132760</v>
      </c>
      <c r="AV117" s="5">
        <f t="shared" si="113"/>
        <v>8488</v>
      </c>
      <c r="AW117" s="5">
        <f t="shared" si="114"/>
        <v>342</v>
      </c>
      <c r="AX117" s="5">
        <f>VLOOKUP($AF117,'251017'!$A$1:$M$200,4,FALSE)</f>
        <v>598588</v>
      </c>
      <c r="AY117" s="5">
        <f>VLOOKUP($AF117,'251017'!$A$1:$M$200,5,FALSE)</f>
        <v>392</v>
      </c>
      <c r="AZ117" s="5">
        <f t="shared" si="115"/>
        <v>124189</v>
      </c>
      <c r="BA117" s="5">
        <f t="shared" si="116"/>
        <v>-8571</v>
      </c>
      <c r="BB117" s="5">
        <f t="shared" si="117"/>
        <v>0</v>
      </c>
      <c r="BC117" s="5">
        <f>VLOOKUP($AF117,'251018'!$A$1:$M$200,4,FALSE)</f>
        <v>690830</v>
      </c>
      <c r="BD117" s="5">
        <f>VLOOKUP($AF117,'251018'!$A$1:$M$200,5,FALSE)</f>
        <v>392</v>
      </c>
      <c r="BE117" s="5">
        <f t="shared" si="118"/>
        <v>92242</v>
      </c>
      <c r="BF117" s="5">
        <f t="shared" si="119"/>
        <v>-31947</v>
      </c>
      <c r="BG117" s="5">
        <f t="shared" si="120"/>
        <v>0</v>
      </c>
      <c r="BH117" s="5">
        <f>VLOOKUP($AF117,'251018'!$A$1:$M$200,4,FALSE)</f>
        <v>690830</v>
      </c>
    </row>
    <row r="118" spans="1:60" x14ac:dyDescent="0.3">
      <c r="B118" s="5" t="s">
        <v>845</v>
      </c>
      <c r="C118" s="5">
        <f>VLOOKUP($B118,'251008_0시'!$A$1:$M$200,4,FALSE)</f>
        <v>132055</v>
      </c>
      <c r="D118" s="5">
        <f>VLOOKUP($B118,'251008_0시'!$A$1:$M$200,5,FALSE)</f>
        <v>0</v>
      </c>
      <c r="E118" s="5">
        <f>VLOOKUP($B118,'251009_0시'!$A$1:$M$200,4,FALSE)</f>
        <v>275325</v>
      </c>
      <c r="F118" s="5">
        <f>VLOOKUP($B118,'251009_0시'!$A$1:$M$200,5,FALSE)</f>
        <v>0</v>
      </c>
      <c r="G118" s="5">
        <f t="shared" si="91"/>
        <v>143270</v>
      </c>
      <c r="H118" s="5">
        <f t="shared" si="92"/>
        <v>77242.5</v>
      </c>
      <c r="I118" s="5">
        <f t="shared" si="93"/>
        <v>0</v>
      </c>
      <c r="J118" s="5">
        <f>VLOOKUP($B118,'251010_0시'!$A$1:$M$200,4,FALSE)</f>
        <v>397525</v>
      </c>
      <c r="K118" s="5">
        <f>VLOOKUP($B118,'251010_0시'!$A$1:$M$200,5,FALSE)</f>
        <v>0</v>
      </c>
      <c r="L118" s="5">
        <f t="shared" si="94"/>
        <v>122200</v>
      </c>
      <c r="M118" s="5">
        <f t="shared" si="95"/>
        <v>-21070</v>
      </c>
      <c r="N118" s="5">
        <f t="shared" si="96"/>
        <v>0</v>
      </c>
      <c r="O118" s="5">
        <f>VLOOKUP($B118,'251011_0시'!$A$1:$M$200,4,FALSE)</f>
        <v>491576</v>
      </c>
      <c r="P118" s="5">
        <f>VLOOKUP($B118,'251011_0시'!$A$1:$M$200,5,FALSE)</f>
        <v>0</v>
      </c>
      <c r="Q118" s="5">
        <f t="shared" si="97"/>
        <v>94051</v>
      </c>
      <c r="R118" s="5">
        <f t="shared" si="98"/>
        <v>-28149</v>
      </c>
      <c r="S118" s="5">
        <f t="shared" si="99"/>
        <v>0</v>
      </c>
      <c r="T118" s="5">
        <f>VLOOKUP($B118,'251012_0시'!$A$1:$M$200,4,FALSE)</f>
        <v>603467</v>
      </c>
      <c r="U118" s="5">
        <f>VLOOKUP($B118,'251012_0시'!$A$1:$M$200,5,FALSE)</f>
        <v>0</v>
      </c>
      <c r="V118" s="5">
        <f t="shared" si="100"/>
        <v>111891</v>
      </c>
      <c r="W118" s="5">
        <f t="shared" si="101"/>
        <v>17840</v>
      </c>
      <c r="X118" s="5">
        <f t="shared" si="102"/>
        <v>0</v>
      </c>
      <c r="Y118" s="5">
        <f>VLOOKUP($B118,'251013_0시'!$A$1:$M$200,4,FALSE)</f>
        <v>730196</v>
      </c>
      <c r="Z118" s="5">
        <f>VLOOKUP($B118,'251013_0시'!$A$1:$M$200,5,FALSE)</f>
        <v>0</v>
      </c>
      <c r="AA118" s="5">
        <f t="shared" si="103"/>
        <v>126729</v>
      </c>
      <c r="AB118" s="5">
        <f t="shared" si="104"/>
        <v>14838</v>
      </c>
      <c r="AC118" s="5">
        <f t="shared" si="105"/>
        <v>0</v>
      </c>
      <c r="AD118" s="5">
        <f>VLOOKUP($B118,'251013_0시'!$A$1:$M$200,4,FALSE)</f>
        <v>730196</v>
      </c>
      <c r="AF118" s="5" t="s">
        <v>815</v>
      </c>
      <c r="AG118" s="5">
        <f>VLOOKUP($AF118,'251013'!$A$1:$M$200,4,FALSE)</f>
        <v>119626</v>
      </c>
      <c r="AH118" s="5">
        <f>VLOOKUP($AF118,'251013'!$A$1:$M$200,5,FALSE)</f>
        <v>0</v>
      </c>
      <c r="AI118" s="5">
        <f>VLOOKUP($AF118,'251014'!$A$1:$M$200,4,FALSE)</f>
        <v>193749</v>
      </c>
      <c r="AJ118" s="5">
        <f>VLOOKUP($AF118,'251014'!$A$1:$M$200,5,FALSE)</f>
        <v>0</v>
      </c>
      <c r="AK118" s="5">
        <f t="shared" si="106"/>
        <v>74123</v>
      </c>
      <c r="AL118" s="5">
        <f t="shared" si="107"/>
        <v>-45503</v>
      </c>
      <c r="AM118" s="5">
        <f t="shared" si="108"/>
        <v>0</v>
      </c>
      <c r="AN118" s="5">
        <f>VLOOKUP($AF118,'251015'!$A$1:$M$200,4,FALSE)</f>
        <v>267462</v>
      </c>
      <c r="AO118" s="5">
        <f>VLOOKUP($AF118,'251015'!$A$1:$M$200,5,FALSE)</f>
        <v>0</v>
      </c>
      <c r="AP118" s="5">
        <f t="shared" si="109"/>
        <v>73713</v>
      </c>
      <c r="AQ118" s="5">
        <f t="shared" si="110"/>
        <v>-410</v>
      </c>
      <c r="AR118" s="5">
        <f t="shared" si="111"/>
        <v>0</v>
      </c>
      <c r="AS118" s="5">
        <f>VLOOKUP($AF118,'251016'!$A$1:$M$200,4,FALSE)</f>
        <v>414920</v>
      </c>
      <c r="AT118" s="5">
        <f>VLOOKUP($AF118,'251016'!$A$1:$M$200,5,FALSE)</f>
        <v>0</v>
      </c>
      <c r="AU118" s="5">
        <f t="shared" si="112"/>
        <v>147458</v>
      </c>
      <c r="AV118" s="5">
        <f t="shared" si="113"/>
        <v>73745</v>
      </c>
      <c r="AW118" s="5">
        <f t="shared" si="114"/>
        <v>0</v>
      </c>
      <c r="AX118" s="5">
        <f>VLOOKUP($AF118,'251017'!$A$1:$M$200,4,FALSE)</f>
        <v>568462</v>
      </c>
      <c r="AY118" s="5">
        <f>VLOOKUP($AF118,'251017'!$A$1:$M$200,5,FALSE)</f>
        <v>0</v>
      </c>
      <c r="AZ118" s="5">
        <f t="shared" si="115"/>
        <v>153542</v>
      </c>
      <c r="BA118" s="5">
        <f t="shared" si="116"/>
        <v>6084</v>
      </c>
      <c r="BB118" s="5">
        <f t="shared" si="117"/>
        <v>0</v>
      </c>
      <c r="BC118" s="5">
        <f>VLOOKUP($AF118,'251018'!$A$1:$M$200,4,FALSE)</f>
        <v>681868</v>
      </c>
      <c r="BD118" s="5">
        <f>VLOOKUP($AF118,'251018'!$A$1:$M$200,5,FALSE)</f>
        <v>0</v>
      </c>
      <c r="BE118" s="5">
        <f t="shared" si="118"/>
        <v>113406</v>
      </c>
      <c r="BF118" s="5">
        <f t="shared" si="119"/>
        <v>-40136</v>
      </c>
      <c r="BG118" s="5">
        <f t="shared" si="120"/>
        <v>0</v>
      </c>
      <c r="BH118" s="5">
        <f>VLOOKUP($AF118,'251018'!$A$1:$M$200,4,FALSE)</f>
        <v>681868</v>
      </c>
    </row>
    <row r="119" spans="1:60" x14ac:dyDescent="0.3">
      <c r="B119" s="5" t="s">
        <v>976</v>
      </c>
      <c r="C119" s="5">
        <f>VLOOKUP($B119,'251008_0시'!$A$1:$M$200,4,FALSE)</f>
        <v>83847</v>
      </c>
      <c r="D119" s="5">
        <f>VLOOKUP($B119,'251008_0시'!$A$1:$M$200,5,FALSE)</f>
        <v>50</v>
      </c>
      <c r="E119" s="5">
        <f>VLOOKUP($B119,'251009_0시'!$A$1:$M$200,4,FALSE)</f>
        <v>214751</v>
      </c>
      <c r="F119" s="5">
        <f>VLOOKUP($B119,'251009_0시'!$A$1:$M$200,5,FALSE)</f>
        <v>750</v>
      </c>
      <c r="G119" s="5">
        <f t="shared" si="91"/>
        <v>130904</v>
      </c>
      <c r="H119" s="5">
        <f t="shared" si="92"/>
        <v>88980.5</v>
      </c>
      <c r="I119" s="5">
        <f t="shared" si="93"/>
        <v>700</v>
      </c>
      <c r="J119" s="5">
        <f>VLOOKUP($B119,'251010_0시'!$A$1:$M$200,4,FALSE)</f>
        <v>293942</v>
      </c>
      <c r="K119" s="5">
        <f>VLOOKUP($B119,'251010_0시'!$A$1:$M$200,5,FALSE)</f>
        <v>750</v>
      </c>
      <c r="L119" s="5">
        <f t="shared" si="94"/>
        <v>79191</v>
      </c>
      <c r="M119" s="5">
        <f t="shared" si="95"/>
        <v>-51713</v>
      </c>
      <c r="N119" s="5">
        <f t="shared" si="96"/>
        <v>0</v>
      </c>
      <c r="O119" s="5">
        <f>VLOOKUP($B119,'251011_0시'!$A$1:$M$200,4,FALSE)</f>
        <v>402592</v>
      </c>
      <c r="P119" s="5">
        <f>VLOOKUP($B119,'251011_0시'!$A$1:$M$200,5,FALSE)</f>
        <v>750</v>
      </c>
      <c r="Q119" s="5">
        <f t="shared" si="97"/>
        <v>108650</v>
      </c>
      <c r="R119" s="5">
        <f t="shared" si="98"/>
        <v>29459</v>
      </c>
      <c r="S119" s="5">
        <f t="shared" si="99"/>
        <v>0</v>
      </c>
      <c r="T119" s="5">
        <f>VLOOKUP($B119,'251012_0시'!$A$1:$M$200,4,FALSE)</f>
        <v>577244</v>
      </c>
      <c r="U119" s="5">
        <f>VLOOKUP($B119,'251012_0시'!$A$1:$M$200,5,FALSE)</f>
        <v>750</v>
      </c>
      <c r="V119" s="5">
        <f t="shared" si="100"/>
        <v>174652</v>
      </c>
      <c r="W119" s="5">
        <f t="shared" si="101"/>
        <v>66002</v>
      </c>
      <c r="X119" s="5">
        <f t="shared" si="102"/>
        <v>0</v>
      </c>
      <c r="Y119" s="5">
        <f>VLOOKUP($B119,'251013_0시'!$A$1:$M$200,4,FALSE)</f>
        <v>728724</v>
      </c>
      <c r="Z119" s="5">
        <f>VLOOKUP($B119,'251013_0시'!$A$1:$M$200,5,FALSE)</f>
        <v>750</v>
      </c>
      <c r="AA119" s="5">
        <f t="shared" si="103"/>
        <v>151480</v>
      </c>
      <c r="AB119" s="5">
        <f t="shared" si="104"/>
        <v>-23172</v>
      </c>
      <c r="AC119" s="5">
        <f t="shared" si="105"/>
        <v>0</v>
      </c>
      <c r="AD119" s="5">
        <f>VLOOKUP($B119,'251013_0시'!$A$1:$M$200,4,FALSE)</f>
        <v>728724</v>
      </c>
      <c r="AF119" s="5" t="s">
        <v>836</v>
      </c>
      <c r="AG119" s="5">
        <f>VLOOKUP($AF119,'251013'!$A$1:$M$200,4,FALSE)</f>
        <v>85372</v>
      </c>
      <c r="AH119" s="5">
        <f>VLOOKUP($AF119,'251013'!$A$1:$M$200,5,FALSE)</f>
        <v>0</v>
      </c>
      <c r="AI119" s="5">
        <f>VLOOKUP($AF119,'251014'!$A$1:$M$200,4,FALSE)</f>
        <v>200600</v>
      </c>
      <c r="AJ119" s="5">
        <f>VLOOKUP($AF119,'251014'!$A$1:$M$200,5,FALSE)</f>
        <v>0</v>
      </c>
      <c r="AK119" s="5">
        <f t="shared" si="106"/>
        <v>115228</v>
      </c>
      <c r="AL119" s="5">
        <f t="shared" si="107"/>
        <v>29856</v>
      </c>
      <c r="AM119" s="5">
        <f t="shared" si="108"/>
        <v>0</v>
      </c>
      <c r="AN119" s="5">
        <f>VLOOKUP($AF119,'251015'!$A$1:$M$200,4,FALSE)</f>
        <v>322423</v>
      </c>
      <c r="AO119" s="5">
        <f>VLOOKUP($AF119,'251015'!$A$1:$M$200,5,FALSE)</f>
        <v>0</v>
      </c>
      <c r="AP119" s="5">
        <f t="shared" si="109"/>
        <v>121823</v>
      </c>
      <c r="AQ119" s="5">
        <f t="shared" si="110"/>
        <v>6595</v>
      </c>
      <c r="AR119" s="5">
        <f t="shared" si="111"/>
        <v>0</v>
      </c>
      <c r="AS119" s="5">
        <f>VLOOKUP($AF119,'251016'!$A$1:$M$200,4,FALSE)</f>
        <v>431875</v>
      </c>
      <c r="AT119" s="5">
        <f>VLOOKUP($AF119,'251016'!$A$1:$M$200,5,FALSE)</f>
        <v>0</v>
      </c>
      <c r="AU119" s="5">
        <f t="shared" si="112"/>
        <v>109452</v>
      </c>
      <c r="AV119" s="5">
        <f t="shared" si="113"/>
        <v>-12371</v>
      </c>
      <c r="AW119" s="5">
        <f t="shared" si="114"/>
        <v>0</v>
      </c>
      <c r="AX119" s="5">
        <f>VLOOKUP($AF119,'251017'!$A$1:$M$200,4,FALSE)</f>
        <v>527468</v>
      </c>
      <c r="AY119" s="5">
        <f>VLOOKUP($AF119,'251017'!$A$1:$M$200,5,FALSE)</f>
        <v>0</v>
      </c>
      <c r="AZ119" s="5">
        <f t="shared" si="115"/>
        <v>95593</v>
      </c>
      <c r="BA119" s="5">
        <f t="shared" si="116"/>
        <v>-13859</v>
      </c>
      <c r="BB119" s="5">
        <f t="shared" si="117"/>
        <v>0</v>
      </c>
      <c r="BC119" s="5">
        <f>VLOOKUP($AF119,'251018'!$A$1:$M$200,4,FALSE)</f>
        <v>668813</v>
      </c>
      <c r="BD119" s="5">
        <f>VLOOKUP($AF119,'251018'!$A$1:$M$200,5,FALSE)</f>
        <v>0</v>
      </c>
      <c r="BE119" s="5">
        <f t="shared" si="118"/>
        <v>141345</v>
      </c>
      <c r="BF119" s="5">
        <f t="shared" si="119"/>
        <v>45752</v>
      </c>
      <c r="BG119" s="5">
        <f t="shared" si="120"/>
        <v>0</v>
      </c>
      <c r="BH119" s="5">
        <f>VLOOKUP($AF119,'251018'!$A$1:$M$200,4,FALSE)</f>
        <v>668813</v>
      </c>
    </row>
    <row r="120" spans="1:60" x14ac:dyDescent="0.3">
      <c r="B120" s="5" t="s">
        <v>863</v>
      </c>
      <c r="C120" s="5">
        <f>VLOOKUP($B120,'251008_0시'!$A$1:$M$200,4,FALSE)</f>
        <v>222946</v>
      </c>
      <c r="D120" s="5">
        <f>VLOOKUP($B120,'251008_0시'!$A$1:$M$200,5,FALSE)</f>
        <v>700</v>
      </c>
      <c r="E120" s="5">
        <f>VLOOKUP($B120,'251009_0시'!$A$1:$M$200,4,FALSE)</f>
        <v>355514</v>
      </c>
      <c r="F120" s="5">
        <f>VLOOKUP($B120,'251009_0시'!$A$1:$M$200,5,FALSE)</f>
        <v>700</v>
      </c>
      <c r="G120" s="5">
        <f t="shared" si="91"/>
        <v>132568</v>
      </c>
      <c r="H120" s="5">
        <f t="shared" si="92"/>
        <v>21095</v>
      </c>
      <c r="I120" s="5">
        <f t="shared" si="93"/>
        <v>0</v>
      </c>
      <c r="J120" s="5">
        <f>VLOOKUP($B120,'251010_0시'!$A$1:$M$200,4,FALSE)</f>
        <v>449532</v>
      </c>
      <c r="K120" s="5">
        <f>VLOOKUP($B120,'251010_0시'!$A$1:$M$200,5,FALSE)</f>
        <v>700</v>
      </c>
      <c r="L120" s="5">
        <f t="shared" si="94"/>
        <v>94018</v>
      </c>
      <c r="M120" s="5">
        <f t="shared" si="95"/>
        <v>-38550</v>
      </c>
      <c r="N120" s="5">
        <f t="shared" si="96"/>
        <v>0</v>
      </c>
      <c r="O120" s="5">
        <f>VLOOKUP($B120,'251011_0시'!$A$1:$M$200,4,FALSE)</f>
        <v>548881</v>
      </c>
      <c r="P120" s="5">
        <f>VLOOKUP($B120,'251011_0시'!$A$1:$M$200,5,FALSE)</f>
        <v>700</v>
      </c>
      <c r="Q120" s="5">
        <f t="shared" si="97"/>
        <v>99349</v>
      </c>
      <c r="R120" s="5">
        <f t="shared" si="98"/>
        <v>5331</v>
      </c>
      <c r="S120" s="5">
        <f t="shared" si="99"/>
        <v>0</v>
      </c>
      <c r="T120" s="5">
        <f>VLOOKUP($B120,'251012_0시'!$A$1:$M$200,4,FALSE)</f>
        <v>624762</v>
      </c>
      <c r="U120" s="5">
        <f>VLOOKUP($B120,'251012_0시'!$A$1:$M$200,5,FALSE)</f>
        <v>700</v>
      </c>
      <c r="V120" s="5">
        <f t="shared" si="100"/>
        <v>75881</v>
      </c>
      <c r="W120" s="5">
        <f t="shared" si="101"/>
        <v>-23468</v>
      </c>
      <c r="X120" s="5">
        <f t="shared" si="102"/>
        <v>0</v>
      </c>
      <c r="Y120" s="5">
        <f>VLOOKUP($B120,'251013_0시'!$A$1:$M$200,4,FALSE)</f>
        <v>726380</v>
      </c>
      <c r="Z120" s="5">
        <f>VLOOKUP($B120,'251013_0시'!$A$1:$M$200,5,FALSE)</f>
        <v>1200</v>
      </c>
      <c r="AA120" s="5">
        <f t="shared" si="103"/>
        <v>101618</v>
      </c>
      <c r="AB120" s="5">
        <f t="shared" si="104"/>
        <v>25737</v>
      </c>
      <c r="AC120" s="5">
        <f t="shared" si="105"/>
        <v>500</v>
      </c>
      <c r="AD120" s="5">
        <f>VLOOKUP($B120,'251013_0시'!$A$1:$M$200,4,FALSE)</f>
        <v>726380</v>
      </c>
      <c r="AF120" s="5" t="s">
        <v>884</v>
      </c>
      <c r="AG120" s="5">
        <f>VLOOKUP($AF120,'251013'!$A$1:$M$200,4,FALSE)</f>
        <v>81056</v>
      </c>
      <c r="AH120" s="5">
        <f>VLOOKUP($AF120,'251013'!$A$1:$M$200,5,FALSE)</f>
        <v>0</v>
      </c>
      <c r="AI120" s="5">
        <f>VLOOKUP($AF120,'251014'!$A$1:$M$200,4,FALSE)</f>
        <v>199738</v>
      </c>
      <c r="AJ120" s="5">
        <f>VLOOKUP($AF120,'251014'!$A$1:$M$200,5,FALSE)</f>
        <v>216</v>
      </c>
      <c r="AK120" s="5">
        <f t="shared" si="106"/>
        <v>118682</v>
      </c>
      <c r="AL120" s="5">
        <f t="shared" si="107"/>
        <v>37626</v>
      </c>
      <c r="AM120" s="5">
        <f t="shared" si="108"/>
        <v>216</v>
      </c>
      <c r="AN120" s="5">
        <f>VLOOKUP($AF120,'251015'!$A$1:$M$200,4,FALSE)</f>
        <v>319260</v>
      </c>
      <c r="AO120" s="5">
        <f>VLOOKUP($AF120,'251015'!$A$1:$M$200,5,FALSE)</f>
        <v>216</v>
      </c>
      <c r="AP120" s="5">
        <f t="shared" si="109"/>
        <v>119522</v>
      </c>
      <c r="AQ120" s="5">
        <f t="shared" si="110"/>
        <v>840</v>
      </c>
      <c r="AR120" s="5">
        <f t="shared" si="111"/>
        <v>0</v>
      </c>
      <c r="AS120" s="5">
        <f>VLOOKUP($AF120,'251016'!$A$1:$M$200,4,FALSE)</f>
        <v>401619</v>
      </c>
      <c r="AT120" s="5">
        <f>VLOOKUP($AF120,'251016'!$A$1:$M$200,5,FALSE)</f>
        <v>216</v>
      </c>
      <c r="AU120" s="5">
        <f t="shared" si="112"/>
        <v>82359</v>
      </c>
      <c r="AV120" s="5">
        <f t="shared" si="113"/>
        <v>-37163</v>
      </c>
      <c r="AW120" s="5">
        <f t="shared" si="114"/>
        <v>0</v>
      </c>
      <c r="AX120" s="5">
        <f>VLOOKUP($AF120,'251017'!$A$1:$M$200,4,FALSE)</f>
        <v>533361</v>
      </c>
      <c r="AY120" s="5">
        <f>VLOOKUP($AF120,'251017'!$A$1:$M$200,5,FALSE)</f>
        <v>2466</v>
      </c>
      <c r="AZ120" s="5">
        <f t="shared" si="115"/>
        <v>131742</v>
      </c>
      <c r="BA120" s="5">
        <f t="shared" si="116"/>
        <v>49383</v>
      </c>
      <c r="BB120" s="5">
        <f t="shared" si="117"/>
        <v>2250</v>
      </c>
      <c r="BC120" s="5">
        <f>VLOOKUP($AF120,'251018'!$A$1:$M$200,4,FALSE)</f>
        <v>665225</v>
      </c>
      <c r="BD120" s="5">
        <f>VLOOKUP($AF120,'251018'!$A$1:$M$200,5,FALSE)</f>
        <v>9666</v>
      </c>
      <c r="BE120" s="5">
        <f t="shared" si="118"/>
        <v>131864</v>
      </c>
      <c r="BF120" s="5">
        <f t="shared" si="119"/>
        <v>122</v>
      </c>
      <c r="BG120" s="5">
        <f t="shared" si="120"/>
        <v>7200</v>
      </c>
      <c r="BH120" s="5">
        <f>VLOOKUP($AF120,'251018'!$A$1:$M$200,4,FALSE)</f>
        <v>665225</v>
      </c>
    </row>
    <row r="121" spans="1:60" x14ac:dyDescent="0.3">
      <c r="B121" s="5" t="s">
        <v>884</v>
      </c>
      <c r="C121" s="5">
        <f>VLOOKUP($B121,'251008_0시'!$A$1:$M$200,4,FALSE)</f>
        <v>215264</v>
      </c>
      <c r="D121" s="5">
        <f>VLOOKUP($B121,'251008_0시'!$A$1:$M$200,5,FALSE)</f>
        <v>14400</v>
      </c>
      <c r="E121" s="5">
        <f>VLOOKUP($B121,'251009_0시'!$A$1:$M$200,4,FALSE)</f>
        <v>283077</v>
      </c>
      <c r="F121" s="5">
        <f>VLOOKUP($B121,'251009_0시'!$A$1:$M$200,5,FALSE)</f>
        <v>14800</v>
      </c>
      <c r="G121" s="5">
        <f t="shared" si="91"/>
        <v>67813</v>
      </c>
      <c r="H121" s="5">
        <f t="shared" si="92"/>
        <v>-39819</v>
      </c>
      <c r="I121" s="5">
        <f t="shared" si="93"/>
        <v>400</v>
      </c>
      <c r="J121" s="5">
        <f>VLOOKUP($B121,'251010_0시'!$A$1:$M$200,4,FALSE)</f>
        <v>378069</v>
      </c>
      <c r="K121" s="5">
        <f>VLOOKUP($B121,'251010_0시'!$A$1:$M$200,5,FALSE)</f>
        <v>23102</v>
      </c>
      <c r="L121" s="5">
        <f t="shared" si="94"/>
        <v>94992</v>
      </c>
      <c r="M121" s="5">
        <f t="shared" si="95"/>
        <v>27179</v>
      </c>
      <c r="N121" s="5">
        <f t="shared" si="96"/>
        <v>8302</v>
      </c>
      <c r="O121" s="5">
        <f>VLOOKUP($B121,'251011_0시'!$A$1:$M$200,4,FALSE)</f>
        <v>439950</v>
      </c>
      <c r="P121" s="5">
        <f>VLOOKUP($B121,'251011_0시'!$A$1:$M$200,5,FALSE)</f>
        <v>24902</v>
      </c>
      <c r="Q121" s="5">
        <f t="shared" si="97"/>
        <v>61881</v>
      </c>
      <c r="R121" s="5">
        <f t="shared" si="98"/>
        <v>-33111</v>
      </c>
      <c r="S121" s="5">
        <f t="shared" si="99"/>
        <v>1800</v>
      </c>
      <c r="T121" s="5">
        <f>VLOOKUP($B121,'251012_0시'!$A$1:$M$200,4,FALSE)</f>
        <v>611681</v>
      </c>
      <c r="U121" s="5">
        <f>VLOOKUP($B121,'251012_0시'!$A$1:$M$200,5,FALSE)</f>
        <v>38402</v>
      </c>
      <c r="V121" s="5">
        <f t="shared" si="100"/>
        <v>171731</v>
      </c>
      <c r="W121" s="5">
        <f t="shared" si="101"/>
        <v>109850</v>
      </c>
      <c r="X121" s="5">
        <f t="shared" si="102"/>
        <v>13500</v>
      </c>
      <c r="Y121" s="5">
        <f>VLOOKUP($B121,'251013_0시'!$A$1:$M$200,4,FALSE)</f>
        <v>723757</v>
      </c>
      <c r="Z121" s="5">
        <f>VLOOKUP($B121,'251013_0시'!$A$1:$M$200,5,FALSE)</f>
        <v>38752</v>
      </c>
      <c r="AA121" s="5">
        <f t="shared" si="103"/>
        <v>112076</v>
      </c>
      <c r="AB121" s="5">
        <f t="shared" si="104"/>
        <v>-59655</v>
      </c>
      <c r="AC121" s="5">
        <f t="shared" si="105"/>
        <v>350</v>
      </c>
      <c r="AD121" s="5">
        <f>VLOOKUP($B121,'251013_0시'!$A$1:$M$200,4,FALSE)</f>
        <v>723757</v>
      </c>
      <c r="AF121" s="5" t="s">
        <v>841</v>
      </c>
      <c r="AG121" s="5">
        <f>VLOOKUP($AF121,'251013'!$A$1:$M$200,4,FALSE)</f>
        <v>83481</v>
      </c>
      <c r="AH121" s="5">
        <f>VLOOKUP($AF121,'251013'!$A$1:$M$200,5,FALSE)</f>
        <v>2700</v>
      </c>
      <c r="AI121" s="5">
        <f>VLOOKUP($AF121,'251014'!$A$1:$M$200,4,FALSE)</f>
        <v>183336</v>
      </c>
      <c r="AJ121" s="5">
        <f>VLOOKUP($AF121,'251014'!$A$1:$M$200,5,FALSE)</f>
        <v>9000</v>
      </c>
      <c r="AK121" s="5">
        <f t="shared" si="106"/>
        <v>99855</v>
      </c>
      <c r="AL121" s="5">
        <f t="shared" si="107"/>
        <v>16374</v>
      </c>
      <c r="AM121" s="5">
        <f t="shared" si="108"/>
        <v>6300</v>
      </c>
      <c r="AN121" s="5">
        <f>VLOOKUP($AF121,'251015'!$A$1:$M$200,4,FALSE)</f>
        <v>287018</v>
      </c>
      <c r="AO121" s="5">
        <f>VLOOKUP($AF121,'251015'!$A$1:$M$200,5,FALSE)</f>
        <v>13293</v>
      </c>
      <c r="AP121" s="5">
        <f t="shared" si="109"/>
        <v>103682</v>
      </c>
      <c r="AQ121" s="5">
        <f t="shared" si="110"/>
        <v>3827</v>
      </c>
      <c r="AR121" s="5">
        <f t="shared" si="111"/>
        <v>4293</v>
      </c>
      <c r="AS121" s="5">
        <f>VLOOKUP($AF121,'251016'!$A$1:$M$200,4,FALSE)</f>
        <v>420403</v>
      </c>
      <c r="AT121" s="5">
        <f>VLOOKUP($AF121,'251016'!$A$1:$M$200,5,FALSE)</f>
        <v>17793</v>
      </c>
      <c r="AU121" s="5">
        <f t="shared" si="112"/>
        <v>133385</v>
      </c>
      <c r="AV121" s="5">
        <f t="shared" si="113"/>
        <v>29703</v>
      </c>
      <c r="AW121" s="5">
        <f t="shared" si="114"/>
        <v>4500</v>
      </c>
      <c r="AX121" s="5">
        <f>VLOOKUP($AF121,'251017'!$A$1:$M$200,4,FALSE)</f>
        <v>524575</v>
      </c>
      <c r="AY121" s="5">
        <f>VLOOKUP($AF121,'251017'!$A$1:$M$200,5,FALSE)</f>
        <v>22293</v>
      </c>
      <c r="AZ121" s="5">
        <f t="shared" si="115"/>
        <v>104172</v>
      </c>
      <c r="BA121" s="5">
        <f t="shared" si="116"/>
        <v>-29213</v>
      </c>
      <c r="BB121" s="5">
        <f t="shared" si="117"/>
        <v>4500</v>
      </c>
      <c r="BC121" s="5">
        <f>VLOOKUP($AF121,'251018'!$A$1:$M$200,4,FALSE)</f>
        <v>663009</v>
      </c>
      <c r="BD121" s="5">
        <f>VLOOKUP($AF121,'251018'!$A$1:$M$200,5,FALSE)</f>
        <v>27693</v>
      </c>
      <c r="BE121" s="5">
        <f t="shared" si="118"/>
        <v>138434</v>
      </c>
      <c r="BF121" s="5">
        <f t="shared" si="119"/>
        <v>34262</v>
      </c>
      <c r="BG121" s="5">
        <f t="shared" si="120"/>
        <v>5400</v>
      </c>
      <c r="BH121" s="5">
        <f>VLOOKUP($AF121,'251018'!$A$1:$M$200,4,FALSE)</f>
        <v>663009</v>
      </c>
    </row>
    <row r="122" spans="1:60" x14ac:dyDescent="0.3">
      <c r="B122" s="5" t="s">
        <v>964</v>
      </c>
      <c r="C122" s="5">
        <f>VLOOKUP($B122,'251008_0시'!$A$1:$M$200,4,FALSE)</f>
        <v>187734</v>
      </c>
      <c r="D122" s="5">
        <f>VLOOKUP($B122,'251008_0시'!$A$1:$M$200,5,FALSE)</f>
        <v>1050</v>
      </c>
      <c r="E122" s="5">
        <f>VLOOKUP($B122,'251009_0시'!$A$1:$M$200,4,FALSE)</f>
        <v>293860</v>
      </c>
      <c r="F122" s="5">
        <f>VLOOKUP($B122,'251009_0시'!$A$1:$M$200,5,FALSE)</f>
        <v>1750</v>
      </c>
      <c r="G122" s="5">
        <f t="shared" si="91"/>
        <v>106126</v>
      </c>
      <c r="H122" s="5">
        <f t="shared" si="92"/>
        <v>12259</v>
      </c>
      <c r="I122" s="5">
        <f t="shared" si="93"/>
        <v>700</v>
      </c>
      <c r="J122" s="5">
        <f>VLOOKUP($B122,'251010_0시'!$A$1:$M$200,4,FALSE)</f>
        <v>400460</v>
      </c>
      <c r="K122" s="5">
        <f>VLOOKUP($B122,'251010_0시'!$A$1:$M$200,5,FALSE)</f>
        <v>2154</v>
      </c>
      <c r="L122" s="5">
        <f t="shared" si="94"/>
        <v>106600</v>
      </c>
      <c r="M122" s="5">
        <f t="shared" si="95"/>
        <v>474</v>
      </c>
      <c r="N122" s="5">
        <f t="shared" si="96"/>
        <v>404</v>
      </c>
      <c r="O122" s="5">
        <f>VLOOKUP($B122,'251011_0시'!$A$1:$M$200,4,FALSE)</f>
        <v>419008</v>
      </c>
      <c r="P122" s="5">
        <f>VLOOKUP($B122,'251011_0시'!$A$1:$M$200,5,FALSE)</f>
        <v>2154</v>
      </c>
      <c r="Q122" s="5">
        <f t="shared" si="97"/>
        <v>18548</v>
      </c>
      <c r="R122" s="5">
        <f t="shared" si="98"/>
        <v>-88052</v>
      </c>
      <c r="S122" s="5">
        <f t="shared" si="99"/>
        <v>0</v>
      </c>
      <c r="T122" s="5">
        <f>VLOOKUP($B122,'251012_0시'!$A$1:$M$200,4,FALSE)</f>
        <v>603981</v>
      </c>
      <c r="U122" s="5">
        <f>VLOOKUP($B122,'251012_0시'!$A$1:$M$200,5,FALSE)</f>
        <v>2204</v>
      </c>
      <c r="V122" s="5">
        <f t="shared" si="100"/>
        <v>184973</v>
      </c>
      <c r="W122" s="5">
        <f t="shared" si="101"/>
        <v>166425</v>
      </c>
      <c r="X122" s="5">
        <f t="shared" si="102"/>
        <v>50</v>
      </c>
      <c r="Y122" s="5">
        <f>VLOOKUP($B122,'251013_0시'!$A$1:$M$200,4,FALSE)</f>
        <v>723434</v>
      </c>
      <c r="Z122" s="5">
        <f>VLOOKUP($B122,'251013_0시'!$A$1:$M$200,5,FALSE)</f>
        <v>2254</v>
      </c>
      <c r="AA122" s="5">
        <f t="shared" si="103"/>
        <v>119453</v>
      </c>
      <c r="AB122" s="5">
        <f t="shared" si="104"/>
        <v>-65520</v>
      </c>
      <c r="AC122" s="5">
        <f t="shared" si="105"/>
        <v>50</v>
      </c>
      <c r="AD122" s="5">
        <f>VLOOKUP($B122,'251013_0시'!$A$1:$M$200,4,FALSE)</f>
        <v>723434</v>
      </c>
      <c r="AF122" s="5" t="s">
        <v>604</v>
      </c>
      <c r="AG122" s="5">
        <f>VLOOKUP($AF122,'251013'!$A$1:$M$200,4,FALSE)</f>
        <v>92050</v>
      </c>
      <c r="AH122" s="5">
        <f>VLOOKUP($AF122,'251013'!$A$1:$M$200,5,FALSE)</f>
        <v>0</v>
      </c>
      <c r="AI122" s="5">
        <f>VLOOKUP($AF122,'251014'!$A$1:$M$200,4,FALSE)</f>
        <v>182460</v>
      </c>
      <c r="AJ122" s="5">
        <f>VLOOKUP($AF122,'251014'!$A$1:$M$200,5,FALSE)</f>
        <v>101</v>
      </c>
      <c r="AK122" s="5">
        <f t="shared" si="106"/>
        <v>90410</v>
      </c>
      <c r="AL122" s="5">
        <f t="shared" si="107"/>
        <v>-1640</v>
      </c>
      <c r="AM122" s="5">
        <f t="shared" si="108"/>
        <v>101</v>
      </c>
      <c r="AN122" s="5">
        <f>VLOOKUP($AF122,'251015'!$A$1:$M$200,4,FALSE)</f>
        <v>312581</v>
      </c>
      <c r="AO122" s="5">
        <f>VLOOKUP($AF122,'251015'!$A$1:$M$200,5,FALSE)</f>
        <v>101</v>
      </c>
      <c r="AP122" s="5">
        <f t="shared" si="109"/>
        <v>130121</v>
      </c>
      <c r="AQ122" s="5">
        <f t="shared" si="110"/>
        <v>39711</v>
      </c>
      <c r="AR122" s="5">
        <f t="shared" si="111"/>
        <v>0</v>
      </c>
      <c r="AS122" s="5">
        <f>VLOOKUP($AF122,'251016'!$A$1:$M$200,4,FALSE)</f>
        <v>419188</v>
      </c>
      <c r="AT122" s="5">
        <f>VLOOKUP($AF122,'251016'!$A$1:$M$200,5,FALSE)</f>
        <v>101</v>
      </c>
      <c r="AU122" s="5">
        <f t="shared" si="112"/>
        <v>106607</v>
      </c>
      <c r="AV122" s="5">
        <f t="shared" si="113"/>
        <v>-23514</v>
      </c>
      <c r="AW122" s="5">
        <f t="shared" si="114"/>
        <v>0</v>
      </c>
      <c r="AX122" s="5">
        <f>VLOOKUP($AF122,'251017'!$A$1:$M$200,4,FALSE)</f>
        <v>553334</v>
      </c>
      <c r="AY122" s="5">
        <f>VLOOKUP($AF122,'251017'!$A$1:$M$200,5,FALSE)</f>
        <v>754</v>
      </c>
      <c r="AZ122" s="5">
        <f t="shared" si="115"/>
        <v>134146</v>
      </c>
      <c r="BA122" s="5">
        <f t="shared" si="116"/>
        <v>27539</v>
      </c>
      <c r="BB122" s="5">
        <f t="shared" si="117"/>
        <v>653</v>
      </c>
      <c r="BC122" s="5">
        <f>VLOOKUP($AF122,'251018'!$A$1:$M$200,4,FALSE)</f>
        <v>660707</v>
      </c>
      <c r="BD122" s="5">
        <f>VLOOKUP($AF122,'251018'!$A$1:$M$200,5,FALSE)</f>
        <v>754</v>
      </c>
      <c r="BE122" s="5">
        <f t="shared" si="118"/>
        <v>107373</v>
      </c>
      <c r="BF122" s="5">
        <f t="shared" si="119"/>
        <v>-26773</v>
      </c>
      <c r="BG122" s="5">
        <f t="shared" si="120"/>
        <v>0</v>
      </c>
      <c r="BH122" s="5">
        <f>VLOOKUP($AF122,'251018'!$A$1:$M$200,4,FALSE)</f>
        <v>660707</v>
      </c>
    </row>
    <row r="123" spans="1:60" x14ac:dyDescent="0.3">
      <c r="B123" s="5" t="s">
        <v>827</v>
      </c>
      <c r="C123" s="5">
        <f>VLOOKUP($B123,'251008_0시'!$A$1:$M$200,4,FALSE)</f>
        <v>228426</v>
      </c>
      <c r="D123" s="5">
        <f>VLOOKUP($B123,'251008_0시'!$A$1:$M$200,5,FALSE)</f>
        <v>0</v>
      </c>
      <c r="E123" s="5">
        <f>VLOOKUP($B123,'251009_0시'!$A$1:$M$200,4,FALSE)</f>
        <v>357058</v>
      </c>
      <c r="F123" s="5">
        <f>VLOOKUP($B123,'251009_0시'!$A$1:$M$200,5,FALSE)</f>
        <v>0</v>
      </c>
      <c r="G123" s="5">
        <f t="shared" si="91"/>
        <v>128632</v>
      </c>
      <c r="H123" s="5">
        <f t="shared" si="92"/>
        <v>14419</v>
      </c>
      <c r="I123" s="5">
        <f t="shared" si="93"/>
        <v>0</v>
      </c>
      <c r="J123" s="5">
        <f>VLOOKUP($B123,'251010_0시'!$A$1:$M$200,4,FALSE)</f>
        <v>462269</v>
      </c>
      <c r="K123" s="5">
        <f>VLOOKUP($B123,'251010_0시'!$A$1:$M$200,5,FALSE)</f>
        <v>87</v>
      </c>
      <c r="L123" s="5">
        <f t="shared" si="94"/>
        <v>105211</v>
      </c>
      <c r="M123" s="5">
        <f t="shared" si="95"/>
        <v>-23421</v>
      </c>
      <c r="N123" s="5">
        <f t="shared" si="96"/>
        <v>87</v>
      </c>
      <c r="O123" s="5">
        <f>VLOOKUP($B123,'251011_0시'!$A$1:$M$200,4,FALSE)</f>
        <v>544536</v>
      </c>
      <c r="P123" s="5">
        <f>VLOOKUP($B123,'251011_0시'!$A$1:$M$200,5,FALSE)</f>
        <v>87</v>
      </c>
      <c r="Q123" s="5">
        <f t="shared" si="97"/>
        <v>82267</v>
      </c>
      <c r="R123" s="5">
        <f t="shared" si="98"/>
        <v>-22944</v>
      </c>
      <c r="S123" s="5">
        <f t="shared" si="99"/>
        <v>0</v>
      </c>
      <c r="T123" s="5">
        <f>VLOOKUP($B123,'251012_0시'!$A$1:$M$200,4,FALSE)</f>
        <v>655871</v>
      </c>
      <c r="U123" s="5">
        <f>VLOOKUP($B123,'251012_0시'!$A$1:$M$200,5,FALSE)</f>
        <v>87</v>
      </c>
      <c r="V123" s="5">
        <f t="shared" si="100"/>
        <v>111335</v>
      </c>
      <c r="W123" s="5">
        <f t="shared" si="101"/>
        <v>29068</v>
      </c>
      <c r="X123" s="5">
        <f t="shared" si="102"/>
        <v>0</v>
      </c>
      <c r="Y123" s="5">
        <f>VLOOKUP($B123,'251013_0시'!$A$1:$M$200,4,FALSE)</f>
        <v>716240</v>
      </c>
      <c r="Z123" s="5">
        <f>VLOOKUP($B123,'251013_0시'!$A$1:$M$200,5,FALSE)</f>
        <v>87</v>
      </c>
      <c r="AA123" s="5">
        <f t="shared" si="103"/>
        <v>60369</v>
      </c>
      <c r="AB123" s="5">
        <f t="shared" si="104"/>
        <v>-50966</v>
      </c>
      <c r="AC123" s="5">
        <f t="shared" si="105"/>
        <v>0</v>
      </c>
      <c r="AD123" s="5">
        <f>VLOOKUP($B123,'251013_0시'!$A$1:$M$200,4,FALSE)</f>
        <v>716240</v>
      </c>
      <c r="AF123" s="5" t="s">
        <v>965</v>
      </c>
      <c r="AG123" s="5">
        <f>VLOOKUP($AF123,'251013'!$A$1:$M$200,4,FALSE)</f>
        <v>67500</v>
      </c>
      <c r="AH123" s="5">
        <f>VLOOKUP($AF123,'251013'!$A$1:$M$200,5,FALSE)</f>
        <v>1800</v>
      </c>
      <c r="AI123" s="5">
        <f>VLOOKUP($AF123,'251014'!$A$1:$M$200,4,FALSE)</f>
        <v>247666</v>
      </c>
      <c r="AJ123" s="5">
        <f>VLOOKUP($AF123,'251014'!$A$1:$M$200,5,FALSE)</f>
        <v>7000</v>
      </c>
      <c r="AK123" s="5">
        <f t="shared" si="106"/>
        <v>180166</v>
      </c>
      <c r="AL123" s="5">
        <f t="shared" si="107"/>
        <v>112666</v>
      </c>
      <c r="AM123" s="5">
        <f t="shared" si="108"/>
        <v>5200</v>
      </c>
      <c r="AN123" s="5">
        <f>VLOOKUP($AF123,'251015'!$A$1:$M$200,4,FALSE)</f>
        <v>351468</v>
      </c>
      <c r="AO123" s="5">
        <f>VLOOKUP($AF123,'251015'!$A$1:$M$200,5,FALSE)</f>
        <v>11500</v>
      </c>
      <c r="AP123" s="5">
        <f t="shared" si="109"/>
        <v>103802</v>
      </c>
      <c r="AQ123" s="5">
        <f t="shared" si="110"/>
        <v>-76364</v>
      </c>
      <c r="AR123" s="5">
        <f t="shared" si="111"/>
        <v>4500</v>
      </c>
      <c r="AS123" s="5">
        <f>VLOOKUP($AF123,'251016'!$A$1:$M$200,4,FALSE)</f>
        <v>403400</v>
      </c>
      <c r="AT123" s="5">
        <f>VLOOKUP($AF123,'251016'!$A$1:$M$200,5,FALSE)</f>
        <v>14200</v>
      </c>
      <c r="AU123" s="5">
        <f t="shared" si="112"/>
        <v>51932</v>
      </c>
      <c r="AV123" s="5">
        <f t="shared" si="113"/>
        <v>-51870</v>
      </c>
      <c r="AW123" s="5">
        <f t="shared" si="114"/>
        <v>2700</v>
      </c>
      <c r="AX123" s="5">
        <f>VLOOKUP($AF123,'251017'!$A$1:$M$200,4,FALSE)</f>
        <v>550260</v>
      </c>
      <c r="AY123" s="5">
        <f>VLOOKUP($AF123,'251017'!$A$1:$M$200,5,FALSE)</f>
        <v>15100</v>
      </c>
      <c r="AZ123" s="5">
        <f t="shared" si="115"/>
        <v>146860</v>
      </c>
      <c r="BA123" s="5">
        <f t="shared" si="116"/>
        <v>94928</v>
      </c>
      <c r="BB123" s="5">
        <f t="shared" si="117"/>
        <v>900</v>
      </c>
      <c r="BC123" s="5">
        <f>VLOOKUP($AF123,'251018'!$A$1:$M$200,4,FALSE)</f>
        <v>659420</v>
      </c>
      <c r="BD123" s="5">
        <f>VLOOKUP($AF123,'251018'!$A$1:$M$200,5,FALSE)</f>
        <v>19150</v>
      </c>
      <c r="BE123" s="5">
        <f t="shared" si="118"/>
        <v>109160</v>
      </c>
      <c r="BF123" s="5">
        <f t="shared" si="119"/>
        <v>-37700</v>
      </c>
      <c r="BG123" s="5">
        <f t="shared" si="120"/>
        <v>4050</v>
      </c>
      <c r="BH123" s="5">
        <f>VLOOKUP($AF123,'251018'!$A$1:$M$200,4,FALSE)</f>
        <v>659420</v>
      </c>
    </row>
    <row r="124" spans="1:60" x14ac:dyDescent="0.3">
      <c r="B124" s="5" t="s">
        <v>857</v>
      </c>
      <c r="C124" s="5">
        <f>VLOOKUP($B124,'251008_0시'!$A$1:$M$200,4,FALSE)</f>
        <v>192378</v>
      </c>
      <c r="D124" s="5">
        <f>VLOOKUP($B124,'251008_0시'!$A$1:$M$200,5,FALSE)</f>
        <v>0</v>
      </c>
      <c r="E124" s="5">
        <f>VLOOKUP($B124,'251009_0시'!$A$1:$M$200,4,FALSE)</f>
        <v>272847</v>
      </c>
      <c r="F124" s="5">
        <f>VLOOKUP($B124,'251009_0시'!$A$1:$M$200,5,FALSE)</f>
        <v>96</v>
      </c>
      <c r="G124" s="5">
        <f t="shared" si="91"/>
        <v>80469</v>
      </c>
      <c r="H124" s="5">
        <f t="shared" si="92"/>
        <v>-15720</v>
      </c>
      <c r="I124" s="5">
        <f t="shared" si="93"/>
        <v>96</v>
      </c>
      <c r="J124" s="5">
        <f>VLOOKUP($B124,'251010_0시'!$A$1:$M$200,4,FALSE)</f>
        <v>400191</v>
      </c>
      <c r="K124" s="5">
        <f>VLOOKUP($B124,'251010_0시'!$A$1:$M$200,5,FALSE)</f>
        <v>293</v>
      </c>
      <c r="L124" s="5">
        <f t="shared" si="94"/>
        <v>127344</v>
      </c>
      <c r="M124" s="5">
        <f t="shared" si="95"/>
        <v>46875</v>
      </c>
      <c r="N124" s="5">
        <f t="shared" si="96"/>
        <v>197</v>
      </c>
      <c r="O124" s="5">
        <f>VLOOKUP($B124,'251011_0시'!$A$1:$M$200,4,FALSE)</f>
        <v>470333</v>
      </c>
      <c r="P124" s="5">
        <f>VLOOKUP($B124,'251011_0시'!$A$1:$M$200,5,FALSE)</f>
        <v>293</v>
      </c>
      <c r="Q124" s="5">
        <f t="shared" si="97"/>
        <v>70142</v>
      </c>
      <c r="R124" s="5">
        <f t="shared" si="98"/>
        <v>-57202</v>
      </c>
      <c r="S124" s="5">
        <f t="shared" si="99"/>
        <v>0</v>
      </c>
      <c r="T124" s="5">
        <f>VLOOKUP($B124,'251012_0시'!$A$1:$M$200,4,FALSE)</f>
        <v>579935</v>
      </c>
      <c r="U124" s="5">
        <f>VLOOKUP($B124,'251012_0시'!$A$1:$M$200,5,FALSE)</f>
        <v>293</v>
      </c>
      <c r="V124" s="5">
        <f t="shared" si="100"/>
        <v>109602</v>
      </c>
      <c r="W124" s="5">
        <f t="shared" si="101"/>
        <v>39460</v>
      </c>
      <c r="X124" s="5">
        <f t="shared" si="102"/>
        <v>0</v>
      </c>
      <c r="Y124" s="5">
        <f>VLOOKUP($B124,'251013_0시'!$A$1:$M$200,4,FALSE)</f>
        <v>706129</v>
      </c>
      <c r="Z124" s="5">
        <f>VLOOKUP($B124,'251013_0시'!$A$1:$M$200,5,FALSE)</f>
        <v>643</v>
      </c>
      <c r="AA124" s="5">
        <f t="shared" si="103"/>
        <v>126194</v>
      </c>
      <c r="AB124" s="5">
        <f t="shared" si="104"/>
        <v>16592</v>
      </c>
      <c r="AC124" s="5">
        <f t="shared" si="105"/>
        <v>350</v>
      </c>
      <c r="AD124" s="5">
        <f>VLOOKUP($B124,'251013_0시'!$A$1:$M$200,4,FALSE)</f>
        <v>706129</v>
      </c>
      <c r="AF124" s="5" t="s">
        <v>840</v>
      </c>
      <c r="AG124" s="5">
        <f>VLOOKUP($AF124,'251013'!$A$1:$M$200,4,FALSE)</f>
        <v>86682</v>
      </c>
      <c r="AH124" s="5">
        <f>VLOOKUP($AF124,'251013'!$A$1:$M$200,5,FALSE)</f>
        <v>0</v>
      </c>
      <c r="AI124" s="5">
        <f>VLOOKUP($AF124,'251014'!$A$1:$M$200,4,FALSE)</f>
        <v>208362</v>
      </c>
      <c r="AJ124" s="5">
        <f>VLOOKUP($AF124,'251014'!$A$1:$M$200,5,FALSE)</f>
        <v>0</v>
      </c>
      <c r="AK124" s="5">
        <f t="shared" si="106"/>
        <v>121680</v>
      </c>
      <c r="AL124" s="5">
        <f t="shared" si="107"/>
        <v>34998</v>
      </c>
      <c r="AM124" s="5">
        <f t="shared" si="108"/>
        <v>0</v>
      </c>
      <c r="AN124" s="5">
        <f>VLOOKUP($AF124,'251015'!$A$1:$M$200,4,FALSE)</f>
        <v>308397</v>
      </c>
      <c r="AO124" s="5">
        <f>VLOOKUP($AF124,'251015'!$A$1:$M$200,5,FALSE)</f>
        <v>0</v>
      </c>
      <c r="AP124" s="5">
        <f t="shared" si="109"/>
        <v>100035</v>
      </c>
      <c r="AQ124" s="5">
        <f t="shared" si="110"/>
        <v>-21645</v>
      </c>
      <c r="AR124" s="5">
        <f t="shared" si="111"/>
        <v>0</v>
      </c>
      <c r="AS124" s="5">
        <f>VLOOKUP($AF124,'251016'!$A$1:$M$200,4,FALSE)</f>
        <v>415018</v>
      </c>
      <c r="AT124" s="5">
        <f>VLOOKUP($AF124,'251016'!$A$1:$M$200,5,FALSE)</f>
        <v>0</v>
      </c>
      <c r="AU124" s="5">
        <f t="shared" si="112"/>
        <v>106621</v>
      </c>
      <c r="AV124" s="5">
        <f t="shared" si="113"/>
        <v>6586</v>
      </c>
      <c r="AW124" s="5">
        <f t="shared" si="114"/>
        <v>0</v>
      </c>
      <c r="AX124" s="5">
        <f>VLOOKUP($AF124,'251017'!$A$1:$M$200,4,FALSE)</f>
        <v>537134</v>
      </c>
      <c r="AY124" s="5">
        <f>VLOOKUP($AF124,'251017'!$A$1:$M$200,5,FALSE)</f>
        <v>0</v>
      </c>
      <c r="AZ124" s="5">
        <f t="shared" si="115"/>
        <v>122116</v>
      </c>
      <c r="BA124" s="5">
        <f t="shared" si="116"/>
        <v>15495</v>
      </c>
      <c r="BB124" s="5">
        <f t="shared" si="117"/>
        <v>0</v>
      </c>
      <c r="BC124" s="5">
        <f>VLOOKUP($AF124,'251018'!$A$1:$M$200,4,FALSE)</f>
        <v>653628</v>
      </c>
      <c r="BD124" s="5">
        <f>VLOOKUP($AF124,'251018'!$A$1:$M$200,5,FALSE)</f>
        <v>0</v>
      </c>
      <c r="BE124" s="5">
        <f t="shared" si="118"/>
        <v>116494</v>
      </c>
      <c r="BF124" s="5">
        <f t="shared" si="119"/>
        <v>-5622</v>
      </c>
      <c r="BG124" s="5">
        <f t="shared" si="120"/>
        <v>0</v>
      </c>
      <c r="BH124" s="5">
        <f>VLOOKUP($AF124,'251018'!$A$1:$M$200,4,FALSE)</f>
        <v>653628</v>
      </c>
    </row>
    <row r="125" spans="1:60" x14ac:dyDescent="0.3">
      <c r="B125" s="5" t="s">
        <v>788</v>
      </c>
      <c r="C125" s="5">
        <f>VLOOKUP($B125,'251008_0시'!$A$1:$M$200,4,FALSE)</f>
        <v>35630</v>
      </c>
      <c r="D125" s="5">
        <f>VLOOKUP($B125,'251008_0시'!$A$1:$M$200,5,FALSE)</f>
        <v>0</v>
      </c>
      <c r="E125" s="5">
        <f>VLOOKUP($B125,'251009_0시'!$A$1:$M$200,4,FALSE)</f>
        <v>124880</v>
      </c>
      <c r="F125" s="5">
        <f>VLOOKUP($B125,'251009_0시'!$A$1:$M$200,5,FALSE)</f>
        <v>350</v>
      </c>
      <c r="G125" s="5">
        <f t="shared" si="91"/>
        <v>89250</v>
      </c>
      <c r="H125" s="5">
        <f t="shared" si="92"/>
        <v>71435</v>
      </c>
      <c r="I125" s="5">
        <f t="shared" si="93"/>
        <v>350</v>
      </c>
      <c r="J125" s="5">
        <f>VLOOKUP($B125,'251010_0시'!$A$1:$M$200,4,FALSE)</f>
        <v>226374</v>
      </c>
      <c r="K125" s="5">
        <f>VLOOKUP($B125,'251010_0시'!$A$1:$M$200,5,FALSE)</f>
        <v>350</v>
      </c>
      <c r="L125" s="5">
        <f t="shared" si="94"/>
        <v>101494</v>
      </c>
      <c r="M125" s="5">
        <f t="shared" si="95"/>
        <v>12244</v>
      </c>
      <c r="N125" s="5">
        <f t="shared" si="96"/>
        <v>0</v>
      </c>
      <c r="O125" s="5">
        <f>VLOOKUP($B125,'251011_0시'!$A$1:$M$200,4,FALSE)</f>
        <v>399909</v>
      </c>
      <c r="P125" s="5">
        <f>VLOOKUP($B125,'251011_0시'!$A$1:$M$200,5,FALSE)</f>
        <v>800</v>
      </c>
      <c r="Q125" s="5">
        <f t="shared" si="97"/>
        <v>173535</v>
      </c>
      <c r="R125" s="5">
        <f t="shared" si="98"/>
        <v>72041</v>
      </c>
      <c r="S125" s="5">
        <f t="shared" si="99"/>
        <v>450</v>
      </c>
      <c r="T125" s="5">
        <f>VLOOKUP($B125,'251012_0시'!$A$1:$M$200,4,FALSE)</f>
        <v>545610</v>
      </c>
      <c r="U125" s="5">
        <f>VLOOKUP($B125,'251012_0시'!$A$1:$M$200,5,FALSE)</f>
        <v>1073</v>
      </c>
      <c r="V125" s="5">
        <f t="shared" si="100"/>
        <v>145701</v>
      </c>
      <c r="W125" s="5">
        <f t="shared" si="101"/>
        <v>-27834</v>
      </c>
      <c r="X125" s="5">
        <f t="shared" si="102"/>
        <v>273</v>
      </c>
      <c r="Y125" s="5">
        <f>VLOOKUP($B125,'251013_0시'!$A$1:$M$200,4,FALSE)</f>
        <v>699390</v>
      </c>
      <c r="Z125" s="5">
        <f>VLOOKUP($B125,'251013_0시'!$A$1:$M$200,5,FALSE)</f>
        <v>1073</v>
      </c>
      <c r="AA125" s="5">
        <f t="shared" si="103"/>
        <v>153780</v>
      </c>
      <c r="AB125" s="5">
        <f t="shared" si="104"/>
        <v>8079</v>
      </c>
      <c r="AC125" s="5">
        <f t="shared" si="105"/>
        <v>0</v>
      </c>
      <c r="AD125" s="5">
        <f>VLOOKUP($B125,'251013_0시'!$A$1:$M$200,4,FALSE)</f>
        <v>699390</v>
      </c>
      <c r="AF125" s="5" t="s">
        <v>859</v>
      </c>
      <c r="AG125" s="5">
        <f>VLOOKUP($AF125,'251013'!$A$1:$M$200,4,FALSE)</f>
        <v>98940</v>
      </c>
      <c r="AH125" s="5">
        <f>VLOOKUP($AF125,'251013'!$A$1:$M$200,5,FALSE)</f>
        <v>8362</v>
      </c>
      <c r="AI125" s="5">
        <f>VLOOKUP($AF125,'251014'!$A$1:$M$200,4,FALSE)</f>
        <v>205577</v>
      </c>
      <c r="AJ125" s="5">
        <f>VLOOKUP($AF125,'251014'!$A$1:$M$200,5,FALSE)</f>
        <v>17500</v>
      </c>
      <c r="AK125" s="5">
        <f t="shared" si="106"/>
        <v>106637</v>
      </c>
      <c r="AL125" s="5">
        <f t="shared" si="107"/>
        <v>7697</v>
      </c>
      <c r="AM125" s="5">
        <f t="shared" si="108"/>
        <v>9138</v>
      </c>
      <c r="AN125" s="5">
        <f>VLOOKUP($AF125,'251015'!$A$1:$M$200,4,FALSE)</f>
        <v>335770</v>
      </c>
      <c r="AO125" s="5">
        <f>VLOOKUP($AF125,'251015'!$A$1:$M$200,5,FALSE)</f>
        <v>17695</v>
      </c>
      <c r="AP125" s="5">
        <f t="shared" si="109"/>
        <v>130193</v>
      </c>
      <c r="AQ125" s="5">
        <f t="shared" si="110"/>
        <v>23556</v>
      </c>
      <c r="AR125" s="5">
        <f t="shared" si="111"/>
        <v>195</v>
      </c>
      <c r="AS125" s="5">
        <f>VLOOKUP($AF125,'251016'!$A$1:$M$200,4,FALSE)</f>
        <v>420374</v>
      </c>
      <c r="AT125" s="5">
        <f>VLOOKUP($AF125,'251016'!$A$1:$M$200,5,FALSE)</f>
        <v>17695</v>
      </c>
      <c r="AU125" s="5">
        <f t="shared" si="112"/>
        <v>84604</v>
      </c>
      <c r="AV125" s="5">
        <f t="shared" si="113"/>
        <v>-45589</v>
      </c>
      <c r="AW125" s="5">
        <f t="shared" si="114"/>
        <v>0</v>
      </c>
      <c r="AX125" s="5">
        <f>VLOOKUP($AF125,'251017'!$A$1:$M$200,4,FALSE)</f>
        <v>535062</v>
      </c>
      <c r="AY125" s="5">
        <f>VLOOKUP($AF125,'251017'!$A$1:$M$200,5,FALSE)</f>
        <v>18065</v>
      </c>
      <c r="AZ125" s="5">
        <f t="shared" si="115"/>
        <v>114688</v>
      </c>
      <c r="BA125" s="5">
        <f t="shared" si="116"/>
        <v>30084</v>
      </c>
      <c r="BB125" s="5">
        <f t="shared" si="117"/>
        <v>370</v>
      </c>
      <c r="BC125" s="5">
        <f>VLOOKUP($AF125,'251018'!$A$1:$M$200,4,FALSE)</f>
        <v>652210</v>
      </c>
      <c r="BD125" s="5">
        <f>VLOOKUP($AF125,'251018'!$A$1:$M$200,5,FALSE)</f>
        <v>18065</v>
      </c>
      <c r="BE125" s="5">
        <f t="shared" si="118"/>
        <v>117148</v>
      </c>
      <c r="BF125" s="5">
        <f t="shared" si="119"/>
        <v>2460</v>
      </c>
      <c r="BG125" s="5">
        <f t="shared" si="120"/>
        <v>0</v>
      </c>
      <c r="BH125" s="5">
        <f>VLOOKUP($AF125,'251018'!$A$1:$M$200,4,FALSE)</f>
        <v>652210</v>
      </c>
    </row>
    <row r="126" spans="1:60" x14ac:dyDescent="0.3">
      <c r="B126" s="5" t="s">
        <v>838</v>
      </c>
      <c r="C126" s="5">
        <f>VLOOKUP($B126,'251008_0시'!$A$1:$M$200,4,FALSE)</f>
        <v>184221</v>
      </c>
      <c r="D126" s="5">
        <f>VLOOKUP($B126,'251008_0시'!$A$1:$M$200,5,FALSE)</f>
        <v>0</v>
      </c>
      <c r="E126" s="5">
        <f>VLOOKUP($B126,'251009_0시'!$A$1:$M$200,4,FALSE)</f>
        <v>288419</v>
      </c>
      <c r="F126" s="5">
        <f>VLOOKUP($B126,'251009_0시'!$A$1:$M$200,5,FALSE)</f>
        <v>340</v>
      </c>
      <c r="G126" s="5">
        <f t="shared" si="91"/>
        <v>104198</v>
      </c>
      <c r="H126" s="5">
        <f t="shared" si="92"/>
        <v>12087.5</v>
      </c>
      <c r="I126" s="5">
        <f t="shared" si="93"/>
        <v>340</v>
      </c>
      <c r="J126" s="5">
        <f>VLOOKUP($B126,'251010_0시'!$A$1:$M$200,4,FALSE)</f>
        <v>392768</v>
      </c>
      <c r="K126" s="5">
        <f>VLOOKUP($B126,'251010_0시'!$A$1:$M$200,5,FALSE)</f>
        <v>740</v>
      </c>
      <c r="L126" s="5">
        <f t="shared" si="94"/>
        <v>104349</v>
      </c>
      <c r="M126" s="5">
        <f t="shared" si="95"/>
        <v>151</v>
      </c>
      <c r="N126" s="5">
        <f t="shared" si="96"/>
        <v>400</v>
      </c>
      <c r="O126" s="5">
        <f>VLOOKUP($B126,'251011_0시'!$A$1:$M$200,4,FALSE)</f>
        <v>484497</v>
      </c>
      <c r="P126" s="5">
        <f>VLOOKUP($B126,'251011_0시'!$A$1:$M$200,5,FALSE)</f>
        <v>740</v>
      </c>
      <c r="Q126" s="5">
        <f t="shared" si="97"/>
        <v>91729</v>
      </c>
      <c r="R126" s="5">
        <f t="shared" si="98"/>
        <v>-12620</v>
      </c>
      <c r="S126" s="5">
        <f t="shared" si="99"/>
        <v>0</v>
      </c>
      <c r="T126" s="5">
        <f>VLOOKUP($B126,'251012_0시'!$A$1:$M$200,4,FALSE)</f>
        <v>593160</v>
      </c>
      <c r="U126" s="5">
        <f>VLOOKUP($B126,'251012_0시'!$A$1:$M$200,5,FALSE)</f>
        <v>740</v>
      </c>
      <c r="V126" s="5">
        <f t="shared" si="100"/>
        <v>108663</v>
      </c>
      <c r="W126" s="5">
        <f t="shared" si="101"/>
        <v>16934</v>
      </c>
      <c r="X126" s="5">
        <f t="shared" si="102"/>
        <v>0</v>
      </c>
      <c r="Y126" s="5">
        <f>VLOOKUP($B126,'251013_0시'!$A$1:$M$200,4,FALSE)</f>
        <v>696824</v>
      </c>
      <c r="Z126" s="5">
        <f>VLOOKUP($B126,'251013_0시'!$A$1:$M$200,5,FALSE)</f>
        <v>740</v>
      </c>
      <c r="AA126" s="5">
        <f t="shared" si="103"/>
        <v>103664</v>
      </c>
      <c r="AB126" s="5">
        <f t="shared" si="104"/>
        <v>-4999</v>
      </c>
      <c r="AC126" s="5">
        <f t="shared" si="105"/>
        <v>0</v>
      </c>
      <c r="AD126" s="5">
        <f>VLOOKUP($B126,'251013_0시'!$A$1:$M$200,4,FALSE)</f>
        <v>696824</v>
      </c>
      <c r="AF126" s="5" t="s">
        <v>864</v>
      </c>
      <c r="AG126" s="5">
        <f>VLOOKUP($AF126,'251013'!$A$1:$M$200,4,FALSE)</f>
        <v>151546</v>
      </c>
      <c r="AH126" s="5">
        <f>VLOOKUP($AF126,'251013'!$A$1:$M$200,5,FALSE)</f>
        <v>0</v>
      </c>
      <c r="AI126" s="5">
        <f>VLOOKUP($AF126,'251014'!$A$1:$M$200,4,FALSE)</f>
        <v>325984</v>
      </c>
      <c r="AJ126" s="5">
        <f>VLOOKUP($AF126,'251014'!$A$1:$M$200,5,FALSE)</f>
        <v>0</v>
      </c>
      <c r="AK126" s="5">
        <f t="shared" si="106"/>
        <v>174438</v>
      </c>
      <c r="AL126" s="5">
        <f t="shared" si="107"/>
        <v>22892</v>
      </c>
      <c r="AM126" s="5">
        <f t="shared" si="108"/>
        <v>0</v>
      </c>
      <c r="AN126" s="5">
        <f>VLOOKUP($AF126,'251015'!$A$1:$M$200,4,FALSE)</f>
        <v>487891</v>
      </c>
      <c r="AO126" s="5">
        <f>VLOOKUP($AF126,'251015'!$A$1:$M$200,5,FALSE)</f>
        <v>0</v>
      </c>
      <c r="AP126" s="5">
        <f t="shared" si="109"/>
        <v>161907</v>
      </c>
      <c r="AQ126" s="5">
        <f t="shared" si="110"/>
        <v>-12531</v>
      </c>
      <c r="AR126" s="5">
        <f t="shared" si="111"/>
        <v>0</v>
      </c>
      <c r="AS126" s="5">
        <f>VLOOKUP($AF126,'251016'!$A$1:$M$200,4,FALSE)</f>
        <v>548810</v>
      </c>
      <c r="AT126" s="5">
        <f>VLOOKUP($AF126,'251016'!$A$1:$M$200,5,FALSE)</f>
        <v>0</v>
      </c>
      <c r="AU126" s="5">
        <f t="shared" si="112"/>
        <v>60919</v>
      </c>
      <c r="AV126" s="5">
        <f t="shared" si="113"/>
        <v>-100988</v>
      </c>
      <c r="AW126" s="5">
        <f t="shared" si="114"/>
        <v>0</v>
      </c>
      <c r="AX126" s="5">
        <f>VLOOKUP($AF126,'251017'!$A$1:$M$200,4,FALSE)</f>
        <v>571022</v>
      </c>
      <c r="AY126" s="5">
        <f>VLOOKUP($AF126,'251017'!$A$1:$M$200,5,FALSE)</f>
        <v>0</v>
      </c>
      <c r="AZ126" s="5">
        <f t="shared" si="115"/>
        <v>22212</v>
      </c>
      <c r="BA126" s="5">
        <f t="shared" si="116"/>
        <v>-38707</v>
      </c>
      <c r="BB126" s="5">
        <f t="shared" si="117"/>
        <v>0</v>
      </c>
      <c r="BC126" s="5">
        <f>VLOOKUP($AF126,'251018'!$A$1:$M$200,4,FALSE)</f>
        <v>645315</v>
      </c>
      <c r="BD126" s="5">
        <f>VLOOKUP($AF126,'251018'!$A$1:$M$200,5,FALSE)</f>
        <v>150</v>
      </c>
      <c r="BE126" s="5">
        <f t="shared" si="118"/>
        <v>74293</v>
      </c>
      <c r="BF126" s="5">
        <f t="shared" si="119"/>
        <v>52081</v>
      </c>
      <c r="BG126" s="5">
        <f t="shared" si="120"/>
        <v>150</v>
      </c>
      <c r="BH126" s="5">
        <f>VLOOKUP($AF126,'251018'!$A$1:$M$200,4,FALSE)</f>
        <v>645315</v>
      </c>
    </row>
    <row r="127" spans="1:60" x14ac:dyDescent="0.3">
      <c r="B127" s="5" t="s">
        <v>855</v>
      </c>
      <c r="C127" s="5">
        <f>VLOOKUP($B127,'251008_0시'!$A$1:$M$200,4,FALSE)</f>
        <v>211917</v>
      </c>
      <c r="D127" s="5">
        <f>VLOOKUP($B127,'251008_0시'!$A$1:$M$200,5,FALSE)</f>
        <v>350</v>
      </c>
      <c r="E127" s="5">
        <f>VLOOKUP($B127,'251009_0시'!$A$1:$M$200,4,FALSE)</f>
        <v>302799</v>
      </c>
      <c r="F127" s="5">
        <f>VLOOKUP($B127,'251009_0시'!$A$1:$M$200,5,FALSE)</f>
        <v>350</v>
      </c>
      <c r="G127" s="5">
        <f t="shared" si="91"/>
        <v>90882</v>
      </c>
      <c r="H127" s="5">
        <f t="shared" si="92"/>
        <v>-15076.5</v>
      </c>
      <c r="I127" s="5">
        <f t="shared" si="93"/>
        <v>0</v>
      </c>
      <c r="J127" s="5">
        <f>VLOOKUP($B127,'251010_0시'!$A$1:$M$200,4,FALSE)</f>
        <v>388673</v>
      </c>
      <c r="K127" s="5">
        <f>VLOOKUP($B127,'251010_0시'!$A$1:$M$200,5,FALSE)</f>
        <v>754</v>
      </c>
      <c r="L127" s="5">
        <f t="shared" si="94"/>
        <v>85874</v>
      </c>
      <c r="M127" s="5">
        <f t="shared" si="95"/>
        <v>-5008</v>
      </c>
      <c r="N127" s="5">
        <f t="shared" si="96"/>
        <v>404</v>
      </c>
      <c r="O127" s="5">
        <f>VLOOKUP($B127,'251011_0시'!$A$1:$M$200,4,FALSE)</f>
        <v>468254</v>
      </c>
      <c r="P127" s="5">
        <f>VLOOKUP($B127,'251011_0시'!$A$1:$M$200,5,FALSE)</f>
        <v>754</v>
      </c>
      <c r="Q127" s="5">
        <f t="shared" si="97"/>
        <v>79581</v>
      </c>
      <c r="R127" s="5">
        <f t="shared" si="98"/>
        <v>-6293</v>
      </c>
      <c r="S127" s="5">
        <f t="shared" si="99"/>
        <v>0</v>
      </c>
      <c r="T127" s="5">
        <f>VLOOKUP($B127,'251012_0시'!$A$1:$M$200,4,FALSE)</f>
        <v>597616</v>
      </c>
      <c r="U127" s="5">
        <f>VLOOKUP($B127,'251012_0시'!$A$1:$M$200,5,FALSE)</f>
        <v>754</v>
      </c>
      <c r="V127" s="5">
        <f t="shared" si="100"/>
        <v>129362</v>
      </c>
      <c r="W127" s="5">
        <f t="shared" si="101"/>
        <v>49781</v>
      </c>
      <c r="X127" s="5">
        <f t="shared" si="102"/>
        <v>0</v>
      </c>
      <c r="Y127" s="5">
        <f>VLOOKUP($B127,'251013_0시'!$A$1:$M$200,4,FALSE)</f>
        <v>687443</v>
      </c>
      <c r="Z127" s="5">
        <f>VLOOKUP($B127,'251013_0시'!$A$1:$M$200,5,FALSE)</f>
        <v>754</v>
      </c>
      <c r="AA127" s="5">
        <f t="shared" si="103"/>
        <v>89827</v>
      </c>
      <c r="AB127" s="5">
        <f t="shared" si="104"/>
        <v>-39535</v>
      </c>
      <c r="AC127" s="5">
        <f t="shared" si="105"/>
        <v>0</v>
      </c>
      <c r="AD127" s="5">
        <f>VLOOKUP($B127,'251013_0시'!$A$1:$M$200,4,FALSE)</f>
        <v>687443</v>
      </c>
      <c r="AF127" s="5" t="s">
        <v>849</v>
      </c>
      <c r="AG127" s="5">
        <f>VLOOKUP($AF127,'251013'!$A$1:$M$200,4,FALSE)</f>
        <v>87457</v>
      </c>
      <c r="AH127" s="5">
        <f>VLOOKUP($AF127,'251013'!$A$1:$M$200,5,FALSE)</f>
        <v>0</v>
      </c>
      <c r="AI127" s="5">
        <f>VLOOKUP($AF127,'251014'!$A$1:$M$200,4,FALSE)</f>
        <v>199134</v>
      </c>
      <c r="AJ127" s="5">
        <f>VLOOKUP($AF127,'251014'!$A$1:$M$200,5,FALSE)</f>
        <v>0</v>
      </c>
      <c r="AK127" s="5">
        <f t="shared" si="106"/>
        <v>111677</v>
      </c>
      <c r="AL127" s="5">
        <f t="shared" si="107"/>
        <v>24220</v>
      </c>
      <c r="AM127" s="5">
        <f t="shared" si="108"/>
        <v>0</v>
      </c>
      <c r="AN127" s="5">
        <f>VLOOKUP($AF127,'251015'!$A$1:$M$200,4,FALSE)</f>
        <v>318502</v>
      </c>
      <c r="AO127" s="5">
        <f>VLOOKUP($AF127,'251015'!$A$1:$M$200,5,FALSE)</f>
        <v>0</v>
      </c>
      <c r="AP127" s="5">
        <f t="shared" si="109"/>
        <v>119368</v>
      </c>
      <c r="AQ127" s="5">
        <f t="shared" si="110"/>
        <v>7691</v>
      </c>
      <c r="AR127" s="5">
        <f t="shared" si="111"/>
        <v>0</v>
      </c>
      <c r="AS127" s="5">
        <f>VLOOKUP($AF127,'251016'!$A$1:$M$200,4,FALSE)</f>
        <v>411465</v>
      </c>
      <c r="AT127" s="5">
        <f>VLOOKUP($AF127,'251016'!$A$1:$M$200,5,FALSE)</f>
        <v>0</v>
      </c>
      <c r="AU127" s="5">
        <f t="shared" si="112"/>
        <v>92963</v>
      </c>
      <c r="AV127" s="5">
        <f t="shared" si="113"/>
        <v>-26405</v>
      </c>
      <c r="AW127" s="5">
        <f t="shared" si="114"/>
        <v>0</v>
      </c>
      <c r="AX127" s="5">
        <f>VLOOKUP($AF127,'251017'!$A$1:$M$200,4,FALSE)</f>
        <v>523503</v>
      </c>
      <c r="AY127" s="5">
        <f>VLOOKUP($AF127,'251017'!$A$1:$M$200,5,FALSE)</f>
        <v>0</v>
      </c>
      <c r="AZ127" s="5">
        <f t="shared" si="115"/>
        <v>112038</v>
      </c>
      <c r="BA127" s="5">
        <f t="shared" si="116"/>
        <v>19075</v>
      </c>
      <c r="BB127" s="5">
        <f t="shared" si="117"/>
        <v>0</v>
      </c>
      <c r="BC127" s="5">
        <f>VLOOKUP($AF127,'251018'!$A$1:$M$200,4,FALSE)</f>
        <v>635911</v>
      </c>
      <c r="BD127" s="5">
        <f>VLOOKUP($AF127,'251018'!$A$1:$M$200,5,FALSE)</f>
        <v>0</v>
      </c>
      <c r="BE127" s="5">
        <f t="shared" si="118"/>
        <v>112408</v>
      </c>
      <c r="BF127" s="5">
        <f t="shared" si="119"/>
        <v>370</v>
      </c>
      <c r="BG127" s="5">
        <f t="shared" si="120"/>
        <v>0</v>
      </c>
      <c r="BH127" s="5">
        <f>VLOOKUP($AF127,'251018'!$A$1:$M$200,4,FALSE)</f>
        <v>635911</v>
      </c>
    </row>
    <row r="128" spans="1:60" x14ac:dyDescent="0.3">
      <c r="B128" s="5" t="s">
        <v>849</v>
      </c>
      <c r="C128" s="5">
        <f>VLOOKUP($B128,'251008_0시'!$A$1:$M$200,4,FALSE)</f>
        <v>156287</v>
      </c>
      <c r="D128" s="5">
        <f>VLOOKUP($B128,'251008_0시'!$A$1:$M$200,5,FALSE)</f>
        <v>0</v>
      </c>
      <c r="E128" s="5">
        <f>VLOOKUP($B128,'251009_0시'!$A$1:$M$200,4,FALSE)</f>
        <v>251328</v>
      </c>
      <c r="F128" s="5">
        <f>VLOOKUP($B128,'251009_0시'!$A$1:$M$200,5,FALSE)</f>
        <v>154</v>
      </c>
      <c r="G128" s="5">
        <f t="shared" si="91"/>
        <v>95041</v>
      </c>
      <c r="H128" s="5">
        <f t="shared" si="92"/>
        <v>16897.5</v>
      </c>
      <c r="I128" s="5">
        <f t="shared" si="93"/>
        <v>154</v>
      </c>
      <c r="J128" s="5">
        <f>VLOOKUP($B128,'251010_0시'!$A$1:$M$200,4,FALSE)</f>
        <v>339131</v>
      </c>
      <c r="K128" s="5">
        <f>VLOOKUP($B128,'251010_0시'!$A$1:$M$200,5,FALSE)</f>
        <v>760</v>
      </c>
      <c r="L128" s="5">
        <f t="shared" si="94"/>
        <v>87803</v>
      </c>
      <c r="M128" s="5">
        <f t="shared" si="95"/>
        <v>-7238</v>
      </c>
      <c r="N128" s="5">
        <f t="shared" si="96"/>
        <v>606</v>
      </c>
      <c r="O128" s="5">
        <f>VLOOKUP($B128,'251011_0시'!$A$1:$M$200,4,FALSE)</f>
        <v>453727</v>
      </c>
      <c r="P128" s="5">
        <f>VLOOKUP($B128,'251011_0시'!$A$1:$M$200,5,FALSE)</f>
        <v>760</v>
      </c>
      <c r="Q128" s="5">
        <f t="shared" si="97"/>
        <v>114596</v>
      </c>
      <c r="R128" s="5">
        <f t="shared" si="98"/>
        <v>26793</v>
      </c>
      <c r="S128" s="5">
        <f t="shared" si="99"/>
        <v>0</v>
      </c>
      <c r="T128" s="5">
        <f>VLOOKUP($B128,'251012_0시'!$A$1:$M$200,4,FALSE)</f>
        <v>573647</v>
      </c>
      <c r="U128" s="5">
        <f>VLOOKUP($B128,'251012_0시'!$A$1:$M$200,5,FALSE)</f>
        <v>760</v>
      </c>
      <c r="V128" s="5">
        <f t="shared" si="100"/>
        <v>119920</v>
      </c>
      <c r="W128" s="5">
        <f t="shared" si="101"/>
        <v>5324</v>
      </c>
      <c r="X128" s="5">
        <f t="shared" si="102"/>
        <v>0</v>
      </c>
      <c r="Y128" s="5">
        <f>VLOOKUP($B128,'251013_0시'!$A$1:$M$200,4,FALSE)</f>
        <v>679973</v>
      </c>
      <c r="Z128" s="5">
        <f>VLOOKUP($B128,'251013_0시'!$A$1:$M$200,5,FALSE)</f>
        <v>760</v>
      </c>
      <c r="AA128" s="5">
        <f t="shared" si="103"/>
        <v>106326</v>
      </c>
      <c r="AB128" s="5">
        <f t="shared" si="104"/>
        <v>-13594</v>
      </c>
      <c r="AC128" s="5">
        <f t="shared" si="105"/>
        <v>0</v>
      </c>
      <c r="AD128" s="5">
        <f>VLOOKUP($B128,'251013_0시'!$A$1:$M$200,4,FALSE)</f>
        <v>679973</v>
      </c>
      <c r="AF128" s="5" t="s">
        <v>766</v>
      </c>
      <c r="AG128" s="5">
        <f>VLOOKUP($AF128,'251013'!$A$1:$M$200,4,FALSE)</f>
        <v>137800</v>
      </c>
      <c r="AH128" s="5">
        <f>VLOOKUP($AF128,'251013'!$A$1:$M$200,5,FALSE)</f>
        <v>2250</v>
      </c>
      <c r="AI128" s="5">
        <f>VLOOKUP($AF128,'251014'!$A$1:$M$200,4,FALSE)</f>
        <v>174327</v>
      </c>
      <c r="AJ128" s="5">
        <f>VLOOKUP($AF128,'251014'!$A$1:$M$200,5,FALSE)</f>
        <v>2250</v>
      </c>
      <c r="AK128" s="5">
        <f t="shared" si="106"/>
        <v>36527</v>
      </c>
      <c r="AL128" s="5">
        <f t="shared" si="107"/>
        <v>-101273</v>
      </c>
      <c r="AM128" s="5">
        <f t="shared" si="108"/>
        <v>0</v>
      </c>
      <c r="AN128" s="5">
        <f>VLOOKUP($AF128,'251015'!$A$1:$M$200,4,FALSE)</f>
        <v>252052</v>
      </c>
      <c r="AO128" s="5">
        <f>VLOOKUP($AF128,'251015'!$A$1:$M$200,5,FALSE)</f>
        <v>3150</v>
      </c>
      <c r="AP128" s="5">
        <f t="shared" si="109"/>
        <v>77725</v>
      </c>
      <c r="AQ128" s="5">
        <f t="shared" si="110"/>
        <v>41198</v>
      </c>
      <c r="AR128" s="5">
        <f t="shared" si="111"/>
        <v>900</v>
      </c>
      <c r="AS128" s="5">
        <f>VLOOKUP($AF128,'251016'!$A$1:$M$200,4,FALSE)</f>
        <v>387205</v>
      </c>
      <c r="AT128" s="5">
        <f>VLOOKUP($AF128,'251016'!$A$1:$M$200,5,FALSE)</f>
        <v>4050</v>
      </c>
      <c r="AU128" s="5">
        <f t="shared" si="112"/>
        <v>135153</v>
      </c>
      <c r="AV128" s="5">
        <f t="shared" si="113"/>
        <v>57428</v>
      </c>
      <c r="AW128" s="5">
        <f t="shared" si="114"/>
        <v>900</v>
      </c>
      <c r="AX128" s="5">
        <f>VLOOKUP($AF128,'251017'!$A$1:$M$200,4,FALSE)</f>
        <v>496861</v>
      </c>
      <c r="AY128" s="5">
        <f>VLOOKUP($AF128,'251017'!$A$1:$M$200,5,FALSE)</f>
        <v>4050</v>
      </c>
      <c r="AZ128" s="5">
        <f t="shared" si="115"/>
        <v>109656</v>
      </c>
      <c r="BA128" s="5">
        <f t="shared" si="116"/>
        <v>-25497</v>
      </c>
      <c r="BB128" s="5">
        <f t="shared" si="117"/>
        <v>0</v>
      </c>
      <c r="BC128" s="5">
        <f>VLOOKUP($AF128,'251018'!$A$1:$M$200,4,FALSE)</f>
        <v>634759</v>
      </c>
      <c r="BD128" s="5">
        <f>VLOOKUP($AF128,'251018'!$A$1:$M$200,5,FALSE)</f>
        <v>4500</v>
      </c>
      <c r="BE128" s="5">
        <f t="shared" si="118"/>
        <v>137898</v>
      </c>
      <c r="BF128" s="5">
        <f t="shared" si="119"/>
        <v>28242</v>
      </c>
      <c r="BG128" s="5">
        <f t="shared" si="120"/>
        <v>450</v>
      </c>
      <c r="BH128" s="5">
        <f>VLOOKUP($AF128,'251018'!$A$1:$M$200,4,FALSE)</f>
        <v>634759</v>
      </c>
    </row>
    <row r="129" spans="2:60" x14ac:dyDescent="0.3">
      <c r="B129" s="5" t="s">
        <v>963</v>
      </c>
      <c r="C129" s="5">
        <f>VLOOKUP($B129,'251008_0시'!$A$1:$M$200,4,FALSE)</f>
        <v>189486</v>
      </c>
      <c r="D129" s="5">
        <f>VLOOKUP($B129,'251008_0시'!$A$1:$M$200,5,FALSE)</f>
        <v>800</v>
      </c>
      <c r="E129" s="5">
        <f>VLOOKUP($B129,'251009_0시'!$A$1:$M$200,4,FALSE)</f>
        <v>309069</v>
      </c>
      <c r="F129" s="5">
        <f>VLOOKUP($B129,'251009_0시'!$A$1:$M$200,5,FALSE)</f>
        <v>800</v>
      </c>
      <c r="G129" s="5">
        <f t="shared" si="91"/>
        <v>119583</v>
      </c>
      <c r="H129" s="5">
        <f t="shared" si="92"/>
        <v>24840</v>
      </c>
      <c r="I129" s="5">
        <f t="shared" si="93"/>
        <v>0</v>
      </c>
      <c r="J129" s="5">
        <f>VLOOKUP($B129,'251010_0시'!$A$1:$M$200,4,FALSE)</f>
        <v>396110</v>
      </c>
      <c r="K129" s="5">
        <f>VLOOKUP($B129,'251010_0시'!$A$1:$M$200,5,FALSE)</f>
        <v>901</v>
      </c>
      <c r="L129" s="5">
        <f t="shared" si="94"/>
        <v>87041</v>
      </c>
      <c r="M129" s="5">
        <f t="shared" si="95"/>
        <v>-32542</v>
      </c>
      <c r="N129" s="5">
        <f t="shared" si="96"/>
        <v>101</v>
      </c>
      <c r="O129" s="5">
        <f>VLOOKUP($B129,'251011_0시'!$A$1:$M$200,4,FALSE)</f>
        <v>517316</v>
      </c>
      <c r="P129" s="5">
        <f>VLOOKUP($B129,'251011_0시'!$A$1:$M$200,5,FALSE)</f>
        <v>1251</v>
      </c>
      <c r="Q129" s="5">
        <f t="shared" si="97"/>
        <v>121206</v>
      </c>
      <c r="R129" s="5">
        <f t="shared" si="98"/>
        <v>34165</v>
      </c>
      <c r="S129" s="5">
        <f t="shared" si="99"/>
        <v>350</v>
      </c>
      <c r="T129" s="5">
        <f>VLOOKUP($B129,'251012_0시'!$A$1:$M$200,4,FALSE)</f>
        <v>599947</v>
      </c>
      <c r="U129" s="5">
        <f>VLOOKUP($B129,'251012_0시'!$A$1:$M$200,5,FALSE)</f>
        <v>1251</v>
      </c>
      <c r="V129" s="5">
        <f t="shared" si="100"/>
        <v>82631</v>
      </c>
      <c r="W129" s="5">
        <f t="shared" si="101"/>
        <v>-38575</v>
      </c>
      <c r="X129" s="5">
        <f t="shared" si="102"/>
        <v>0</v>
      </c>
      <c r="Y129" s="5">
        <f>VLOOKUP($B129,'251013_0시'!$A$1:$M$200,4,FALSE)</f>
        <v>676895</v>
      </c>
      <c r="Z129" s="5">
        <f>VLOOKUP($B129,'251013_0시'!$A$1:$M$200,5,FALSE)</f>
        <v>1701</v>
      </c>
      <c r="AA129" s="5">
        <f t="shared" si="103"/>
        <v>76948</v>
      </c>
      <c r="AB129" s="5">
        <f t="shared" si="104"/>
        <v>-5683</v>
      </c>
      <c r="AC129" s="5">
        <f t="shared" si="105"/>
        <v>450</v>
      </c>
      <c r="AD129" s="5">
        <f>VLOOKUP($B129,'251013_0시'!$A$1:$M$200,4,FALSE)</f>
        <v>676895</v>
      </c>
      <c r="AF129" s="5" t="s">
        <v>967</v>
      </c>
      <c r="AG129" s="5">
        <f>VLOOKUP($AF129,'251013'!$A$1:$M$200,4,FALSE)</f>
        <v>69730</v>
      </c>
      <c r="AH129" s="5">
        <f>VLOOKUP($AF129,'251013'!$A$1:$M$200,5,FALSE)</f>
        <v>0</v>
      </c>
      <c r="AI129" s="5">
        <f>VLOOKUP($AF129,'251014'!$A$1:$M$200,4,FALSE)</f>
        <v>194021</v>
      </c>
      <c r="AJ129" s="5">
        <f>VLOOKUP($AF129,'251014'!$A$1:$M$200,5,FALSE)</f>
        <v>0</v>
      </c>
      <c r="AK129" s="5">
        <f t="shared" si="106"/>
        <v>124291</v>
      </c>
      <c r="AL129" s="5">
        <f t="shared" si="107"/>
        <v>54561</v>
      </c>
      <c r="AM129" s="5">
        <f t="shared" si="108"/>
        <v>0</v>
      </c>
      <c r="AN129" s="5">
        <f>VLOOKUP($AF129,'251015'!$A$1:$M$200,4,FALSE)</f>
        <v>294857</v>
      </c>
      <c r="AO129" s="5">
        <f>VLOOKUP($AF129,'251015'!$A$1:$M$200,5,FALSE)</f>
        <v>0</v>
      </c>
      <c r="AP129" s="5">
        <f t="shared" si="109"/>
        <v>100836</v>
      </c>
      <c r="AQ129" s="5">
        <f t="shared" si="110"/>
        <v>-23455</v>
      </c>
      <c r="AR129" s="5">
        <f t="shared" si="111"/>
        <v>0</v>
      </c>
      <c r="AS129" s="5">
        <f>VLOOKUP($AF129,'251016'!$A$1:$M$200,4,FALSE)</f>
        <v>394971</v>
      </c>
      <c r="AT129" s="5">
        <f>VLOOKUP($AF129,'251016'!$A$1:$M$200,5,FALSE)</f>
        <v>0</v>
      </c>
      <c r="AU129" s="5">
        <f t="shared" si="112"/>
        <v>100114</v>
      </c>
      <c r="AV129" s="5">
        <f t="shared" si="113"/>
        <v>-722</v>
      </c>
      <c r="AW129" s="5">
        <f t="shared" si="114"/>
        <v>0</v>
      </c>
      <c r="AX129" s="5">
        <f>VLOOKUP($AF129,'251017'!$A$1:$M$200,4,FALSE)</f>
        <v>494724</v>
      </c>
      <c r="AY129" s="5">
        <f>VLOOKUP($AF129,'251017'!$A$1:$M$200,5,FALSE)</f>
        <v>0</v>
      </c>
      <c r="AZ129" s="5">
        <f t="shared" si="115"/>
        <v>99753</v>
      </c>
      <c r="BA129" s="5">
        <f t="shared" si="116"/>
        <v>-361</v>
      </c>
      <c r="BB129" s="5">
        <f t="shared" si="117"/>
        <v>0</v>
      </c>
      <c r="BC129" s="5">
        <f>VLOOKUP($AF129,'251018'!$A$1:$M$200,4,FALSE)</f>
        <v>633762</v>
      </c>
      <c r="BD129" s="5">
        <f>VLOOKUP($AF129,'251018'!$A$1:$M$200,5,FALSE)</f>
        <v>900</v>
      </c>
      <c r="BE129" s="5">
        <f t="shared" si="118"/>
        <v>139038</v>
      </c>
      <c r="BF129" s="5">
        <f t="shared" si="119"/>
        <v>39285</v>
      </c>
      <c r="BG129" s="5">
        <f t="shared" si="120"/>
        <v>900</v>
      </c>
      <c r="BH129" s="5">
        <f>VLOOKUP($AF129,'251018'!$A$1:$M$200,4,FALSE)</f>
        <v>633762</v>
      </c>
    </row>
    <row r="130" spans="2:60" x14ac:dyDescent="0.3">
      <c r="B130" s="5" t="s">
        <v>965</v>
      </c>
      <c r="C130" s="5">
        <f>VLOOKUP($B130,'251008_0시'!$A$1:$M$200,4,FALSE)</f>
        <v>178651</v>
      </c>
      <c r="D130" s="5">
        <f>VLOOKUP($B130,'251008_0시'!$A$1:$M$200,5,FALSE)</f>
        <v>0</v>
      </c>
      <c r="E130" s="5">
        <f>VLOOKUP($B130,'251009_0시'!$A$1:$M$200,4,FALSE)</f>
        <v>266507</v>
      </c>
      <c r="F130" s="5">
        <f>VLOOKUP($B130,'251009_0시'!$A$1:$M$200,5,FALSE)</f>
        <v>0</v>
      </c>
      <c r="G130" s="5">
        <f t="shared" si="91"/>
        <v>87856</v>
      </c>
      <c r="H130" s="5">
        <f t="shared" si="92"/>
        <v>-1469.5</v>
      </c>
      <c r="I130" s="5">
        <f t="shared" si="93"/>
        <v>0</v>
      </c>
      <c r="J130" s="5">
        <f>VLOOKUP($B130,'251010_0시'!$A$1:$M$200,4,FALSE)</f>
        <v>371566</v>
      </c>
      <c r="K130" s="5">
        <f>VLOOKUP($B130,'251010_0시'!$A$1:$M$200,5,FALSE)</f>
        <v>394</v>
      </c>
      <c r="L130" s="5">
        <f t="shared" si="94"/>
        <v>105059</v>
      </c>
      <c r="M130" s="5">
        <f t="shared" si="95"/>
        <v>17203</v>
      </c>
      <c r="N130" s="5">
        <f t="shared" si="96"/>
        <v>394</v>
      </c>
      <c r="O130" s="5">
        <f>VLOOKUP($B130,'251011_0시'!$A$1:$M$200,4,FALSE)</f>
        <v>449740</v>
      </c>
      <c r="P130" s="5">
        <f>VLOOKUP($B130,'251011_0시'!$A$1:$M$200,5,FALSE)</f>
        <v>394</v>
      </c>
      <c r="Q130" s="5">
        <f t="shared" si="97"/>
        <v>78174</v>
      </c>
      <c r="R130" s="5">
        <f t="shared" si="98"/>
        <v>-26885</v>
      </c>
      <c r="S130" s="5">
        <f t="shared" si="99"/>
        <v>0</v>
      </c>
      <c r="T130" s="5">
        <f>VLOOKUP($B130,'251012_0시'!$A$1:$M$200,4,FALSE)</f>
        <v>541376</v>
      </c>
      <c r="U130" s="5">
        <f>VLOOKUP($B130,'251012_0시'!$A$1:$M$200,5,FALSE)</f>
        <v>444</v>
      </c>
      <c r="V130" s="5">
        <f t="shared" si="100"/>
        <v>91636</v>
      </c>
      <c r="W130" s="5">
        <f t="shared" si="101"/>
        <v>13462</v>
      </c>
      <c r="X130" s="5">
        <f t="shared" si="102"/>
        <v>50</v>
      </c>
      <c r="Y130" s="5">
        <f>VLOOKUP($B130,'251013_0시'!$A$1:$M$200,4,FALSE)</f>
        <v>659126</v>
      </c>
      <c r="Z130" s="5">
        <f>VLOOKUP($B130,'251013_0시'!$A$1:$M$200,5,FALSE)</f>
        <v>2694</v>
      </c>
      <c r="AA130" s="5">
        <f t="shared" si="103"/>
        <v>117750</v>
      </c>
      <c r="AB130" s="5">
        <f t="shared" si="104"/>
        <v>26114</v>
      </c>
      <c r="AC130" s="5">
        <f t="shared" si="105"/>
        <v>2250</v>
      </c>
      <c r="AD130" s="5">
        <f>VLOOKUP($B130,'251013_0시'!$A$1:$M$200,4,FALSE)</f>
        <v>659126</v>
      </c>
      <c r="AF130" s="5" t="s">
        <v>960</v>
      </c>
      <c r="AG130" s="5">
        <f>VLOOKUP($AF130,'251013'!$A$1:$M$200,4,FALSE)</f>
        <v>111739</v>
      </c>
      <c r="AH130" s="5">
        <f>VLOOKUP($AF130,'251013'!$A$1:$M$200,5,FALSE)</f>
        <v>0</v>
      </c>
      <c r="AI130" s="5">
        <f>VLOOKUP($AF130,'251014'!$A$1:$M$200,4,FALSE)</f>
        <v>246580</v>
      </c>
      <c r="AJ130" s="5">
        <f>VLOOKUP($AF130,'251014'!$A$1:$M$200,5,FALSE)</f>
        <v>0</v>
      </c>
      <c r="AK130" s="5">
        <f t="shared" si="106"/>
        <v>134841</v>
      </c>
      <c r="AL130" s="5">
        <f t="shared" si="107"/>
        <v>23102</v>
      </c>
      <c r="AM130" s="5">
        <f t="shared" si="108"/>
        <v>0</v>
      </c>
      <c r="AN130" s="5">
        <f>VLOOKUP($AF130,'251015'!$A$1:$M$200,4,FALSE)</f>
        <v>329383</v>
      </c>
      <c r="AO130" s="5">
        <f>VLOOKUP($AF130,'251015'!$A$1:$M$200,5,FALSE)</f>
        <v>0</v>
      </c>
      <c r="AP130" s="5">
        <f t="shared" si="109"/>
        <v>82803</v>
      </c>
      <c r="AQ130" s="5">
        <f t="shared" si="110"/>
        <v>-52038</v>
      </c>
      <c r="AR130" s="5">
        <f t="shared" si="111"/>
        <v>0</v>
      </c>
      <c r="AS130" s="5">
        <f>VLOOKUP($AF130,'251016'!$A$1:$M$200,4,FALSE)</f>
        <v>374493</v>
      </c>
      <c r="AT130" s="5">
        <f>VLOOKUP($AF130,'251016'!$A$1:$M$200,5,FALSE)</f>
        <v>0</v>
      </c>
      <c r="AU130" s="5">
        <f t="shared" si="112"/>
        <v>45110</v>
      </c>
      <c r="AV130" s="5">
        <f t="shared" si="113"/>
        <v>-37693</v>
      </c>
      <c r="AW130" s="5">
        <f t="shared" si="114"/>
        <v>0</v>
      </c>
      <c r="AX130" s="5">
        <f>VLOOKUP($AF130,'251017'!$A$1:$M$200,4,FALSE)</f>
        <v>422832</v>
      </c>
      <c r="AY130" s="5">
        <f>VLOOKUP($AF130,'251017'!$A$1:$M$200,5,FALSE)</f>
        <v>0</v>
      </c>
      <c r="AZ130" s="5">
        <f t="shared" si="115"/>
        <v>48339</v>
      </c>
      <c r="BA130" s="5">
        <f t="shared" si="116"/>
        <v>3229</v>
      </c>
      <c r="BB130" s="5">
        <f t="shared" si="117"/>
        <v>0</v>
      </c>
      <c r="BC130" s="5">
        <f>VLOOKUP($AF130,'251018'!$A$1:$M$200,4,FALSE)</f>
        <v>616127</v>
      </c>
      <c r="BD130" s="5">
        <f>VLOOKUP($AF130,'251018'!$A$1:$M$200,5,FALSE)</f>
        <v>0</v>
      </c>
      <c r="BE130" s="5">
        <f t="shared" si="118"/>
        <v>193295</v>
      </c>
      <c r="BF130" s="5">
        <f t="shared" si="119"/>
        <v>144956</v>
      </c>
      <c r="BG130" s="5">
        <f t="shared" si="120"/>
        <v>0</v>
      </c>
      <c r="BH130" s="5">
        <f>VLOOKUP($AF130,'251018'!$A$1:$M$200,4,FALSE)</f>
        <v>616127</v>
      </c>
    </row>
    <row r="131" spans="2:60" x14ac:dyDescent="0.3">
      <c r="B131" s="5" t="s">
        <v>967</v>
      </c>
      <c r="C131" s="5">
        <f>VLOOKUP($B131,'251008_0시'!$A$1:$M$200,4,FALSE)</f>
        <v>162113</v>
      </c>
      <c r="D131" s="5">
        <f>VLOOKUP($B131,'251008_0시'!$A$1:$M$200,5,FALSE)</f>
        <v>0</v>
      </c>
      <c r="E131" s="5">
        <f>VLOOKUP($B131,'251009_0시'!$A$1:$M$200,4,FALSE)</f>
        <v>310812</v>
      </c>
      <c r="F131" s="5">
        <f>VLOOKUP($B131,'251009_0시'!$A$1:$M$200,5,FALSE)</f>
        <v>0</v>
      </c>
      <c r="G131" s="5">
        <f t="shared" si="91"/>
        <v>148699</v>
      </c>
      <c r="H131" s="5">
        <f t="shared" si="92"/>
        <v>67642.5</v>
      </c>
      <c r="I131" s="5">
        <f t="shared" si="93"/>
        <v>0</v>
      </c>
      <c r="J131" s="5">
        <f>VLOOKUP($B131,'251010_0시'!$A$1:$M$200,4,FALSE)</f>
        <v>415194</v>
      </c>
      <c r="K131" s="5">
        <f>VLOOKUP($B131,'251010_0시'!$A$1:$M$200,5,FALSE)</f>
        <v>0</v>
      </c>
      <c r="L131" s="5">
        <f t="shared" si="94"/>
        <v>104382</v>
      </c>
      <c r="M131" s="5">
        <f t="shared" si="95"/>
        <v>-44317</v>
      </c>
      <c r="N131" s="5">
        <f t="shared" si="96"/>
        <v>0</v>
      </c>
      <c r="O131" s="5">
        <f>VLOOKUP($B131,'251011_0시'!$A$1:$M$200,4,FALSE)</f>
        <v>496775</v>
      </c>
      <c r="P131" s="5">
        <f>VLOOKUP($B131,'251011_0시'!$A$1:$M$200,5,FALSE)</f>
        <v>0</v>
      </c>
      <c r="Q131" s="5">
        <f t="shared" si="97"/>
        <v>81581</v>
      </c>
      <c r="R131" s="5">
        <f t="shared" si="98"/>
        <v>-22801</v>
      </c>
      <c r="S131" s="5">
        <f t="shared" si="99"/>
        <v>0</v>
      </c>
      <c r="T131" s="5">
        <f>VLOOKUP($B131,'251012_0시'!$A$1:$M$200,4,FALSE)</f>
        <v>564026</v>
      </c>
      <c r="U131" s="5">
        <f>VLOOKUP($B131,'251012_0시'!$A$1:$M$200,5,FALSE)</f>
        <v>350</v>
      </c>
      <c r="V131" s="5">
        <f t="shared" si="100"/>
        <v>67251</v>
      </c>
      <c r="W131" s="5">
        <f t="shared" si="101"/>
        <v>-14330</v>
      </c>
      <c r="X131" s="5">
        <f t="shared" si="102"/>
        <v>350</v>
      </c>
      <c r="Y131" s="5">
        <f>VLOOKUP($B131,'251013_0시'!$A$1:$M$200,4,FALSE)</f>
        <v>653240</v>
      </c>
      <c r="Z131" s="5">
        <f>VLOOKUP($B131,'251013_0시'!$A$1:$M$200,5,FALSE)</f>
        <v>350</v>
      </c>
      <c r="AA131" s="5">
        <f t="shared" si="103"/>
        <v>89214</v>
      </c>
      <c r="AB131" s="5">
        <f t="shared" si="104"/>
        <v>21963</v>
      </c>
      <c r="AC131" s="5">
        <f t="shared" si="105"/>
        <v>0</v>
      </c>
      <c r="AD131" s="5">
        <f>VLOOKUP($B131,'251013_0시'!$A$1:$M$200,4,FALSE)</f>
        <v>653240</v>
      </c>
      <c r="AF131" s="5" t="s">
        <v>963</v>
      </c>
      <c r="AG131" s="5">
        <f>VLOOKUP($AF131,'251013'!$A$1:$M$200,4,FALSE)</f>
        <v>143516</v>
      </c>
      <c r="AH131" s="5">
        <f>VLOOKUP($AF131,'251013'!$A$1:$M$200,5,FALSE)</f>
        <v>0</v>
      </c>
      <c r="AI131" s="5">
        <f>VLOOKUP($AF131,'251014'!$A$1:$M$200,4,FALSE)</f>
        <v>219568</v>
      </c>
      <c r="AJ131" s="5">
        <f>VLOOKUP($AF131,'251014'!$A$1:$M$200,5,FALSE)</f>
        <v>0</v>
      </c>
      <c r="AK131" s="5">
        <f t="shared" si="106"/>
        <v>76052</v>
      </c>
      <c r="AL131" s="5">
        <f t="shared" si="107"/>
        <v>-67464</v>
      </c>
      <c r="AM131" s="5">
        <f t="shared" si="108"/>
        <v>0</v>
      </c>
      <c r="AN131" s="5">
        <f>VLOOKUP($AF131,'251015'!$A$1:$M$200,4,FALSE)</f>
        <v>322850</v>
      </c>
      <c r="AO131" s="5">
        <f>VLOOKUP($AF131,'251015'!$A$1:$M$200,5,FALSE)</f>
        <v>1350</v>
      </c>
      <c r="AP131" s="5">
        <f t="shared" si="109"/>
        <v>103282</v>
      </c>
      <c r="AQ131" s="5">
        <f t="shared" si="110"/>
        <v>27230</v>
      </c>
      <c r="AR131" s="5">
        <f t="shared" si="111"/>
        <v>1350</v>
      </c>
      <c r="AS131" s="5">
        <f>VLOOKUP($AF131,'251016'!$A$1:$M$200,4,FALSE)</f>
        <v>410432</v>
      </c>
      <c r="AT131" s="5">
        <f>VLOOKUP($AF131,'251016'!$A$1:$M$200,5,FALSE)</f>
        <v>1350</v>
      </c>
      <c r="AU131" s="5">
        <f t="shared" si="112"/>
        <v>87582</v>
      </c>
      <c r="AV131" s="5">
        <f t="shared" si="113"/>
        <v>-15700</v>
      </c>
      <c r="AW131" s="5">
        <f t="shared" si="114"/>
        <v>0</v>
      </c>
      <c r="AX131" s="5">
        <f>VLOOKUP($AF131,'251017'!$A$1:$M$200,4,FALSE)</f>
        <v>550471</v>
      </c>
      <c r="AY131" s="5">
        <f>VLOOKUP($AF131,'251017'!$A$1:$M$200,5,FALSE)</f>
        <v>1350</v>
      </c>
      <c r="AZ131" s="5">
        <f t="shared" si="115"/>
        <v>140039</v>
      </c>
      <c r="BA131" s="5">
        <f t="shared" si="116"/>
        <v>52457</v>
      </c>
      <c r="BB131" s="5">
        <f t="shared" si="117"/>
        <v>0</v>
      </c>
      <c r="BC131" s="5">
        <f>VLOOKUP($AF131,'251018'!$A$1:$M$200,4,FALSE)</f>
        <v>615492</v>
      </c>
      <c r="BD131" s="5">
        <f>VLOOKUP($AF131,'251018'!$A$1:$M$200,5,FALSE)</f>
        <v>1350</v>
      </c>
      <c r="BE131" s="5">
        <f t="shared" si="118"/>
        <v>65021</v>
      </c>
      <c r="BF131" s="5">
        <f t="shared" si="119"/>
        <v>-75018</v>
      </c>
      <c r="BG131" s="5">
        <f t="shared" si="120"/>
        <v>0</v>
      </c>
      <c r="BH131" s="5">
        <f>VLOOKUP($AF131,'251018'!$A$1:$M$200,4,FALSE)</f>
        <v>615492</v>
      </c>
    </row>
    <row r="132" spans="2:60" x14ac:dyDescent="0.3">
      <c r="B132" s="5" t="s">
        <v>974</v>
      </c>
      <c r="C132" s="5">
        <f>VLOOKUP($B132,'251008_0시'!$A$1:$M$200,4,FALSE)</f>
        <v>89484</v>
      </c>
      <c r="D132" s="5">
        <f>VLOOKUP($B132,'251008_0시'!$A$1:$M$200,5,FALSE)</f>
        <v>0</v>
      </c>
      <c r="E132" s="5">
        <f>VLOOKUP($B132,'251009_0시'!$A$1:$M$200,4,FALSE)</f>
        <v>178494</v>
      </c>
      <c r="F132" s="5">
        <f>VLOOKUP($B132,'251009_0시'!$A$1:$M$200,5,FALSE)</f>
        <v>350</v>
      </c>
      <c r="G132" s="5">
        <f t="shared" si="91"/>
        <v>89010</v>
      </c>
      <c r="H132" s="5">
        <f t="shared" si="92"/>
        <v>44268</v>
      </c>
      <c r="I132" s="5">
        <f t="shared" si="93"/>
        <v>350</v>
      </c>
      <c r="J132" s="5">
        <f>VLOOKUP($B132,'251010_0시'!$A$1:$M$200,4,FALSE)</f>
        <v>240596</v>
      </c>
      <c r="K132" s="5">
        <f>VLOOKUP($B132,'251010_0시'!$A$1:$M$200,5,FALSE)</f>
        <v>1090</v>
      </c>
      <c r="L132" s="5">
        <f t="shared" si="94"/>
        <v>62102</v>
      </c>
      <c r="M132" s="5">
        <f t="shared" si="95"/>
        <v>-26908</v>
      </c>
      <c r="N132" s="5">
        <f t="shared" si="96"/>
        <v>740</v>
      </c>
      <c r="O132" s="5">
        <f>VLOOKUP($B132,'251011_0시'!$A$1:$M$200,4,FALSE)</f>
        <v>375655</v>
      </c>
      <c r="P132" s="5">
        <f>VLOOKUP($B132,'251011_0시'!$A$1:$M$200,5,FALSE)</f>
        <v>1140</v>
      </c>
      <c r="Q132" s="5">
        <f t="shared" si="97"/>
        <v>135059</v>
      </c>
      <c r="R132" s="5">
        <f t="shared" si="98"/>
        <v>72957</v>
      </c>
      <c r="S132" s="5">
        <f t="shared" si="99"/>
        <v>50</v>
      </c>
      <c r="T132" s="5">
        <f>VLOOKUP($B132,'251012_0시'!$A$1:$M$200,4,FALSE)</f>
        <v>511989</v>
      </c>
      <c r="U132" s="5">
        <f>VLOOKUP($B132,'251012_0시'!$A$1:$M$200,5,FALSE)</f>
        <v>1140</v>
      </c>
      <c r="V132" s="5">
        <f t="shared" si="100"/>
        <v>136334</v>
      </c>
      <c r="W132" s="5">
        <f t="shared" si="101"/>
        <v>1275</v>
      </c>
      <c r="X132" s="5">
        <f t="shared" si="102"/>
        <v>0</v>
      </c>
      <c r="Y132" s="5">
        <f>VLOOKUP($B132,'251013_0시'!$A$1:$M$200,4,FALSE)</f>
        <v>650206</v>
      </c>
      <c r="Z132" s="5">
        <f>VLOOKUP($B132,'251013_0시'!$A$1:$M$200,5,FALSE)</f>
        <v>1140</v>
      </c>
      <c r="AA132" s="5">
        <f t="shared" si="103"/>
        <v>138217</v>
      </c>
      <c r="AB132" s="5">
        <f t="shared" si="104"/>
        <v>1883</v>
      </c>
      <c r="AC132" s="5">
        <f t="shared" si="105"/>
        <v>0</v>
      </c>
      <c r="AD132" s="5">
        <f>VLOOKUP($B132,'251013_0시'!$A$1:$M$200,4,FALSE)</f>
        <v>650206</v>
      </c>
      <c r="AF132" s="5" t="s">
        <v>824</v>
      </c>
      <c r="AG132" s="5">
        <f>VLOOKUP($AF132,'251013'!$A$1:$M$200,4,FALSE)</f>
        <v>106370</v>
      </c>
      <c r="AH132" s="5">
        <f>VLOOKUP($AF132,'251013'!$A$1:$M$200,5,FALSE)</f>
        <v>450</v>
      </c>
      <c r="AI132" s="5">
        <f>VLOOKUP($AF132,'251014'!$A$1:$M$200,4,FALSE)</f>
        <v>189887</v>
      </c>
      <c r="AJ132" s="5">
        <f>VLOOKUP($AF132,'251014'!$A$1:$M$200,5,FALSE)</f>
        <v>450</v>
      </c>
      <c r="AK132" s="5">
        <f t="shared" si="106"/>
        <v>83517</v>
      </c>
      <c r="AL132" s="5">
        <f t="shared" si="107"/>
        <v>-22853</v>
      </c>
      <c r="AM132" s="5">
        <f t="shared" si="108"/>
        <v>0</v>
      </c>
      <c r="AN132" s="5">
        <f>VLOOKUP($AF132,'251015'!$A$1:$M$200,4,FALSE)</f>
        <v>294785</v>
      </c>
      <c r="AO132" s="5">
        <f>VLOOKUP($AF132,'251015'!$A$1:$M$200,5,FALSE)</f>
        <v>450</v>
      </c>
      <c r="AP132" s="5">
        <f t="shared" si="109"/>
        <v>104898</v>
      </c>
      <c r="AQ132" s="5">
        <f t="shared" si="110"/>
        <v>21381</v>
      </c>
      <c r="AR132" s="5">
        <f t="shared" si="111"/>
        <v>0</v>
      </c>
      <c r="AS132" s="5">
        <f>VLOOKUP($AF132,'251016'!$A$1:$M$200,4,FALSE)</f>
        <v>391502</v>
      </c>
      <c r="AT132" s="5">
        <f>VLOOKUP($AF132,'251016'!$A$1:$M$200,5,FALSE)</f>
        <v>450</v>
      </c>
      <c r="AU132" s="5">
        <f t="shared" si="112"/>
        <v>96717</v>
      </c>
      <c r="AV132" s="5">
        <f t="shared" si="113"/>
        <v>-8181</v>
      </c>
      <c r="AW132" s="5">
        <f t="shared" si="114"/>
        <v>0</v>
      </c>
      <c r="AX132" s="5">
        <f>VLOOKUP($AF132,'251017'!$A$1:$M$200,4,FALSE)</f>
        <v>510138</v>
      </c>
      <c r="AY132" s="5">
        <f>VLOOKUP($AF132,'251017'!$A$1:$M$200,5,FALSE)</f>
        <v>450</v>
      </c>
      <c r="AZ132" s="5">
        <f t="shared" si="115"/>
        <v>118636</v>
      </c>
      <c r="BA132" s="5">
        <f t="shared" si="116"/>
        <v>21919</v>
      </c>
      <c r="BB132" s="5">
        <f t="shared" si="117"/>
        <v>0</v>
      </c>
      <c r="BC132" s="5">
        <f>VLOOKUP($AF132,'251018'!$A$1:$M$200,4,FALSE)</f>
        <v>598220</v>
      </c>
      <c r="BD132" s="5">
        <f>VLOOKUP($AF132,'251018'!$A$1:$M$200,5,FALSE)</f>
        <v>450</v>
      </c>
      <c r="BE132" s="5">
        <f t="shared" si="118"/>
        <v>88082</v>
      </c>
      <c r="BF132" s="5">
        <f t="shared" si="119"/>
        <v>-30554</v>
      </c>
      <c r="BG132" s="5">
        <f t="shared" si="120"/>
        <v>0</v>
      </c>
      <c r="BH132" s="5">
        <f>VLOOKUP($AF132,'251018'!$A$1:$M$200,4,FALSE)</f>
        <v>598220</v>
      </c>
    </row>
    <row r="133" spans="2:60" x14ac:dyDescent="0.3">
      <c r="B133" s="5" t="s">
        <v>819</v>
      </c>
      <c r="C133" s="5">
        <f>VLOOKUP($B133,'251008_0시'!$A$1:$M$200,4,FALSE)</f>
        <v>252302</v>
      </c>
      <c r="D133" s="5">
        <f>VLOOKUP($B133,'251008_0시'!$A$1:$M$200,5,FALSE)</f>
        <v>0</v>
      </c>
      <c r="E133" s="5">
        <f>VLOOKUP($B133,'251009_0시'!$A$1:$M$200,4,FALSE)</f>
        <v>294774</v>
      </c>
      <c r="F133" s="5">
        <f>VLOOKUP($B133,'251009_0시'!$A$1:$M$200,5,FALSE)</f>
        <v>0</v>
      </c>
      <c r="G133" s="5">
        <f t="shared" ref="G133:G164" si="121">E133-C133</f>
        <v>42472</v>
      </c>
      <c r="H133" s="5">
        <f t="shared" ref="H133:H164" si="122">G133-(C133/2)</f>
        <v>-83679</v>
      </c>
      <c r="I133" s="5">
        <f t="shared" ref="I133:I164" si="123">F133-D133</f>
        <v>0</v>
      </c>
      <c r="J133" s="5">
        <f>VLOOKUP($B133,'251010_0시'!$A$1:$M$200,4,FALSE)</f>
        <v>365160</v>
      </c>
      <c r="K133" s="5">
        <f>VLOOKUP($B133,'251010_0시'!$A$1:$M$200,5,FALSE)</f>
        <v>0</v>
      </c>
      <c r="L133" s="5">
        <f t="shared" ref="L133:L164" si="124">J133-E133</f>
        <v>70386</v>
      </c>
      <c r="M133" s="5">
        <f t="shared" ref="M133:M164" si="125">L133-G133</f>
        <v>27914</v>
      </c>
      <c r="N133" s="5">
        <f t="shared" ref="N133:N164" si="126">K133-F133</f>
        <v>0</v>
      </c>
      <c r="O133" s="5">
        <f>VLOOKUP($B133,'251011_0시'!$A$1:$M$200,4,FALSE)</f>
        <v>434172</v>
      </c>
      <c r="P133" s="5">
        <f>VLOOKUP($B133,'251011_0시'!$A$1:$M$200,5,FALSE)</f>
        <v>0</v>
      </c>
      <c r="Q133" s="5">
        <f t="shared" ref="Q133:Q164" si="127">O133-J133</f>
        <v>69012</v>
      </c>
      <c r="R133" s="5">
        <f t="shared" ref="R133:R164" si="128">Q133-L133</f>
        <v>-1374</v>
      </c>
      <c r="S133" s="5">
        <f t="shared" ref="S133:S164" si="129">P133-K133</f>
        <v>0</v>
      </c>
      <c r="T133" s="5">
        <f>VLOOKUP($B133,'251012_0시'!$A$1:$M$200,4,FALSE)</f>
        <v>568394</v>
      </c>
      <c r="U133" s="5">
        <f>VLOOKUP($B133,'251012_0시'!$A$1:$M$200,5,FALSE)</f>
        <v>450</v>
      </c>
      <c r="V133" s="5">
        <f t="shared" ref="V133:V164" si="130">T133-O133</f>
        <v>134222</v>
      </c>
      <c r="W133" s="5">
        <f t="shared" ref="W133:W164" si="131">V133-Q133</f>
        <v>65210</v>
      </c>
      <c r="X133" s="5">
        <f t="shared" ref="X133:X164" si="132">U133-P133</f>
        <v>450</v>
      </c>
      <c r="Y133" s="5">
        <f>VLOOKUP($B133,'251013_0시'!$A$1:$M$200,4,FALSE)</f>
        <v>648359</v>
      </c>
      <c r="Z133" s="5">
        <f>VLOOKUP($B133,'251013_0시'!$A$1:$M$200,5,FALSE)</f>
        <v>450</v>
      </c>
      <c r="AA133" s="5">
        <f t="shared" ref="AA133:AA164" si="133">Y133-T133</f>
        <v>79965</v>
      </c>
      <c r="AB133" s="5">
        <f t="shared" ref="AB133:AB164" si="134">AA133-V133</f>
        <v>-54257</v>
      </c>
      <c r="AC133" s="5">
        <f t="shared" ref="AC133:AC164" si="135">Z133-U133</f>
        <v>0</v>
      </c>
      <c r="AD133" s="5">
        <f>VLOOKUP($B133,'251013_0시'!$A$1:$M$200,4,FALSE)</f>
        <v>648359</v>
      </c>
      <c r="AF133" s="5" t="s">
        <v>871</v>
      </c>
      <c r="AG133" s="5">
        <f>VLOOKUP($AF133,'251013'!$A$1:$M$200,4,FALSE)</f>
        <v>79771</v>
      </c>
      <c r="AH133" s="5">
        <f>VLOOKUP($AF133,'251013'!$A$1:$M$200,5,FALSE)</f>
        <v>1012</v>
      </c>
      <c r="AI133" s="5">
        <f>VLOOKUP($AF133,'251014'!$A$1:$M$200,4,FALSE)</f>
        <v>174437</v>
      </c>
      <c r="AJ133" s="5">
        <f>VLOOKUP($AF133,'251014'!$A$1:$M$200,5,FALSE)</f>
        <v>2412</v>
      </c>
      <c r="AK133" s="5">
        <f t="shared" si="106"/>
        <v>94666</v>
      </c>
      <c r="AL133" s="5">
        <f t="shared" si="107"/>
        <v>14895</v>
      </c>
      <c r="AM133" s="5">
        <f t="shared" si="108"/>
        <v>1400</v>
      </c>
      <c r="AN133" s="5">
        <f>VLOOKUP($AF133,'251015'!$A$1:$M$200,4,FALSE)</f>
        <v>243941</v>
      </c>
      <c r="AO133" s="5">
        <f>VLOOKUP($AF133,'251015'!$A$1:$M$200,5,FALSE)</f>
        <v>2412</v>
      </c>
      <c r="AP133" s="5">
        <f t="shared" si="109"/>
        <v>69504</v>
      </c>
      <c r="AQ133" s="5">
        <f t="shared" si="110"/>
        <v>-25162</v>
      </c>
      <c r="AR133" s="5">
        <f t="shared" si="111"/>
        <v>0</v>
      </c>
      <c r="AS133" s="5">
        <f>VLOOKUP($AF133,'251016'!$A$1:$M$200,4,FALSE)</f>
        <v>339248</v>
      </c>
      <c r="AT133" s="5">
        <f>VLOOKUP($AF133,'251016'!$A$1:$M$200,5,FALSE)</f>
        <v>2412</v>
      </c>
      <c r="AU133" s="5">
        <f t="shared" si="112"/>
        <v>95307</v>
      </c>
      <c r="AV133" s="5">
        <f t="shared" si="113"/>
        <v>25803</v>
      </c>
      <c r="AW133" s="5">
        <f t="shared" si="114"/>
        <v>0</v>
      </c>
      <c r="AX133" s="5">
        <f>VLOOKUP($AF133,'251017'!$A$1:$M$200,4,FALSE)</f>
        <v>492959</v>
      </c>
      <c r="AY133" s="5">
        <f>VLOOKUP($AF133,'251017'!$A$1:$M$200,5,FALSE)</f>
        <v>2412</v>
      </c>
      <c r="AZ133" s="5">
        <f t="shared" si="115"/>
        <v>153711</v>
      </c>
      <c r="BA133" s="5">
        <f t="shared" si="116"/>
        <v>58404</v>
      </c>
      <c r="BB133" s="5">
        <f t="shared" si="117"/>
        <v>0</v>
      </c>
      <c r="BC133" s="5">
        <f>VLOOKUP($AF133,'251018'!$A$1:$M$200,4,FALSE)</f>
        <v>587407</v>
      </c>
      <c r="BD133" s="5">
        <f>VLOOKUP($AF133,'251018'!$A$1:$M$200,5,FALSE)</f>
        <v>2412</v>
      </c>
      <c r="BE133" s="5">
        <f t="shared" si="118"/>
        <v>94448</v>
      </c>
      <c r="BF133" s="5">
        <f t="shared" si="119"/>
        <v>-59263</v>
      </c>
      <c r="BG133" s="5">
        <f t="shared" si="120"/>
        <v>0</v>
      </c>
      <c r="BH133" s="5">
        <f>VLOOKUP($AF133,'251018'!$A$1:$M$200,4,FALSE)</f>
        <v>587407</v>
      </c>
    </row>
    <row r="134" spans="2:60" x14ac:dyDescent="0.3">
      <c r="B134" s="5" t="s">
        <v>848</v>
      </c>
      <c r="C134" s="5">
        <f>VLOOKUP($B134,'251008_0시'!$A$1:$M$200,4,FALSE)</f>
        <v>97709</v>
      </c>
      <c r="D134" s="5">
        <f>VLOOKUP($B134,'251008_0시'!$A$1:$M$200,5,FALSE)</f>
        <v>500</v>
      </c>
      <c r="E134" s="5">
        <f>VLOOKUP($B134,'251009_0시'!$A$1:$M$200,4,FALSE)</f>
        <v>245385</v>
      </c>
      <c r="F134" s="5">
        <f>VLOOKUP($B134,'251009_0시'!$A$1:$M$200,5,FALSE)</f>
        <v>3050</v>
      </c>
      <c r="G134" s="5">
        <f t="shared" si="121"/>
        <v>147676</v>
      </c>
      <c r="H134" s="5">
        <f t="shared" si="122"/>
        <v>98821.5</v>
      </c>
      <c r="I134" s="5">
        <f t="shared" si="123"/>
        <v>2550</v>
      </c>
      <c r="J134" s="5">
        <f>VLOOKUP($B134,'251010_0시'!$A$1:$M$200,4,FALSE)</f>
        <v>352701</v>
      </c>
      <c r="K134" s="5">
        <f>VLOOKUP($B134,'251010_0시'!$A$1:$M$200,5,FALSE)</f>
        <v>3250</v>
      </c>
      <c r="L134" s="5">
        <f t="shared" si="124"/>
        <v>107316</v>
      </c>
      <c r="M134" s="5">
        <f t="shared" si="125"/>
        <v>-40360</v>
      </c>
      <c r="N134" s="5">
        <f t="shared" si="126"/>
        <v>200</v>
      </c>
      <c r="O134" s="5">
        <f>VLOOKUP($B134,'251011_0시'!$A$1:$M$200,4,FALSE)</f>
        <v>440214</v>
      </c>
      <c r="P134" s="5">
        <f>VLOOKUP($B134,'251011_0시'!$A$1:$M$200,5,FALSE)</f>
        <v>3250</v>
      </c>
      <c r="Q134" s="5">
        <f t="shared" si="127"/>
        <v>87513</v>
      </c>
      <c r="R134" s="5">
        <f t="shared" si="128"/>
        <v>-19803</v>
      </c>
      <c r="S134" s="5">
        <f t="shared" si="129"/>
        <v>0</v>
      </c>
      <c r="T134" s="5">
        <f>VLOOKUP($B134,'251012_0시'!$A$1:$M$200,4,FALSE)</f>
        <v>535640</v>
      </c>
      <c r="U134" s="5">
        <f>VLOOKUP($B134,'251012_0시'!$A$1:$M$200,5,FALSE)</f>
        <v>9581</v>
      </c>
      <c r="V134" s="5">
        <f t="shared" si="130"/>
        <v>95426</v>
      </c>
      <c r="W134" s="5">
        <f t="shared" si="131"/>
        <v>7913</v>
      </c>
      <c r="X134" s="5">
        <f t="shared" si="132"/>
        <v>6331</v>
      </c>
      <c r="Y134" s="5">
        <f>VLOOKUP($B134,'251013_0시'!$A$1:$M$200,4,FALSE)</f>
        <v>640536</v>
      </c>
      <c r="Z134" s="5">
        <f>VLOOKUP($B134,'251013_0시'!$A$1:$M$200,5,FALSE)</f>
        <v>14933</v>
      </c>
      <c r="AA134" s="5">
        <f t="shared" si="133"/>
        <v>104896</v>
      </c>
      <c r="AB134" s="5">
        <f t="shared" si="134"/>
        <v>9470</v>
      </c>
      <c r="AC134" s="5">
        <f t="shared" si="135"/>
        <v>5352</v>
      </c>
      <c r="AD134" s="5">
        <f>VLOOKUP($B134,'251013_0시'!$A$1:$M$200,4,FALSE)</f>
        <v>640536</v>
      </c>
      <c r="AF134" s="5" t="s">
        <v>846</v>
      </c>
      <c r="AG134" s="5">
        <f>VLOOKUP($AF134,'251013'!$A$1:$M$200,4,FALSE)</f>
        <v>94193</v>
      </c>
      <c r="AH134" s="5">
        <f>VLOOKUP($AF134,'251013'!$A$1:$M$200,5,FALSE)</f>
        <v>3150</v>
      </c>
      <c r="AI134" s="5">
        <f>VLOOKUP($AF134,'251014'!$A$1:$M$200,4,FALSE)</f>
        <v>162209</v>
      </c>
      <c r="AJ134" s="5">
        <f>VLOOKUP($AF134,'251014'!$A$1:$M$200,5,FALSE)</f>
        <v>8100</v>
      </c>
      <c r="AK134" s="5">
        <f t="shared" ref="AK134:AK165" si="136">AI134-AG134</f>
        <v>68016</v>
      </c>
      <c r="AL134" s="5">
        <f t="shared" ref="AL134:AL165" si="137">AK134-AG134</f>
        <v>-26177</v>
      </c>
      <c r="AM134" s="5">
        <f t="shared" ref="AM134:AM165" si="138">AJ134-AH134</f>
        <v>4950</v>
      </c>
      <c r="AN134" s="5">
        <f>VLOOKUP($AF134,'251015'!$A$1:$M$200,4,FALSE)</f>
        <v>265494</v>
      </c>
      <c r="AO134" s="5">
        <f>VLOOKUP($AF134,'251015'!$A$1:$M$200,5,FALSE)</f>
        <v>11250</v>
      </c>
      <c r="AP134" s="5">
        <f t="shared" ref="AP134:AP165" si="139">AN134-AI134</f>
        <v>103285</v>
      </c>
      <c r="AQ134" s="5">
        <f t="shared" ref="AQ134:AQ165" si="140">AP134-AK134</f>
        <v>35269</v>
      </c>
      <c r="AR134" s="5">
        <f t="shared" ref="AR134:AR165" si="141">AO134-AJ134</f>
        <v>3150</v>
      </c>
      <c r="AS134" s="5">
        <f>VLOOKUP($AF134,'251016'!$A$1:$M$200,4,FALSE)</f>
        <v>365161</v>
      </c>
      <c r="AT134" s="5">
        <f>VLOOKUP($AF134,'251016'!$A$1:$M$200,5,FALSE)</f>
        <v>13500</v>
      </c>
      <c r="AU134" s="5">
        <f t="shared" ref="AU134:AU165" si="142">AS134-AN134</f>
        <v>99667</v>
      </c>
      <c r="AV134" s="5">
        <f t="shared" ref="AV134:AV165" si="143">AU134-AP134</f>
        <v>-3618</v>
      </c>
      <c r="AW134" s="5">
        <f t="shared" ref="AW134:AW165" si="144">AT134-AO134</f>
        <v>2250</v>
      </c>
      <c r="AX134" s="5">
        <f>VLOOKUP($AF134,'251017'!$A$1:$M$200,4,FALSE)</f>
        <v>473637</v>
      </c>
      <c r="AY134" s="5">
        <f>VLOOKUP($AF134,'251017'!$A$1:$M$200,5,FALSE)</f>
        <v>14850</v>
      </c>
      <c r="AZ134" s="5">
        <f t="shared" ref="AZ134:AZ165" si="145">AX134-AS134</f>
        <v>108476</v>
      </c>
      <c r="BA134" s="5">
        <f t="shared" ref="BA134:BA165" si="146">AZ134-AU134</f>
        <v>8809</v>
      </c>
      <c r="BB134" s="5">
        <f t="shared" ref="BB134:BB165" si="147">AY134-AT134</f>
        <v>1350</v>
      </c>
      <c r="BC134" s="5">
        <f>VLOOKUP($AF134,'251018'!$A$1:$M$200,4,FALSE)</f>
        <v>585202</v>
      </c>
      <c r="BD134" s="5">
        <f>VLOOKUP($AF134,'251018'!$A$1:$M$200,5,FALSE)</f>
        <v>15750</v>
      </c>
      <c r="BE134" s="5">
        <f t="shared" ref="BE134:BE165" si="148">BC134-AX134</f>
        <v>111565</v>
      </c>
      <c r="BF134" s="5">
        <f t="shared" ref="BF134:BF165" si="149">BE134-AZ134</f>
        <v>3089</v>
      </c>
      <c r="BG134" s="5">
        <f t="shared" ref="BG134:BG165" si="150">BD134-AY134</f>
        <v>900</v>
      </c>
      <c r="BH134" s="5">
        <f>VLOOKUP($AF134,'251018'!$A$1:$M$200,4,FALSE)</f>
        <v>585202</v>
      </c>
    </row>
    <row r="135" spans="2:60" x14ac:dyDescent="0.3">
      <c r="B135" s="5" t="s">
        <v>971</v>
      </c>
      <c r="C135" s="5">
        <f>VLOOKUP($B135,'251008_0시'!$A$1:$M$200,4,FALSE)</f>
        <v>118063</v>
      </c>
      <c r="D135" s="5">
        <f>VLOOKUP($B135,'251008_0시'!$A$1:$M$200,5,FALSE)</f>
        <v>0</v>
      </c>
      <c r="E135" s="5">
        <f>VLOOKUP($B135,'251009_0시'!$A$1:$M$200,4,FALSE)</f>
        <v>202858</v>
      </c>
      <c r="F135" s="5">
        <f>VLOOKUP($B135,'251009_0시'!$A$1:$M$200,5,FALSE)</f>
        <v>0</v>
      </c>
      <c r="G135" s="5">
        <f t="shared" si="121"/>
        <v>84795</v>
      </c>
      <c r="H135" s="5">
        <f t="shared" si="122"/>
        <v>25763.5</v>
      </c>
      <c r="I135" s="5">
        <f t="shared" si="123"/>
        <v>0</v>
      </c>
      <c r="J135" s="5">
        <f>VLOOKUP($B135,'251010_0시'!$A$1:$M$200,4,FALSE)</f>
        <v>315065</v>
      </c>
      <c r="K135" s="5">
        <f>VLOOKUP($B135,'251010_0시'!$A$1:$M$200,5,FALSE)</f>
        <v>0</v>
      </c>
      <c r="L135" s="5">
        <f t="shared" si="124"/>
        <v>112207</v>
      </c>
      <c r="M135" s="5">
        <f t="shared" si="125"/>
        <v>27412</v>
      </c>
      <c r="N135" s="5">
        <f t="shared" si="126"/>
        <v>0</v>
      </c>
      <c r="O135" s="5">
        <f>VLOOKUP($B135,'251011_0시'!$A$1:$M$200,4,FALSE)</f>
        <v>435554</v>
      </c>
      <c r="P135" s="5">
        <f>VLOOKUP($B135,'251011_0시'!$A$1:$M$200,5,FALSE)</f>
        <v>350</v>
      </c>
      <c r="Q135" s="5">
        <f t="shared" si="127"/>
        <v>120489</v>
      </c>
      <c r="R135" s="5">
        <f t="shared" si="128"/>
        <v>8282</v>
      </c>
      <c r="S135" s="5">
        <f t="shared" si="129"/>
        <v>350</v>
      </c>
      <c r="T135" s="5">
        <f>VLOOKUP($B135,'251012_0시'!$A$1:$M$200,4,FALSE)</f>
        <v>523291</v>
      </c>
      <c r="U135" s="5">
        <f>VLOOKUP($B135,'251012_0시'!$A$1:$M$200,5,FALSE)</f>
        <v>400</v>
      </c>
      <c r="V135" s="5">
        <f t="shared" si="130"/>
        <v>87737</v>
      </c>
      <c r="W135" s="5">
        <f t="shared" si="131"/>
        <v>-32752</v>
      </c>
      <c r="X135" s="5">
        <f t="shared" si="132"/>
        <v>50</v>
      </c>
      <c r="Y135" s="5">
        <f>VLOOKUP($B135,'251013_0시'!$A$1:$M$200,4,FALSE)</f>
        <v>635613</v>
      </c>
      <c r="Z135" s="5">
        <f>VLOOKUP($B135,'251013_0시'!$A$1:$M$200,5,FALSE)</f>
        <v>400</v>
      </c>
      <c r="AA135" s="5">
        <f t="shared" si="133"/>
        <v>112322</v>
      </c>
      <c r="AB135" s="5">
        <f t="shared" si="134"/>
        <v>24585</v>
      </c>
      <c r="AC135" s="5">
        <f t="shared" si="135"/>
        <v>0</v>
      </c>
      <c r="AD135" s="5">
        <f>VLOOKUP($B135,'251013_0시'!$A$1:$M$200,4,FALSE)</f>
        <v>635613</v>
      </c>
      <c r="AF135" s="5" t="s">
        <v>862</v>
      </c>
      <c r="AG135" s="5">
        <f>VLOOKUP($AF135,'251013'!$A$1:$M$200,4,FALSE)</f>
        <v>63716</v>
      </c>
      <c r="AH135" s="5">
        <f>VLOOKUP($AF135,'251013'!$A$1:$M$200,5,FALSE)</f>
        <v>96</v>
      </c>
      <c r="AI135" s="5">
        <f>VLOOKUP($AF135,'251014'!$A$1:$M$200,4,FALSE)</f>
        <v>154739</v>
      </c>
      <c r="AJ135" s="5">
        <f>VLOOKUP($AF135,'251014'!$A$1:$M$200,5,FALSE)</f>
        <v>96</v>
      </c>
      <c r="AK135" s="5">
        <f t="shared" si="136"/>
        <v>91023</v>
      </c>
      <c r="AL135" s="5">
        <f t="shared" si="137"/>
        <v>27307</v>
      </c>
      <c r="AM135" s="5">
        <f t="shared" si="138"/>
        <v>0</v>
      </c>
      <c r="AN135" s="5">
        <f>VLOOKUP($AF135,'251015'!$A$1:$M$200,4,FALSE)</f>
        <v>265060</v>
      </c>
      <c r="AO135" s="5">
        <f>VLOOKUP($AF135,'251015'!$A$1:$M$200,5,FALSE)</f>
        <v>96</v>
      </c>
      <c r="AP135" s="5">
        <f t="shared" si="139"/>
        <v>110321</v>
      </c>
      <c r="AQ135" s="5">
        <f t="shared" si="140"/>
        <v>19298</v>
      </c>
      <c r="AR135" s="5">
        <f t="shared" si="141"/>
        <v>0</v>
      </c>
      <c r="AS135" s="5">
        <f>VLOOKUP($AF135,'251016'!$A$1:$M$200,4,FALSE)</f>
        <v>336172</v>
      </c>
      <c r="AT135" s="5">
        <f>VLOOKUP($AF135,'251016'!$A$1:$M$200,5,FALSE)</f>
        <v>96</v>
      </c>
      <c r="AU135" s="5">
        <f t="shared" si="142"/>
        <v>71112</v>
      </c>
      <c r="AV135" s="5">
        <f t="shared" si="143"/>
        <v>-39209</v>
      </c>
      <c r="AW135" s="5">
        <f t="shared" si="144"/>
        <v>0</v>
      </c>
      <c r="AX135" s="5">
        <f>VLOOKUP($AF135,'251017'!$A$1:$M$200,4,FALSE)</f>
        <v>440756</v>
      </c>
      <c r="AY135" s="5">
        <f>VLOOKUP($AF135,'251017'!$A$1:$M$200,5,FALSE)</f>
        <v>183</v>
      </c>
      <c r="AZ135" s="5">
        <f t="shared" si="145"/>
        <v>104584</v>
      </c>
      <c r="BA135" s="5">
        <f t="shared" si="146"/>
        <v>33472</v>
      </c>
      <c r="BB135" s="5">
        <f t="shared" si="147"/>
        <v>87</v>
      </c>
      <c r="BC135" s="5">
        <f>VLOOKUP($AF135,'251018'!$A$1:$M$200,4,FALSE)</f>
        <v>584553</v>
      </c>
      <c r="BD135" s="5">
        <f>VLOOKUP($AF135,'251018'!$A$1:$M$200,5,FALSE)</f>
        <v>183</v>
      </c>
      <c r="BE135" s="5">
        <f t="shared" si="148"/>
        <v>143797</v>
      </c>
      <c r="BF135" s="5">
        <f t="shared" si="149"/>
        <v>39213</v>
      </c>
      <c r="BG135" s="5">
        <f t="shared" si="150"/>
        <v>0</v>
      </c>
      <c r="BH135" s="5">
        <f>VLOOKUP($AF135,'251018'!$A$1:$M$200,4,FALSE)</f>
        <v>584553</v>
      </c>
    </row>
    <row r="136" spans="2:60" x14ac:dyDescent="0.3">
      <c r="B136" s="5" t="s">
        <v>859</v>
      </c>
      <c r="C136" s="5">
        <f>VLOOKUP($B136,'251008_0시'!$A$1:$M$200,4,FALSE)</f>
        <v>144624</v>
      </c>
      <c r="D136" s="5">
        <f>VLOOKUP($B136,'251008_0시'!$A$1:$M$200,5,FALSE)</f>
        <v>371</v>
      </c>
      <c r="E136" s="5">
        <f>VLOOKUP($B136,'251009_0시'!$A$1:$M$200,4,FALSE)</f>
        <v>236307</v>
      </c>
      <c r="F136" s="5">
        <f>VLOOKUP($B136,'251009_0시'!$A$1:$M$200,5,FALSE)</f>
        <v>771</v>
      </c>
      <c r="G136" s="5">
        <f t="shared" si="121"/>
        <v>91683</v>
      </c>
      <c r="H136" s="5">
        <f t="shared" si="122"/>
        <v>19371</v>
      </c>
      <c r="I136" s="5">
        <f t="shared" si="123"/>
        <v>400</v>
      </c>
      <c r="J136" s="5">
        <f>VLOOKUP($B136,'251010_0시'!$A$1:$M$200,4,FALSE)</f>
        <v>335768</v>
      </c>
      <c r="K136" s="5">
        <f>VLOOKUP($B136,'251010_0시'!$A$1:$M$200,5,FALSE)</f>
        <v>771</v>
      </c>
      <c r="L136" s="5">
        <f t="shared" si="124"/>
        <v>99461</v>
      </c>
      <c r="M136" s="5">
        <f t="shared" si="125"/>
        <v>7778</v>
      </c>
      <c r="N136" s="5">
        <f t="shared" si="126"/>
        <v>0</v>
      </c>
      <c r="O136" s="5">
        <f>VLOOKUP($B136,'251011_0시'!$A$1:$M$200,4,FALSE)</f>
        <v>412367</v>
      </c>
      <c r="P136" s="5">
        <f>VLOOKUP($B136,'251011_0시'!$A$1:$M$200,5,FALSE)</f>
        <v>771</v>
      </c>
      <c r="Q136" s="5">
        <f t="shared" si="127"/>
        <v>76599</v>
      </c>
      <c r="R136" s="5">
        <f t="shared" si="128"/>
        <v>-22862</v>
      </c>
      <c r="S136" s="5">
        <f t="shared" si="129"/>
        <v>0</v>
      </c>
      <c r="T136" s="5">
        <f>VLOOKUP($B136,'251012_0시'!$A$1:$M$200,4,FALSE)</f>
        <v>531151</v>
      </c>
      <c r="U136" s="5">
        <f>VLOOKUP($B136,'251012_0시'!$A$1:$M$200,5,FALSE)</f>
        <v>771</v>
      </c>
      <c r="V136" s="5">
        <f t="shared" si="130"/>
        <v>118784</v>
      </c>
      <c r="W136" s="5">
        <f t="shared" si="131"/>
        <v>42185</v>
      </c>
      <c r="X136" s="5">
        <f t="shared" si="132"/>
        <v>0</v>
      </c>
      <c r="Y136" s="5">
        <f>VLOOKUP($B136,'251013_0시'!$A$1:$M$200,4,FALSE)</f>
        <v>632539</v>
      </c>
      <c r="Z136" s="5">
        <f>VLOOKUP($B136,'251013_0시'!$A$1:$M$200,5,FALSE)</f>
        <v>9584</v>
      </c>
      <c r="AA136" s="5">
        <f t="shared" si="133"/>
        <v>101388</v>
      </c>
      <c r="AB136" s="5">
        <f t="shared" si="134"/>
        <v>-17396</v>
      </c>
      <c r="AC136" s="5">
        <f t="shared" si="135"/>
        <v>8813</v>
      </c>
      <c r="AD136" s="5">
        <f>VLOOKUP($B136,'251013_0시'!$A$1:$M$200,4,FALSE)</f>
        <v>632539</v>
      </c>
      <c r="AF136" s="5" t="s">
        <v>857</v>
      </c>
      <c r="AG136" s="5">
        <f>VLOOKUP($AF136,'251013'!$A$1:$M$200,4,FALSE)</f>
        <v>95941</v>
      </c>
      <c r="AH136" s="5">
        <f>VLOOKUP($AF136,'251013'!$A$1:$M$200,5,FALSE)</f>
        <v>0</v>
      </c>
      <c r="AI136" s="5">
        <f>VLOOKUP($AF136,'251014'!$A$1:$M$200,4,FALSE)</f>
        <v>197997</v>
      </c>
      <c r="AJ136" s="5">
        <f>VLOOKUP($AF136,'251014'!$A$1:$M$200,5,FALSE)</f>
        <v>0</v>
      </c>
      <c r="AK136" s="5">
        <f t="shared" si="136"/>
        <v>102056</v>
      </c>
      <c r="AL136" s="5">
        <f t="shared" si="137"/>
        <v>6115</v>
      </c>
      <c r="AM136" s="5">
        <f t="shared" si="138"/>
        <v>0</v>
      </c>
      <c r="AN136" s="5">
        <f>VLOOKUP($AF136,'251015'!$A$1:$M$200,4,FALSE)</f>
        <v>285783</v>
      </c>
      <c r="AO136" s="5">
        <f>VLOOKUP($AF136,'251015'!$A$1:$M$200,5,FALSE)</f>
        <v>0</v>
      </c>
      <c r="AP136" s="5">
        <f t="shared" si="139"/>
        <v>87786</v>
      </c>
      <c r="AQ136" s="5">
        <f t="shared" si="140"/>
        <v>-14270</v>
      </c>
      <c r="AR136" s="5">
        <f t="shared" si="141"/>
        <v>0</v>
      </c>
      <c r="AS136" s="5">
        <f>VLOOKUP($AF136,'251016'!$A$1:$M$200,4,FALSE)</f>
        <v>328125</v>
      </c>
      <c r="AT136" s="5">
        <f>VLOOKUP($AF136,'251016'!$A$1:$M$200,5,FALSE)</f>
        <v>0</v>
      </c>
      <c r="AU136" s="5">
        <f t="shared" si="142"/>
        <v>42342</v>
      </c>
      <c r="AV136" s="5">
        <f t="shared" si="143"/>
        <v>-45444</v>
      </c>
      <c r="AW136" s="5">
        <f t="shared" si="144"/>
        <v>0</v>
      </c>
      <c r="AX136" s="5">
        <f>VLOOKUP($AF136,'251017'!$A$1:$M$200,4,FALSE)</f>
        <v>437007</v>
      </c>
      <c r="AY136" s="5">
        <f>VLOOKUP($AF136,'251017'!$A$1:$M$200,5,FALSE)</f>
        <v>0</v>
      </c>
      <c r="AZ136" s="5">
        <f t="shared" si="145"/>
        <v>108882</v>
      </c>
      <c r="BA136" s="5">
        <f t="shared" si="146"/>
        <v>66540</v>
      </c>
      <c r="BB136" s="5">
        <f t="shared" si="147"/>
        <v>0</v>
      </c>
      <c r="BC136" s="5">
        <f>VLOOKUP($AF136,'251018'!$A$1:$M$200,4,FALSE)</f>
        <v>583627</v>
      </c>
      <c r="BD136" s="5">
        <f>VLOOKUP($AF136,'251018'!$A$1:$M$200,5,FALSE)</f>
        <v>0</v>
      </c>
      <c r="BE136" s="5">
        <f t="shared" si="148"/>
        <v>146620</v>
      </c>
      <c r="BF136" s="5">
        <f t="shared" si="149"/>
        <v>37738</v>
      </c>
      <c r="BG136" s="5">
        <f t="shared" si="150"/>
        <v>0</v>
      </c>
      <c r="BH136" s="5">
        <f>VLOOKUP($AF136,'251018'!$A$1:$M$200,4,FALSE)</f>
        <v>583627</v>
      </c>
    </row>
    <row r="137" spans="2:60" x14ac:dyDescent="0.3">
      <c r="B137" s="5" t="s">
        <v>840</v>
      </c>
      <c r="C137" s="5">
        <f>VLOOKUP($B137,'251008_0시'!$A$1:$M$200,4,FALSE)</f>
        <v>145906</v>
      </c>
      <c r="D137" s="5">
        <f>VLOOKUP($B137,'251008_0시'!$A$1:$M$200,5,FALSE)</f>
        <v>0</v>
      </c>
      <c r="E137" s="5">
        <f>VLOOKUP($B137,'251009_0시'!$A$1:$M$200,4,FALSE)</f>
        <v>269712</v>
      </c>
      <c r="F137" s="5">
        <f>VLOOKUP($B137,'251009_0시'!$A$1:$M$200,5,FALSE)</f>
        <v>0</v>
      </c>
      <c r="G137" s="5">
        <f t="shared" si="121"/>
        <v>123806</v>
      </c>
      <c r="H137" s="5">
        <f t="shared" si="122"/>
        <v>50853</v>
      </c>
      <c r="I137" s="5">
        <f t="shared" si="123"/>
        <v>0</v>
      </c>
      <c r="J137" s="5">
        <f>VLOOKUP($B137,'251010_0시'!$A$1:$M$200,4,FALSE)</f>
        <v>372714</v>
      </c>
      <c r="K137" s="5">
        <f>VLOOKUP($B137,'251010_0시'!$A$1:$M$200,5,FALSE)</f>
        <v>404</v>
      </c>
      <c r="L137" s="5">
        <f t="shared" si="124"/>
        <v>103002</v>
      </c>
      <c r="M137" s="5">
        <f t="shared" si="125"/>
        <v>-20804</v>
      </c>
      <c r="N137" s="5">
        <f t="shared" si="126"/>
        <v>404</v>
      </c>
      <c r="O137" s="5">
        <f>VLOOKUP($B137,'251011_0시'!$A$1:$M$200,4,FALSE)</f>
        <v>466918</v>
      </c>
      <c r="P137" s="5">
        <f>VLOOKUP($B137,'251011_0시'!$A$1:$M$200,5,FALSE)</f>
        <v>404</v>
      </c>
      <c r="Q137" s="5">
        <f t="shared" si="127"/>
        <v>94204</v>
      </c>
      <c r="R137" s="5">
        <f t="shared" si="128"/>
        <v>-8798</v>
      </c>
      <c r="S137" s="5">
        <f t="shared" si="129"/>
        <v>0</v>
      </c>
      <c r="T137" s="5">
        <f>VLOOKUP($B137,'251012_0시'!$A$1:$M$200,4,FALSE)</f>
        <v>551465</v>
      </c>
      <c r="U137" s="5">
        <f>VLOOKUP($B137,'251012_0시'!$A$1:$M$200,5,FALSE)</f>
        <v>404</v>
      </c>
      <c r="V137" s="5">
        <f t="shared" si="130"/>
        <v>84547</v>
      </c>
      <c r="W137" s="5">
        <f t="shared" si="131"/>
        <v>-9657</v>
      </c>
      <c r="X137" s="5">
        <f t="shared" si="132"/>
        <v>0</v>
      </c>
      <c r="Y137" s="5">
        <f>VLOOKUP($B137,'251013_0시'!$A$1:$M$200,4,FALSE)</f>
        <v>632533</v>
      </c>
      <c r="Z137" s="5">
        <f>VLOOKUP($B137,'251013_0시'!$A$1:$M$200,5,FALSE)</f>
        <v>404</v>
      </c>
      <c r="AA137" s="5">
        <f t="shared" si="133"/>
        <v>81068</v>
      </c>
      <c r="AB137" s="5">
        <f t="shared" si="134"/>
        <v>-3479</v>
      </c>
      <c r="AC137" s="5">
        <f t="shared" si="135"/>
        <v>0</v>
      </c>
      <c r="AD137" s="5">
        <f>VLOOKUP($B137,'251013_0시'!$A$1:$M$200,4,FALSE)</f>
        <v>632533</v>
      </c>
      <c r="AF137" s="5" t="s">
        <v>855</v>
      </c>
      <c r="AG137" s="5">
        <f>VLOOKUP($AF137,'251013'!$A$1:$M$200,4,FALSE)</f>
        <v>98942</v>
      </c>
      <c r="AH137" s="5">
        <f>VLOOKUP($AF137,'251013'!$A$1:$M$200,5,FALSE)</f>
        <v>0</v>
      </c>
      <c r="AI137" s="5">
        <f>VLOOKUP($AF137,'251014'!$A$1:$M$200,4,FALSE)</f>
        <v>193110</v>
      </c>
      <c r="AJ137" s="5">
        <f>VLOOKUP($AF137,'251014'!$A$1:$M$200,5,FALSE)</f>
        <v>0</v>
      </c>
      <c r="AK137" s="5">
        <f t="shared" si="136"/>
        <v>94168</v>
      </c>
      <c r="AL137" s="5">
        <f t="shared" si="137"/>
        <v>-4774</v>
      </c>
      <c r="AM137" s="5">
        <f t="shared" si="138"/>
        <v>0</v>
      </c>
      <c r="AN137" s="5">
        <f>VLOOKUP($AF137,'251015'!$A$1:$M$200,4,FALSE)</f>
        <v>290067</v>
      </c>
      <c r="AO137" s="5">
        <f>VLOOKUP($AF137,'251015'!$A$1:$M$200,5,FALSE)</f>
        <v>50</v>
      </c>
      <c r="AP137" s="5">
        <f t="shared" si="139"/>
        <v>96957</v>
      </c>
      <c r="AQ137" s="5">
        <f t="shared" si="140"/>
        <v>2789</v>
      </c>
      <c r="AR137" s="5">
        <f t="shared" si="141"/>
        <v>50</v>
      </c>
      <c r="AS137" s="5">
        <f>VLOOKUP($AF137,'251016'!$A$1:$M$200,4,FALSE)</f>
        <v>361714</v>
      </c>
      <c r="AT137" s="5">
        <f>VLOOKUP($AF137,'251016'!$A$1:$M$200,5,FALSE)</f>
        <v>50</v>
      </c>
      <c r="AU137" s="5">
        <f t="shared" si="142"/>
        <v>71647</v>
      </c>
      <c r="AV137" s="5">
        <f t="shared" si="143"/>
        <v>-25310</v>
      </c>
      <c r="AW137" s="5">
        <f t="shared" si="144"/>
        <v>0</v>
      </c>
      <c r="AX137" s="5">
        <f>VLOOKUP($AF137,'251017'!$A$1:$M$200,4,FALSE)</f>
        <v>483328</v>
      </c>
      <c r="AY137" s="5">
        <f>VLOOKUP($AF137,'251017'!$A$1:$M$200,5,FALSE)</f>
        <v>50</v>
      </c>
      <c r="AZ137" s="5">
        <f t="shared" si="145"/>
        <v>121614</v>
      </c>
      <c r="BA137" s="5">
        <f t="shared" si="146"/>
        <v>49967</v>
      </c>
      <c r="BB137" s="5">
        <f t="shared" si="147"/>
        <v>0</v>
      </c>
      <c r="BC137" s="5">
        <f>VLOOKUP($AF137,'251018'!$A$1:$M$200,4,FALSE)</f>
        <v>582626</v>
      </c>
      <c r="BD137" s="5">
        <f>VLOOKUP($AF137,'251018'!$A$1:$M$200,5,FALSE)</f>
        <v>50</v>
      </c>
      <c r="BE137" s="5">
        <f t="shared" si="148"/>
        <v>99298</v>
      </c>
      <c r="BF137" s="5">
        <f t="shared" si="149"/>
        <v>-22316</v>
      </c>
      <c r="BG137" s="5">
        <f t="shared" si="150"/>
        <v>0</v>
      </c>
      <c r="BH137" s="5">
        <f>VLOOKUP($AF137,'251018'!$A$1:$M$200,4,FALSE)</f>
        <v>582626</v>
      </c>
    </row>
    <row r="138" spans="2:60" x14ac:dyDescent="0.3">
      <c r="B138" s="5" t="s">
        <v>969</v>
      </c>
      <c r="C138" s="5">
        <f>VLOOKUP($B138,'251008_0시'!$A$1:$M$200,4,FALSE)</f>
        <v>144377</v>
      </c>
      <c r="D138" s="5">
        <f>VLOOKUP($B138,'251008_0시'!$A$1:$M$200,5,FALSE)</f>
        <v>0</v>
      </c>
      <c r="E138" s="5">
        <f>VLOOKUP($B138,'251009_0시'!$A$1:$M$200,4,FALSE)</f>
        <v>309537</v>
      </c>
      <c r="F138" s="5">
        <f>VLOOKUP($B138,'251009_0시'!$A$1:$M$200,5,FALSE)</f>
        <v>0</v>
      </c>
      <c r="G138" s="5">
        <f t="shared" si="121"/>
        <v>165160</v>
      </c>
      <c r="H138" s="5">
        <f t="shared" si="122"/>
        <v>92971.5</v>
      </c>
      <c r="I138" s="5">
        <f t="shared" si="123"/>
        <v>0</v>
      </c>
      <c r="J138" s="5">
        <f>VLOOKUP($B138,'251010_0시'!$A$1:$M$200,4,FALSE)</f>
        <v>386760</v>
      </c>
      <c r="K138" s="5">
        <f>VLOOKUP($B138,'251010_0시'!$A$1:$M$200,5,FALSE)</f>
        <v>0</v>
      </c>
      <c r="L138" s="5">
        <f t="shared" si="124"/>
        <v>77223</v>
      </c>
      <c r="M138" s="5">
        <f t="shared" si="125"/>
        <v>-87937</v>
      </c>
      <c r="N138" s="5">
        <f t="shared" si="126"/>
        <v>0</v>
      </c>
      <c r="O138" s="5">
        <f>VLOOKUP($B138,'251011_0시'!$A$1:$M$200,4,FALSE)</f>
        <v>437999</v>
      </c>
      <c r="P138" s="5">
        <f>VLOOKUP($B138,'251011_0시'!$A$1:$M$200,5,FALSE)</f>
        <v>0</v>
      </c>
      <c r="Q138" s="5">
        <f t="shared" si="127"/>
        <v>51239</v>
      </c>
      <c r="R138" s="5">
        <f t="shared" si="128"/>
        <v>-25984</v>
      </c>
      <c r="S138" s="5">
        <f t="shared" si="129"/>
        <v>0</v>
      </c>
      <c r="T138" s="5">
        <f>VLOOKUP($B138,'251012_0시'!$A$1:$M$200,4,FALSE)</f>
        <v>533481</v>
      </c>
      <c r="U138" s="5">
        <f>VLOOKUP($B138,'251012_0시'!$A$1:$M$200,5,FALSE)</f>
        <v>0</v>
      </c>
      <c r="V138" s="5">
        <f t="shared" si="130"/>
        <v>95482</v>
      </c>
      <c r="W138" s="5">
        <f t="shared" si="131"/>
        <v>44243</v>
      </c>
      <c r="X138" s="5">
        <f t="shared" si="132"/>
        <v>0</v>
      </c>
      <c r="Y138" s="5">
        <f>VLOOKUP($B138,'251013_0시'!$A$1:$M$200,4,FALSE)</f>
        <v>626327</v>
      </c>
      <c r="Z138" s="5">
        <f>VLOOKUP($B138,'251013_0시'!$A$1:$M$200,5,FALSE)</f>
        <v>0</v>
      </c>
      <c r="AA138" s="5">
        <f t="shared" si="133"/>
        <v>92846</v>
      </c>
      <c r="AB138" s="5">
        <f t="shared" si="134"/>
        <v>-2636</v>
      </c>
      <c r="AC138" s="5">
        <f t="shared" si="135"/>
        <v>0</v>
      </c>
      <c r="AD138" s="5">
        <f>VLOOKUP($B138,'251013_0시'!$A$1:$M$200,4,FALSE)</f>
        <v>626327</v>
      </c>
      <c r="AF138" s="5" t="s">
        <v>791</v>
      </c>
      <c r="AG138" s="5">
        <f>VLOOKUP($AF138,'251013'!$A$1:$M$200,4,FALSE)</f>
        <v>77053</v>
      </c>
      <c r="AH138" s="5">
        <f>VLOOKUP($AF138,'251013'!$A$1:$M$200,5,FALSE)</f>
        <v>0</v>
      </c>
      <c r="AI138" s="5">
        <f>VLOOKUP($AF138,'251014'!$A$1:$M$200,4,FALSE)</f>
        <v>144556</v>
      </c>
      <c r="AJ138" s="5">
        <f>VLOOKUP($AF138,'251014'!$A$1:$M$200,5,FALSE)</f>
        <v>0</v>
      </c>
      <c r="AK138" s="5">
        <f t="shared" si="136"/>
        <v>67503</v>
      </c>
      <c r="AL138" s="5">
        <f t="shared" si="137"/>
        <v>-9550</v>
      </c>
      <c r="AM138" s="5">
        <f t="shared" si="138"/>
        <v>0</v>
      </c>
      <c r="AN138" s="5">
        <f>VLOOKUP($AF138,'251015'!$A$1:$M$200,4,FALSE)</f>
        <v>286228</v>
      </c>
      <c r="AO138" s="5">
        <f>VLOOKUP($AF138,'251015'!$A$1:$M$200,5,FALSE)</f>
        <v>0</v>
      </c>
      <c r="AP138" s="5">
        <f t="shared" si="139"/>
        <v>141672</v>
      </c>
      <c r="AQ138" s="5">
        <f t="shared" si="140"/>
        <v>74169</v>
      </c>
      <c r="AR138" s="5">
        <f t="shared" si="141"/>
        <v>0</v>
      </c>
      <c r="AS138" s="5">
        <f>VLOOKUP($AF138,'251016'!$A$1:$M$200,4,FALSE)</f>
        <v>380754</v>
      </c>
      <c r="AT138" s="5">
        <f>VLOOKUP($AF138,'251016'!$A$1:$M$200,5,FALSE)</f>
        <v>0</v>
      </c>
      <c r="AU138" s="5">
        <f t="shared" si="142"/>
        <v>94526</v>
      </c>
      <c r="AV138" s="5">
        <f t="shared" si="143"/>
        <v>-47146</v>
      </c>
      <c r="AW138" s="5">
        <f t="shared" si="144"/>
        <v>0</v>
      </c>
      <c r="AX138" s="5">
        <f>VLOOKUP($AF138,'251017'!$A$1:$M$200,4,FALSE)</f>
        <v>462672</v>
      </c>
      <c r="AY138" s="5">
        <f>VLOOKUP($AF138,'251017'!$A$1:$M$200,5,FALSE)</f>
        <v>0</v>
      </c>
      <c r="AZ138" s="5">
        <f t="shared" si="145"/>
        <v>81918</v>
      </c>
      <c r="BA138" s="5">
        <f t="shared" si="146"/>
        <v>-12608</v>
      </c>
      <c r="BB138" s="5">
        <f t="shared" si="147"/>
        <v>0</v>
      </c>
      <c r="BC138" s="5">
        <f>VLOOKUP($AF138,'251018'!$A$1:$M$200,4,FALSE)</f>
        <v>578875</v>
      </c>
      <c r="BD138" s="5">
        <f>VLOOKUP($AF138,'251018'!$A$1:$M$200,5,FALSE)</f>
        <v>0</v>
      </c>
      <c r="BE138" s="5">
        <f t="shared" si="148"/>
        <v>116203</v>
      </c>
      <c r="BF138" s="5">
        <f t="shared" si="149"/>
        <v>34285</v>
      </c>
      <c r="BG138" s="5">
        <f t="shared" si="150"/>
        <v>0</v>
      </c>
      <c r="BH138" s="5">
        <f>VLOOKUP($AF138,'251018'!$A$1:$M$200,4,FALSE)</f>
        <v>578875</v>
      </c>
    </row>
    <row r="139" spans="2:60" x14ac:dyDescent="0.3">
      <c r="B139" s="5" t="s">
        <v>846</v>
      </c>
      <c r="C139" s="5">
        <f>VLOOKUP($B139,'251008_0시'!$A$1:$M$200,4,FALSE)</f>
        <v>177431</v>
      </c>
      <c r="D139" s="5">
        <f>VLOOKUP($B139,'251008_0시'!$A$1:$M$200,5,FALSE)</f>
        <v>7550</v>
      </c>
      <c r="E139" s="5">
        <f>VLOOKUP($B139,'251009_0시'!$A$1:$M$200,4,FALSE)</f>
        <v>293600</v>
      </c>
      <c r="F139" s="5">
        <f>VLOOKUP($B139,'251009_0시'!$A$1:$M$200,5,FALSE)</f>
        <v>12805</v>
      </c>
      <c r="G139" s="5">
        <f t="shared" si="121"/>
        <v>116169</v>
      </c>
      <c r="H139" s="5">
        <f t="shared" si="122"/>
        <v>27453.5</v>
      </c>
      <c r="I139" s="5">
        <f t="shared" si="123"/>
        <v>5255</v>
      </c>
      <c r="J139" s="5">
        <f>VLOOKUP($B139,'251010_0시'!$A$1:$M$200,4,FALSE)</f>
        <v>372905</v>
      </c>
      <c r="K139" s="5">
        <f>VLOOKUP($B139,'251010_0시'!$A$1:$M$200,5,FALSE)</f>
        <v>14605</v>
      </c>
      <c r="L139" s="5">
        <f t="shared" si="124"/>
        <v>79305</v>
      </c>
      <c r="M139" s="5">
        <f t="shared" si="125"/>
        <v>-36864</v>
      </c>
      <c r="N139" s="5">
        <f t="shared" si="126"/>
        <v>1800</v>
      </c>
      <c r="O139" s="5">
        <f>VLOOKUP($B139,'251011_0시'!$A$1:$M$200,4,FALSE)</f>
        <v>442336</v>
      </c>
      <c r="P139" s="5">
        <f>VLOOKUP($B139,'251011_0시'!$A$1:$M$200,5,FALSE)</f>
        <v>15505</v>
      </c>
      <c r="Q139" s="5">
        <f t="shared" si="127"/>
        <v>69431</v>
      </c>
      <c r="R139" s="5">
        <f t="shared" si="128"/>
        <v>-9874</v>
      </c>
      <c r="S139" s="5">
        <f t="shared" si="129"/>
        <v>900</v>
      </c>
      <c r="T139" s="5">
        <f>VLOOKUP($B139,'251012_0시'!$A$1:$M$200,4,FALSE)</f>
        <v>555043</v>
      </c>
      <c r="U139" s="5">
        <f>VLOOKUP($B139,'251012_0시'!$A$1:$M$200,5,FALSE)</f>
        <v>21097</v>
      </c>
      <c r="V139" s="5">
        <f t="shared" si="130"/>
        <v>112707</v>
      </c>
      <c r="W139" s="5">
        <f t="shared" si="131"/>
        <v>43276</v>
      </c>
      <c r="X139" s="5">
        <f t="shared" si="132"/>
        <v>5592</v>
      </c>
      <c r="Y139" s="5">
        <f>VLOOKUP($B139,'251013_0시'!$A$1:$M$200,4,FALSE)</f>
        <v>625439</v>
      </c>
      <c r="Z139" s="5">
        <f>VLOOKUP($B139,'251013_0시'!$A$1:$M$200,5,FALSE)</f>
        <v>22897</v>
      </c>
      <c r="AA139" s="5">
        <f t="shared" si="133"/>
        <v>70396</v>
      </c>
      <c r="AB139" s="5">
        <f t="shared" si="134"/>
        <v>-42311</v>
      </c>
      <c r="AC139" s="5">
        <f t="shared" si="135"/>
        <v>1800</v>
      </c>
      <c r="AD139" s="5">
        <f>VLOOKUP($B139,'251013_0시'!$A$1:$M$200,4,FALSE)</f>
        <v>625439</v>
      </c>
      <c r="AF139" s="5" t="s">
        <v>839</v>
      </c>
      <c r="AG139" s="5">
        <f>VLOOKUP($AF139,'251013'!$A$1:$M$200,4,FALSE)</f>
        <v>75954</v>
      </c>
      <c r="AH139" s="5">
        <f>VLOOKUP($AF139,'251013'!$A$1:$M$200,5,FALSE)</f>
        <v>3826</v>
      </c>
      <c r="AI139" s="5">
        <f>VLOOKUP($AF139,'251014'!$A$1:$M$200,4,FALSE)</f>
        <v>178026</v>
      </c>
      <c r="AJ139" s="5">
        <f>VLOOKUP($AF139,'251014'!$A$1:$M$200,5,FALSE)</f>
        <v>4676</v>
      </c>
      <c r="AK139" s="5">
        <f t="shared" si="136"/>
        <v>102072</v>
      </c>
      <c r="AL139" s="5">
        <f t="shared" si="137"/>
        <v>26118</v>
      </c>
      <c r="AM139" s="5">
        <f t="shared" si="138"/>
        <v>850</v>
      </c>
      <c r="AN139" s="5">
        <f>VLOOKUP($AF139,'251015'!$A$1:$M$200,4,FALSE)</f>
        <v>219954</v>
      </c>
      <c r="AO139" s="5">
        <f>VLOOKUP($AF139,'251015'!$A$1:$M$200,5,FALSE)</f>
        <v>4676</v>
      </c>
      <c r="AP139" s="5">
        <f t="shared" si="139"/>
        <v>41928</v>
      </c>
      <c r="AQ139" s="5">
        <f t="shared" si="140"/>
        <v>-60144</v>
      </c>
      <c r="AR139" s="5">
        <f t="shared" si="141"/>
        <v>0</v>
      </c>
      <c r="AS139" s="5">
        <f>VLOOKUP($AF139,'251016'!$A$1:$M$200,4,FALSE)</f>
        <v>327938</v>
      </c>
      <c r="AT139" s="5">
        <f>VLOOKUP($AF139,'251016'!$A$1:$M$200,5,FALSE)</f>
        <v>4676</v>
      </c>
      <c r="AU139" s="5">
        <f t="shared" si="142"/>
        <v>107984</v>
      </c>
      <c r="AV139" s="5">
        <f t="shared" si="143"/>
        <v>66056</v>
      </c>
      <c r="AW139" s="5">
        <f t="shared" si="144"/>
        <v>0</v>
      </c>
      <c r="AX139" s="5">
        <f>VLOOKUP($AF139,'251017'!$A$1:$M$200,4,FALSE)</f>
        <v>424368</v>
      </c>
      <c r="AY139" s="5">
        <f>VLOOKUP($AF139,'251017'!$A$1:$M$200,5,FALSE)</f>
        <v>4676</v>
      </c>
      <c r="AZ139" s="5">
        <f t="shared" si="145"/>
        <v>96430</v>
      </c>
      <c r="BA139" s="5">
        <f t="shared" si="146"/>
        <v>-11554</v>
      </c>
      <c r="BB139" s="5">
        <f t="shared" si="147"/>
        <v>0</v>
      </c>
      <c r="BC139" s="5">
        <f>VLOOKUP($AF139,'251018'!$A$1:$M$200,4,FALSE)</f>
        <v>549794</v>
      </c>
      <c r="BD139" s="5">
        <f>VLOOKUP($AF139,'251018'!$A$1:$M$200,5,FALSE)</f>
        <v>4876</v>
      </c>
      <c r="BE139" s="5">
        <f t="shared" si="148"/>
        <v>125426</v>
      </c>
      <c r="BF139" s="5">
        <f t="shared" si="149"/>
        <v>28996</v>
      </c>
      <c r="BG139" s="5">
        <f t="shared" si="150"/>
        <v>200</v>
      </c>
      <c r="BH139" s="5">
        <f>VLOOKUP($AF139,'251018'!$A$1:$M$200,4,FALSE)</f>
        <v>549794</v>
      </c>
    </row>
    <row r="140" spans="2:60" x14ac:dyDescent="0.3">
      <c r="B140" s="5" t="s">
        <v>791</v>
      </c>
      <c r="C140" s="5">
        <f>VLOOKUP($B140,'251008_0시'!$A$1:$M$200,4,FALSE)</f>
        <v>160793</v>
      </c>
      <c r="D140" s="5">
        <f>VLOOKUP($B140,'251008_0시'!$A$1:$M$200,5,FALSE)</f>
        <v>0</v>
      </c>
      <c r="E140" s="5">
        <f>VLOOKUP($B140,'251009_0시'!$A$1:$M$200,4,FALSE)</f>
        <v>286145</v>
      </c>
      <c r="F140" s="5">
        <f>VLOOKUP($B140,'251009_0시'!$A$1:$M$200,5,FALSE)</f>
        <v>0</v>
      </c>
      <c r="G140" s="5">
        <f t="shared" si="121"/>
        <v>125352</v>
      </c>
      <c r="H140" s="5">
        <f t="shared" si="122"/>
        <v>44955.5</v>
      </c>
      <c r="I140" s="5">
        <f t="shared" si="123"/>
        <v>0</v>
      </c>
      <c r="J140" s="5">
        <f>VLOOKUP($B140,'251010_0시'!$A$1:$M$200,4,FALSE)</f>
        <v>385135</v>
      </c>
      <c r="K140" s="5">
        <f>VLOOKUP($B140,'251010_0시'!$A$1:$M$200,5,FALSE)</f>
        <v>202</v>
      </c>
      <c r="L140" s="5">
        <f t="shared" si="124"/>
        <v>98990</v>
      </c>
      <c r="M140" s="5">
        <f t="shared" si="125"/>
        <v>-26362</v>
      </c>
      <c r="N140" s="5">
        <f t="shared" si="126"/>
        <v>202</v>
      </c>
      <c r="O140" s="5">
        <f>VLOOKUP($B140,'251011_0시'!$A$1:$M$200,4,FALSE)</f>
        <v>449234</v>
      </c>
      <c r="P140" s="5">
        <f>VLOOKUP($B140,'251011_0시'!$A$1:$M$200,5,FALSE)</f>
        <v>202</v>
      </c>
      <c r="Q140" s="5">
        <f t="shared" si="127"/>
        <v>64099</v>
      </c>
      <c r="R140" s="5">
        <f t="shared" si="128"/>
        <v>-34891</v>
      </c>
      <c r="S140" s="5">
        <f t="shared" si="129"/>
        <v>0</v>
      </c>
      <c r="T140" s="5">
        <f>VLOOKUP($B140,'251012_0시'!$A$1:$M$200,4,FALSE)</f>
        <v>494574</v>
      </c>
      <c r="U140" s="5">
        <f>VLOOKUP($B140,'251012_0시'!$A$1:$M$200,5,FALSE)</f>
        <v>202</v>
      </c>
      <c r="V140" s="5">
        <f t="shared" si="130"/>
        <v>45340</v>
      </c>
      <c r="W140" s="5">
        <f t="shared" si="131"/>
        <v>-18759</v>
      </c>
      <c r="X140" s="5">
        <f t="shared" si="132"/>
        <v>0</v>
      </c>
      <c r="Y140" s="5">
        <f>VLOOKUP($B140,'251013_0시'!$A$1:$M$200,4,FALSE)</f>
        <v>622385</v>
      </c>
      <c r="Z140" s="5">
        <f>VLOOKUP($B140,'251013_0시'!$A$1:$M$200,5,FALSE)</f>
        <v>202</v>
      </c>
      <c r="AA140" s="5">
        <f t="shared" si="133"/>
        <v>127811</v>
      </c>
      <c r="AB140" s="5">
        <f t="shared" si="134"/>
        <v>82471</v>
      </c>
      <c r="AC140" s="5">
        <f t="shared" si="135"/>
        <v>0</v>
      </c>
      <c r="AD140" s="5">
        <f>VLOOKUP($B140,'251013_0시'!$A$1:$M$200,4,FALSE)</f>
        <v>622385</v>
      </c>
      <c r="AF140" s="5" t="s">
        <v>821</v>
      </c>
      <c r="AG140" s="5">
        <f>VLOOKUP($AF140,'251013'!$A$1:$M$200,4,FALSE)</f>
        <v>70254</v>
      </c>
      <c r="AH140" s="5">
        <f>VLOOKUP($AF140,'251013'!$A$1:$M$200,5,FALSE)</f>
        <v>0</v>
      </c>
      <c r="AI140" s="5">
        <f>VLOOKUP($AF140,'251014'!$A$1:$M$200,4,FALSE)</f>
        <v>122862</v>
      </c>
      <c r="AJ140" s="5">
        <f>VLOOKUP($AF140,'251014'!$A$1:$M$200,5,FALSE)</f>
        <v>0</v>
      </c>
      <c r="AK140" s="5">
        <f t="shared" si="136"/>
        <v>52608</v>
      </c>
      <c r="AL140" s="5">
        <f t="shared" si="137"/>
        <v>-17646</v>
      </c>
      <c r="AM140" s="5">
        <f t="shared" si="138"/>
        <v>0</v>
      </c>
      <c r="AN140" s="5">
        <f>VLOOKUP($AF140,'251015'!$A$1:$M$200,4,FALSE)</f>
        <v>213003</v>
      </c>
      <c r="AO140" s="5">
        <f>VLOOKUP($AF140,'251015'!$A$1:$M$200,5,FALSE)</f>
        <v>0</v>
      </c>
      <c r="AP140" s="5">
        <f t="shared" si="139"/>
        <v>90141</v>
      </c>
      <c r="AQ140" s="5">
        <f t="shared" si="140"/>
        <v>37533</v>
      </c>
      <c r="AR140" s="5">
        <f t="shared" si="141"/>
        <v>0</v>
      </c>
      <c r="AS140" s="5">
        <f>VLOOKUP($AF140,'251016'!$A$1:$M$200,4,FALSE)</f>
        <v>271446</v>
      </c>
      <c r="AT140" s="5">
        <f>VLOOKUP($AF140,'251016'!$A$1:$M$200,5,FALSE)</f>
        <v>350</v>
      </c>
      <c r="AU140" s="5">
        <f t="shared" si="142"/>
        <v>58443</v>
      </c>
      <c r="AV140" s="5">
        <f t="shared" si="143"/>
        <v>-31698</v>
      </c>
      <c r="AW140" s="5">
        <f t="shared" si="144"/>
        <v>350</v>
      </c>
      <c r="AX140" s="5">
        <f>VLOOKUP($AF140,'251017'!$A$1:$M$200,4,FALSE)</f>
        <v>395508</v>
      </c>
      <c r="AY140" s="5">
        <f>VLOOKUP($AF140,'251017'!$A$1:$M$200,5,FALSE)</f>
        <v>350</v>
      </c>
      <c r="AZ140" s="5">
        <f t="shared" si="145"/>
        <v>124062</v>
      </c>
      <c r="BA140" s="5">
        <f t="shared" si="146"/>
        <v>65619</v>
      </c>
      <c r="BB140" s="5">
        <f t="shared" si="147"/>
        <v>0</v>
      </c>
      <c r="BC140" s="5">
        <f>VLOOKUP($AF140,'251018'!$A$1:$M$200,4,FALSE)</f>
        <v>541997</v>
      </c>
      <c r="BD140" s="5">
        <f>VLOOKUP($AF140,'251018'!$A$1:$M$200,5,FALSE)</f>
        <v>350</v>
      </c>
      <c r="BE140" s="5">
        <f t="shared" si="148"/>
        <v>146489</v>
      </c>
      <c r="BF140" s="5">
        <f t="shared" si="149"/>
        <v>22427</v>
      </c>
      <c r="BG140" s="5">
        <f t="shared" si="150"/>
        <v>0</v>
      </c>
      <c r="BH140" s="5">
        <f>VLOOKUP($AF140,'251018'!$A$1:$M$200,4,FALSE)</f>
        <v>541997</v>
      </c>
    </row>
    <row r="141" spans="2:60" x14ac:dyDescent="0.3">
      <c r="B141" s="5" t="s">
        <v>977</v>
      </c>
      <c r="C141" s="5">
        <f>VLOOKUP($B141,'251008_0시'!$A$1:$M$200,4,FALSE)</f>
        <v>67641</v>
      </c>
      <c r="D141" s="5">
        <f>VLOOKUP($B141,'251008_0시'!$A$1:$M$200,5,FALSE)</f>
        <v>0</v>
      </c>
      <c r="E141" s="5">
        <f>VLOOKUP($B141,'251009_0시'!$A$1:$M$200,4,FALSE)</f>
        <v>160700</v>
      </c>
      <c r="F141" s="5">
        <f>VLOOKUP($B141,'251009_0시'!$A$1:$M$200,5,FALSE)</f>
        <v>350</v>
      </c>
      <c r="G141" s="5">
        <f t="shared" si="121"/>
        <v>93059</v>
      </c>
      <c r="H141" s="5">
        <f t="shared" si="122"/>
        <v>59238.5</v>
      </c>
      <c r="I141" s="5">
        <f t="shared" si="123"/>
        <v>350</v>
      </c>
      <c r="J141" s="5">
        <f>VLOOKUP($B141,'251010_0시'!$A$1:$M$200,4,FALSE)</f>
        <v>286159</v>
      </c>
      <c r="K141" s="5">
        <f>VLOOKUP($B141,'251010_0시'!$A$1:$M$200,5,FALSE)</f>
        <v>350</v>
      </c>
      <c r="L141" s="5">
        <f t="shared" si="124"/>
        <v>125459</v>
      </c>
      <c r="M141" s="5">
        <f t="shared" si="125"/>
        <v>32400</v>
      </c>
      <c r="N141" s="5">
        <f t="shared" si="126"/>
        <v>0</v>
      </c>
      <c r="O141" s="5">
        <f>VLOOKUP($B141,'251011_0시'!$A$1:$M$200,4,FALSE)</f>
        <v>381995</v>
      </c>
      <c r="P141" s="5">
        <f>VLOOKUP($B141,'251011_0시'!$A$1:$M$200,5,FALSE)</f>
        <v>350</v>
      </c>
      <c r="Q141" s="5">
        <f t="shared" si="127"/>
        <v>95836</v>
      </c>
      <c r="R141" s="5">
        <f t="shared" si="128"/>
        <v>-29623</v>
      </c>
      <c r="S141" s="5">
        <f t="shared" si="129"/>
        <v>0</v>
      </c>
      <c r="T141" s="5">
        <f>VLOOKUP($B141,'251012_0시'!$A$1:$M$200,4,FALSE)</f>
        <v>501460</v>
      </c>
      <c r="U141" s="5">
        <f>VLOOKUP($B141,'251012_0시'!$A$1:$M$200,5,FALSE)</f>
        <v>505</v>
      </c>
      <c r="V141" s="5">
        <f t="shared" si="130"/>
        <v>119465</v>
      </c>
      <c r="W141" s="5">
        <f t="shared" si="131"/>
        <v>23629</v>
      </c>
      <c r="X141" s="5">
        <f t="shared" si="132"/>
        <v>155</v>
      </c>
      <c r="Y141" s="5">
        <f>VLOOKUP($B141,'251013_0시'!$A$1:$M$200,4,FALSE)</f>
        <v>618465</v>
      </c>
      <c r="Z141" s="5">
        <f>VLOOKUP($B141,'251013_0시'!$A$1:$M$200,5,FALSE)</f>
        <v>505</v>
      </c>
      <c r="AA141" s="5">
        <f t="shared" si="133"/>
        <v>117005</v>
      </c>
      <c r="AB141" s="5">
        <f t="shared" si="134"/>
        <v>-2460</v>
      </c>
      <c r="AC141" s="5">
        <f t="shared" si="135"/>
        <v>0</v>
      </c>
      <c r="AD141" s="5">
        <f>VLOOKUP($B141,'251013_0시'!$A$1:$M$200,4,FALSE)</f>
        <v>618465</v>
      </c>
      <c r="AF141" s="5" t="s">
        <v>838</v>
      </c>
      <c r="AG141" s="5">
        <f>VLOOKUP($AF141,'251013'!$A$1:$M$200,4,FALSE)</f>
        <v>114316</v>
      </c>
      <c r="AH141" s="5">
        <f>VLOOKUP($AF141,'251013'!$A$1:$M$200,5,FALSE)</f>
        <v>0</v>
      </c>
      <c r="AI141" s="5">
        <f>VLOOKUP($AF141,'251014'!$A$1:$M$200,4,FALSE)</f>
        <v>177869</v>
      </c>
      <c r="AJ141" s="5">
        <f>VLOOKUP($AF141,'251014'!$A$1:$M$200,5,FALSE)</f>
        <v>0</v>
      </c>
      <c r="AK141" s="5">
        <f t="shared" si="136"/>
        <v>63553</v>
      </c>
      <c r="AL141" s="5">
        <f t="shared" si="137"/>
        <v>-50763</v>
      </c>
      <c r="AM141" s="5">
        <f t="shared" si="138"/>
        <v>0</v>
      </c>
      <c r="AN141" s="5">
        <f>VLOOKUP($AF141,'251015'!$A$1:$M$200,4,FALSE)</f>
        <v>292169</v>
      </c>
      <c r="AO141" s="5">
        <f>VLOOKUP($AF141,'251015'!$A$1:$M$200,5,FALSE)</f>
        <v>0</v>
      </c>
      <c r="AP141" s="5">
        <f t="shared" si="139"/>
        <v>114300</v>
      </c>
      <c r="AQ141" s="5">
        <f t="shared" si="140"/>
        <v>50747</v>
      </c>
      <c r="AR141" s="5">
        <f t="shared" si="141"/>
        <v>0</v>
      </c>
      <c r="AS141" s="5">
        <f>VLOOKUP($AF141,'251016'!$A$1:$M$200,4,FALSE)</f>
        <v>353411</v>
      </c>
      <c r="AT141" s="5">
        <f>VLOOKUP($AF141,'251016'!$A$1:$M$200,5,FALSE)</f>
        <v>0</v>
      </c>
      <c r="AU141" s="5">
        <f t="shared" si="142"/>
        <v>61242</v>
      </c>
      <c r="AV141" s="5">
        <f t="shared" si="143"/>
        <v>-53058</v>
      </c>
      <c r="AW141" s="5">
        <f t="shared" si="144"/>
        <v>0</v>
      </c>
      <c r="AX141" s="5">
        <f>VLOOKUP($AF141,'251017'!$A$1:$M$200,4,FALSE)</f>
        <v>445140</v>
      </c>
      <c r="AY141" s="5">
        <f>VLOOKUP($AF141,'251017'!$A$1:$M$200,5,FALSE)</f>
        <v>202</v>
      </c>
      <c r="AZ141" s="5">
        <f t="shared" si="145"/>
        <v>91729</v>
      </c>
      <c r="BA141" s="5">
        <f t="shared" si="146"/>
        <v>30487</v>
      </c>
      <c r="BB141" s="5">
        <f t="shared" si="147"/>
        <v>202</v>
      </c>
      <c r="BC141" s="5">
        <f>VLOOKUP($AF141,'251018'!$A$1:$M$200,4,FALSE)</f>
        <v>523363</v>
      </c>
      <c r="BD141" s="5">
        <f>VLOOKUP($AF141,'251018'!$A$1:$M$200,5,FALSE)</f>
        <v>202</v>
      </c>
      <c r="BE141" s="5">
        <f t="shared" si="148"/>
        <v>78223</v>
      </c>
      <c r="BF141" s="5">
        <f t="shared" si="149"/>
        <v>-13506</v>
      </c>
      <c r="BG141" s="5">
        <f t="shared" si="150"/>
        <v>0</v>
      </c>
      <c r="BH141" s="5">
        <f>VLOOKUP($AF141,'251018'!$A$1:$M$200,4,FALSE)</f>
        <v>523363</v>
      </c>
    </row>
    <row r="142" spans="2:60" x14ac:dyDescent="0.3">
      <c r="B142" s="5" t="s">
        <v>886</v>
      </c>
      <c r="C142" s="5">
        <f>VLOOKUP($B142,'251008_0시'!$A$1:$M$200,4,FALSE)</f>
        <v>154424</v>
      </c>
      <c r="D142" s="5">
        <f>VLOOKUP($B142,'251008_0시'!$A$1:$M$200,5,FALSE)</f>
        <v>8670</v>
      </c>
      <c r="E142" s="5">
        <f>VLOOKUP($B142,'251009_0시'!$A$1:$M$200,4,FALSE)</f>
        <v>269551</v>
      </c>
      <c r="F142" s="5">
        <f>VLOOKUP($B142,'251009_0시'!$A$1:$M$200,5,FALSE)</f>
        <v>10970</v>
      </c>
      <c r="G142" s="5">
        <f t="shared" si="121"/>
        <v>115127</v>
      </c>
      <c r="H142" s="5">
        <f t="shared" si="122"/>
        <v>37915</v>
      </c>
      <c r="I142" s="5">
        <f t="shared" si="123"/>
        <v>2300</v>
      </c>
      <c r="J142" s="5">
        <f>VLOOKUP($B142,'251010_0시'!$A$1:$M$200,4,FALSE)</f>
        <v>332697</v>
      </c>
      <c r="K142" s="5">
        <f>VLOOKUP($B142,'251010_0시'!$A$1:$M$200,5,FALSE)</f>
        <v>16370</v>
      </c>
      <c r="L142" s="5">
        <f t="shared" si="124"/>
        <v>63146</v>
      </c>
      <c r="M142" s="5">
        <f t="shared" si="125"/>
        <v>-51981</v>
      </c>
      <c r="N142" s="5">
        <f t="shared" si="126"/>
        <v>5400</v>
      </c>
      <c r="O142" s="5">
        <f>VLOOKUP($B142,'251011_0시'!$A$1:$M$200,4,FALSE)</f>
        <v>397054</v>
      </c>
      <c r="P142" s="5">
        <f>VLOOKUP($B142,'251011_0시'!$A$1:$M$200,5,FALSE)</f>
        <v>16370</v>
      </c>
      <c r="Q142" s="5">
        <f t="shared" si="127"/>
        <v>64357</v>
      </c>
      <c r="R142" s="5">
        <f t="shared" si="128"/>
        <v>1211</v>
      </c>
      <c r="S142" s="5">
        <f t="shared" si="129"/>
        <v>0</v>
      </c>
      <c r="T142" s="5">
        <f>VLOOKUP($B142,'251012_0시'!$A$1:$M$200,4,FALSE)</f>
        <v>492793</v>
      </c>
      <c r="U142" s="5">
        <f>VLOOKUP($B142,'251012_0시'!$A$1:$M$200,5,FALSE)</f>
        <v>17720</v>
      </c>
      <c r="V142" s="5">
        <f t="shared" si="130"/>
        <v>95739</v>
      </c>
      <c r="W142" s="5">
        <f t="shared" si="131"/>
        <v>31382</v>
      </c>
      <c r="X142" s="5">
        <f t="shared" si="132"/>
        <v>1350</v>
      </c>
      <c r="Y142" s="5">
        <f>VLOOKUP($B142,'251013_0시'!$A$1:$M$200,4,FALSE)</f>
        <v>617532</v>
      </c>
      <c r="Z142" s="5">
        <f>VLOOKUP($B142,'251013_0시'!$A$1:$M$200,5,FALSE)</f>
        <v>24470</v>
      </c>
      <c r="AA142" s="5">
        <f t="shared" si="133"/>
        <v>124739</v>
      </c>
      <c r="AB142" s="5">
        <f t="shared" si="134"/>
        <v>29000</v>
      </c>
      <c r="AC142" s="5">
        <f t="shared" si="135"/>
        <v>6750</v>
      </c>
      <c r="AD142" s="5">
        <f>VLOOKUP($B142,'251013_0시'!$A$1:$M$200,4,FALSE)</f>
        <v>617532</v>
      </c>
      <c r="AF142" s="5" t="s">
        <v>828</v>
      </c>
      <c r="AG142" s="5">
        <f>VLOOKUP($AF142,'251013'!$A$1:$M$200,4,FALSE)</f>
        <v>98647</v>
      </c>
      <c r="AH142" s="5">
        <f>VLOOKUP($AF142,'251013'!$A$1:$M$200,5,FALSE)</f>
        <v>900</v>
      </c>
      <c r="AI142" s="5">
        <f>VLOOKUP($AF142,'251014'!$A$1:$M$200,4,FALSE)</f>
        <v>140034</v>
      </c>
      <c r="AJ142" s="5">
        <f>VLOOKUP($AF142,'251014'!$A$1:$M$200,5,FALSE)</f>
        <v>6750</v>
      </c>
      <c r="AK142" s="5">
        <f t="shared" si="136"/>
        <v>41387</v>
      </c>
      <c r="AL142" s="5">
        <f t="shared" si="137"/>
        <v>-57260</v>
      </c>
      <c r="AM142" s="5">
        <f t="shared" si="138"/>
        <v>5850</v>
      </c>
      <c r="AN142" s="5">
        <f>VLOOKUP($AF142,'251015'!$A$1:$M$200,4,FALSE)</f>
        <v>251372</v>
      </c>
      <c r="AO142" s="5">
        <f>VLOOKUP($AF142,'251015'!$A$1:$M$200,5,FALSE)</f>
        <v>10800</v>
      </c>
      <c r="AP142" s="5">
        <f t="shared" si="139"/>
        <v>111338</v>
      </c>
      <c r="AQ142" s="5">
        <f t="shared" si="140"/>
        <v>69951</v>
      </c>
      <c r="AR142" s="5">
        <f t="shared" si="141"/>
        <v>4050</v>
      </c>
      <c r="AS142" s="5">
        <f>VLOOKUP($AF142,'251016'!$A$1:$M$200,4,FALSE)</f>
        <v>330885</v>
      </c>
      <c r="AT142" s="5">
        <f>VLOOKUP($AF142,'251016'!$A$1:$M$200,5,FALSE)</f>
        <v>12150</v>
      </c>
      <c r="AU142" s="5">
        <f t="shared" si="142"/>
        <v>79513</v>
      </c>
      <c r="AV142" s="5">
        <f t="shared" si="143"/>
        <v>-31825</v>
      </c>
      <c r="AW142" s="5">
        <f t="shared" si="144"/>
        <v>1350</v>
      </c>
      <c r="AX142" s="5">
        <f>VLOOKUP($AF142,'251017'!$A$1:$M$200,4,FALSE)</f>
        <v>401914</v>
      </c>
      <c r="AY142" s="5">
        <f>VLOOKUP($AF142,'251017'!$A$1:$M$200,5,FALSE)</f>
        <v>15750</v>
      </c>
      <c r="AZ142" s="5">
        <f t="shared" si="145"/>
        <v>71029</v>
      </c>
      <c r="BA142" s="5">
        <f t="shared" si="146"/>
        <v>-8484</v>
      </c>
      <c r="BB142" s="5">
        <f t="shared" si="147"/>
        <v>3600</v>
      </c>
      <c r="BC142" s="5">
        <f>VLOOKUP($AF142,'251018'!$A$1:$M$200,4,FALSE)</f>
        <v>521164</v>
      </c>
      <c r="BD142" s="5">
        <f>VLOOKUP($AF142,'251018'!$A$1:$M$200,5,FALSE)</f>
        <v>19350</v>
      </c>
      <c r="BE142" s="5">
        <f t="shared" si="148"/>
        <v>119250</v>
      </c>
      <c r="BF142" s="5">
        <f t="shared" si="149"/>
        <v>48221</v>
      </c>
      <c r="BG142" s="5">
        <f t="shared" si="150"/>
        <v>3600</v>
      </c>
      <c r="BH142" s="5">
        <f>VLOOKUP($AF142,'251018'!$A$1:$M$200,4,FALSE)</f>
        <v>521164</v>
      </c>
    </row>
    <row r="143" spans="2:60" x14ac:dyDescent="0.3">
      <c r="B143" s="5" t="s">
        <v>843</v>
      </c>
      <c r="C143" s="5">
        <f>VLOOKUP($B143,'251008_0시'!$A$1:$M$200,4,FALSE)</f>
        <v>140857</v>
      </c>
      <c r="D143" s="5">
        <f>VLOOKUP($B143,'251008_0시'!$A$1:$M$200,5,FALSE)</f>
        <v>1111</v>
      </c>
      <c r="E143" s="5">
        <f>VLOOKUP($B143,'251009_0시'!$A$1:$M$200,4,FALSE)</f>
        <v>247856</v>
      </c>
      <c r="F143" s="5">
        <f>VLOOKUP($B143,'251009_0시'!$A$1:$M$200,5,FALSE)</f>
        <v>2398</v>
      </c>
      <c r="G143" s="5">
        <f t="shared" si="121"/>
        <v>106999</v>
      </c>
      <c r="H143" s="5">
        <f t="shared" si="122"/>
        <v>36570.5</v>
      </c>
      <c r="I143" s="5">
        <f t="shared" si="123"/>
        <v>1287</v>
      </c>
      <c r="J143" s="5">
        <f>VLOOKUP($B143,'251010_0시'!$A$1:$M$200,4,FALSE)</f>
        <v>343356</v>
      </c>
      <c r="K143" s="5">
        <f>VLOOKUP($B143,'251010_0시'!$A$1:$M$200,5,FALSE)</f>
        <v>2744</v>
      </c>
      <c r="L143" s="5">
        <f t="shared" si="124"/>
        <v>95500</v>
      </c>
      <c r="M143" s="5">
        <f t="shared" si="125"/>
        <v>-11499</v>
      </c>
      <c r="N143" s="5">
        <f t="shared" si="126"/>
        <v>346</v>
      </c>
      <c r="O143" s="5">
        <f>VLOOKUP($B143,'251011_0시'!$A$1:$M$200,4,FALSE)</f>
        <v>398381</v>
      </c>
      <c r="P143" s="5">
        <f>VLOOKUP($B143,'251011_0시'!$A$1:$M$200,5,FALSE)</f>
        <v>3194</v>
      </c>
      <c r="Q143" s="5">
        <f t="shared" si="127"/>
        <v>55025</v>
      </c>
      <c r="R143" s="5">
        <f t="shared" si="128"/>
        <v>-40475</v>
      </c>
      <c r="S143" s="5">
        <f t="shared" si="129"/>
        <v>450</v>
      </c>
      <c r="T143" s="5">
        <f>VLOOKUP($B143,'251012_0시'!$A$1:$M$200,4,FALSE)</f>
        <v>491507</v>
      </c>
      <c r="U143" s="5">
        <f>VLOOKUP($B143,'251012_0시'!$A$1:$M$200,5,FALSE)</f>
        <v>4829</v>
      </c>
      <c r="V143" s="5">
        <f t="shared" si="130"/>
        <v>93126</v>
      </c>
      <c r="W143" s="5">
        <f t="shared" si="131"/>
        <v>38101</v>
      </c>
      <c r="X143" s="5">
        <f t="shared" si="132"/>
        <v>1635</v>
      </c>
      <c r="Y143" s="5">
        <f>VLOOKUP($B143,'251013_0시'!$A$1:$M$200,4,FALSE)</f>
        <v>616629</v>
      </c>
      <c r="Z143" s="5">
        <f>VLOOKUP($B143,'251013_0시'!$A$1:$M$200,5,FALSE)</f>
        <v>5029</v>
      </c>
      <c r="AA143" s="5">
        <f t="shared" si="133"/>
        <v>125122</v>
      </c>
      <c r="AB143" s="5">
        <f t="shared" si="134"/>
        <v>31996</v>
      </c>
      <c r="AC143" s="5">
        <f t="shared" si="135"/>
        <v>200</v>
      </c>
      <c r="AD143" s="5">
        <f>VLOOKUP($B143,'251013_0시'!$A$1:$M$200,4,FALSE)</f>
        <v>616629</v>
      </c>
      <c r="AF143" s="5" t="s">
        <v>827</v>
      </c>
      <c r="AG143" s="5">
        <f>VLOOKUP($AF143,'251013'!$A$1:$M$200,4,FALSE)</f>
        <v>102436</v>
      </c>
      <c r="AH143" s="5">
        <f>VLOOKUP($AF143,'251013'!$A$1:$M$200,5,FALSE)</f>
        <v>0</v>
      </c>
      <c r="AI143" s="5">
        <f>VLOOKUP($AF143,'251014'!$A$1:$M$200,4,FALSE)</f>
        <v>172621</v>
      </c>
      <c r="AJ143" s="5">
        <f>VLOOKUP($AF143,'251014'!$A$1:$M$200,5,FALSE)</f>
        <v>0</v>
      </c>
      <c r="AK143" s="5">
        <f t="shared" si="136"/>
        <v>70185</v>
      </c>
      <c r="AL143" s="5">
        <f t="shared" si="137"/>
        <v>-32251</v>
      </c>
      <c r="AM143" s="5">
        <f t="shared" si="138"/>
        <v>0</v>
      </c>
      <c r="AN143" s="5">
        <f>VLOOKUP($AF143,'251015'!$A$1:$M$200,4,FALSE)</f>
        <v>266432</v>
      </c>
      <c r="AO143" s="5">
        <f>VLOOKUP($AF143,'251015'!$A$1:$M$200,5,FALSE)</f>
        <v>0</v>
      </c>
      <c r="AP143" s="5">
        <f t="shared" si="139"/>
        <v>93811</v>
      </c>
      <c r="AQ143" s="5">
        <f t="shared" si="140"/>
        <v>23626</v>
      </c>
      <c r="AR143" s="5">
        <f t="shared" si="141"/>
        <v>0</v>
      </c>
      <c r="AS143" s="5">
        <f>VLOOKUP($AF143,'251016'!$A$1:$M$200,4,FALSE)</f>
        <v>353326</v>
      </c>
      <c r="AT143" s="5">
        <f>VLOOKUP($AF143,'251016'!$A$1:$M$200,5,FALSE)</f>
        <v>0</v>
      </c>
      <c r="AU143" s="5">
        <f t="shared" si="142"/>
        <v>86894</v>
      </c>
      <c r="AV143" s="5">
        <f t="shared" si="143"/>
        <v>-6917</v>
      </c>
      <c r="AW143" s="5">
        <f t="shared" si="144"/>
        <v>0</v>
      </c>
      <c r="AX143" s="5">
        <f>VLOOKUP($AF143,'251017'!$A$1:$M$200,4,FALSE)</f>
        <v>432276</v>
      </c>
      <c r="AY143" s="5">
        <f>VLOOKUP($AF143,'251017'!$A$1:$M$200,5,FALSE)</f>
        <v>0</v>
      </c>
      <c r="AZ143" s="5">
        <f t="shared" si="145"/>
        <v>78950</v>
      </c>
      <c r="BA143" s="5">
        <f t="shared" si="146"/>
        <v>-7944</v>
      </c>
      <c r="BB143" s="5">
        <f t="shared" si="147"/>
        <v>0</v>
      </c>
      <c r="BC143" s="5">
        <f>VLOOKUP($AF143,'251018'!$A$1:$M$200,4,FALSE)</f>
        <v>515011</v>
      </c>
      <c r="BD143" s="5">
        <f>VLOOKUP($AF143,'251018'!$A$1:$M$200,5,FALSE)</f>
        <v>0</v>
      </c>
      <c r="BE143" s="5">
        <f t="shared" si="148"/>
        <v>82735</v>
      </c>
      <c r="BF143" s="5">
        <f t="shared" si="149"/>
        <v>3785</v>
      </c>
      <c r="BG143" s="5">
        <f t="shared" si="150"/>
        <v>0</v>
      </c>
      <c r="BH143" s="5">
        <f>VLOOKUP($AF143,'251018'!$A$1:$M$200,4,FALSE)</f>
        <v>515011</v>
      </c>
    </row>
    <row r="144" spans="2:60" x14ac:dyDescent="0.3">
      <c r="B144" s="5" t="s">
        <v>862</v>
      </c>
      <c r="C144" s="5">
        <f>VLOOKUP($B144,'251008_0시'!$A$1:$M$200,4,FALSE)</f>
        <v>132457</v>
      </c>
      <c r="D144" s="5">
        <f>VLOOKUP($B144,'251008_0시'!$A$1:$M$200,5,FALSE)</f>
        <v>0</v>
      </c>
      <c r="E144" s="5">
        <f>VLOOKUP($B144,'251009_0시'!$A$1:$M$200,4,FALSE)</f>
        <v>199932</v>
      </c>
      <c r="F144" s="5">
        <f>VLOOKUP($B144,'251009_0시'!$A$1:$M$200,5,FALSE)</f>
        <v>450</v>
      </c>
      <c r="G144" s="5">
        <f t="shared" si="121"/>
        <v>67475</v>
      </c>
      <c r="H144" s="5">
        <f t="shared" si="122"/>
        <v>1246.5</v>
      </c>
      <c r="I144" s="5">
        <f t="shared" si="123"/>
        <v>450</v>
      </c>
      <c r="J144" s="5">
        <f>VLOOKUP($B144,'251010_0시'!$A$1:$M$200,4,FALSE)</f>
        <v>301862</v>
      </c>
      <c r="K144" s="5">
        <f>VLOOKUP($B144,'251010_0시'!$A$1:$M$200,5,FALSE)</f>
        <v>1900</v>
      </c>
      <c r="L144" s="5">
        <f t="shared" si="124"/>
        <v>101930</v>
      </c>
      <c r="M144" s="5">
        <f t="shared" si="125"/>
        <v>34455</v>
      </c>
      <c r="N144" s="5">
        <f t="shared" si="126"/>
        <v>1450</v>
      </c>
      <c r="O144" s="5">
        <f>VLOOKUP($B144,'251011_0시'!$A$1:$M$200,4,FALSE)</f>
        <v>413621</v>
      </c>
      <c r="P144" s="5">
        <f>VLOOKUP($B144,'251011_0시'!$A$1:$M$200,5,FALSE)</f>
        <v>3250</v>
      </c>
      <c r="Q144" s="5">
        <f t="shared" si="127"/>
        <v>111759</v>
      </c>
      <c r="R144" s="5">
        <f t="shared" si="128"/>
        <v>9829</v>
      </c>
      <c r="S144" s="5">
        <f t="shared" si="129"/>
        <v>1350</v>
      </c>
      <c r="T144" s="5">
        <f>VLOOKUP($B144,'251012_0시'!$A$1:$M$200,4,FALSE)</f>
        <v>515537</v>
      </c>
      <c r="U144" s="5">
        <f>VLOOKUP($B144,'251012_0시'!$A$1:$M$200,5,FALSE)</f>
        <v>3700</v>
      </c>
      <c r="V144" s="5">
        <f t="shared" si="130"/>
        <v>101916</v>
      </c>
      <c r="W144" s="5">
        <f t="shared" si="131"/>
        <v>-9843</v>
      </c>
      <c r="X144" s="5">
        <f t="shared" si="132"/>
        <v>450</v>
      </c>
      <c r="Y144" s="5">
        <f>VLOOKUP($B144,'251013_0시'!$A$1:$M$200,4,FALSE)</f>
        <v>600265</v>
      </c>
      <c r="Z144" s="5">
        <f>VLOOKUP($B144,'251013_0시'!$A$1:$M$200,5,FALSE)</f>
        <v>3700</v>
      </c>
      <c r="AA144" s="5">
        <f t="shared" si="133"/>
        <v>84728</v>
      </c>
      <c r="AB144" s="5">
        <f t="shared" si="134"/>
        <v>-17188</v>
      </c>
      <c r="AC144" s="5">
        <f t="shared" si="135"/>
        <v>0</v>
      </c>
      <c r="AD144" s="5">
        <f>VLOOKUP($B144,'251013_0시'!$A$1:$M$200,4,FALSE)</f>
        <v>600265</v>
      </c>
      <c r="AF144" s="5" t="s">
        <v>831</v>
      </c>
      <c r="AG144" s="5">
        <f>VLOOKUP($AF144,'251013'!$A$1:$M$200,4,FALSE)</f>
        <v>97970</v>
      </c>
      <c r="AH144" s="5">
        <f>VLOOKUP($AF144,'251013'!$A$1:$M$200,5,FALSE)</f>
        <v>900</v>
      </c>
      <c r="AI144" s="5">
        <f>VLOOKUP($AF144,'251014'!$A$1:$M$200,4,FALSE)</f>
        <v>205418</v>
      </c>
      <c r="AJ144" s="5">
        <f>VLOOKUP($AF144,'251014'!$A$1:$M$200,5,FALSE)</f>
        <v>2250</v>
      </c>
      <c r="AK144" s="5">
        <f t="shared" si="136"/>
        <v>107448</v>
      </c>
      <c r="AL144" s="5">
        <f t="shared" si="137"/>
        <v>9478</v>
      </c>
      <c r="AM144" s="5">
        <f t="shared" si="138"/>
        <v>1350</v>
      </c>
      <c r="AN144" s="5">
        <f>VLOOKUP($AF144,'251015'!$A$1:$M$200,4,FALSE)</f>
        <v>248141</v>
      </c>
      <c r="AO144" s="5">
        <f>VLOOKUP($AF144,'251015'!$A$1:$M$200,5,FALSE)</f>
        <v>2250</v>
      </c>
      <c r="AP144" s="5">
        <f t="shared" si="139"/>
        <v>42723</v>
      </c>
      <c r="AQ144" s="5">
        <f t="shared" si="140"/>
        <v>-64725</v>
      </c>
      <c r="AR144" s="5">
        <f t="shared" si="141"/>
        <v>0</v>
      </c>
      <c r="AS144" s="5">
        <f>VLOOKUP($AF144,'251016'!$A$1:$M$200,4,FALSE)</f>
        <v>260941</v>
      </c>
      <c r="AT144" s="5">
        <f>VLOOKUP($AF144,'251016'!$A$1:$M$200,5,FALSE)</f>
        <v>2250</v>
      </c>
      <c r="AU144" s="5">
        <f t="shared" si="142"/>
        <v>12800</v>
      </c>
      <c r="AV144" s="5">
        <f t="shared" si="143"/>
        <v>-29923</v>
      </c>
      <c r="AW144" s="5">
        <f t="shared" si="144"/>
        <v>0</v>
      </c>
      <c r="AX144" s="5">
        <f>VLOOKUP($AF144,'251017'!$A$1:$M$200,4,FALSE)</f>
        <v>375343</v>
      </c>
      <c r="AY144" s="5">
        <f>VLOOKUP($AF144,'251017'!$A$1:$M$200,5,FALSE)</f>
        <v>3600</v>
      </c>
      <c r="AZ144" s="5">
        <f t="shared" si="145"/>
        <v>114402</v>
      </c>
      <c r="BA144" s="5">
        <f t="shared" si="146"/>
        <v>101602</v>
      </c>
      <c r="BB144" s="5">
        <f t="shared" si="147"/>
        <v>1350</v>
      </c>
      <c r="BC144" s="5">
        <f>VLOOKUP($AF144,'251018'!$A$1:$M$200,4,FALSE)</f>
        <v>510762</v>
      </c>
      <c r="BD144" s="5">
        <f>VLOOKUP($AF144,'251018'!$A$1:$M$200,5,FALSE)</f>
        <v>4050</v>
      </c>
      <c r="BE144" s="5">
        <f t="shared" si="148"/>
        <v>135419</v>
      </c>
      <c r="BF144" s="5">
        <f t="shared" si="149"/>
        <v>21017</v>
      </c>
      <c r="BG144" s="5">
        <f t="shared" si="150"/>
        <v>450</v>
      </c>
      <c r="BH144" s="5">
        <f>VLOOKUP($AF144,'251018'!$A$1:$M$200,4,FALSE)</f>
        <v>510762</v>
      </c>
    </row>
    <row r="145" spans="2:60" x14ac:dyDescent="0.3">
      <c r="B145" s="5" t="s">
        <v>809</v>
      </c>
      <c r="C145" s="5">
        <f>VLOOKUP($B145,'251008_0시'!$A$1:$M$200,4,FALSE)</f>
        <v>166371</v>
      </c>
      <c r="D145" s="5">
        <f>VLOOKUP($B145,'251008_0시'!$A$1:$M$200,5,FALSE)</f>
        <v>0</v>
      </c>
      <c r="E145" s="5">
        <f>VLOOKUP($B145,'251009_0시'!$A$1:$M$200,4,FALSE)</f>
        <v>208030</v>
      </c>
      <c r="F145" s="5">
        <f>VLOOKUP($B145,'251009_0시'!$A$1:$M$200,5,FALSE)</f>
        <v>0</v>
      </c>
      <c r="G145" s="5">
        <f t="shared" si="121"/>
        <v>41659</v>
      </c>
      <c r="H145" s="5">
        <f t="shared" si="122"/>
        <v>-41526.5</v>
      </c>
      <c r="I145" s="5">
        <f t="shared" si="123"/>
        <v>0</v>
      </c>
      <c r="J145" s="5">
        <f>VLOOKUP($B145,'251010_0시'!$A$1:$M$200,4,FALSE)</f>
        <v>262581</v>
      </c>
      <c r="K145" s="5">
        <f>VLOOKUP($B145,'251010_0시'!$A$1:$M$200,5,FALSE)</f>
        <v>0</v>
      </c>
      <c r="L145" s="5">
        <f t="shared" si="124"/>
        <v>54551</v>
      </c>
      <c r="M145" s="5">
        <f t="shared" si="125"/>
        <v>12892</v>
      </c>
      <c r="N145" s="5">
        <f t="shared" si="126"/>
        <v>0</v>
      </c>
      <c r="O145" s="5">
        <f>VLOOKUP($B145,'251011_0시'!$A$1:$M$200,4,FALSE)</f>
        <v>357232</v>
      </c>
      <c r="P145" s="5">
        <f>VLOOKUP($B145,'251011_0시'!$A$1:$M$200,5,FALSE)</f>
        <v>0</v>
      </c>
      <c r="Q145" s="5">
        <f t="shared" si="127"/>
        <v>94651</v>
      </c>
      <c r="R145" s="5">
        <f t="shared" si="128"/>
        <v>40100</v>
      </c>
      <c r="S145" s="5">
        <f t="shared" si="129"/>
        <v>0</v>
      </c>
      <c r="T145" s="5">
        <f>VLOOKUP($B145,'251012_0시'!$A$1:$M$200,4,FALSE)</f>
        <v>477992</v>
      </c>
      <c r="U145" s="5">
        <f>VLOOKUP($B145,'251012_0시'!$A$1:$M$200,5,FALSE)</f>
        <v>162</v>
      </c>
      <c r="V145" s="5">
        <f t="shared" si="130"/>
        <v>120760</v>
      </c>
      <c r="W145" s="5">
        <f t="shared" si="131"/>
        <v>26109</v>
      </c>
      <c r="X145" s="5">
        <f t="shared" si="132"/>
        <v>162</v>
      </c>
      <c r="Y145" s="5">
        <f>VLOOKUP($B145,'251013_0시'!$A$1:$M$200,4,FALSE)</f>
        <v>585105</v>
      </c>
      <c r="Z145" s="5">
        <f>VLOOKUP($B145,'251013_0시'!$A$1:$M$200,5,FALSE)</f>
        <v>162</v>
      </c>
      <c r="AA145" s="5">
        <f t="shared" si="133"/>
        <v>107113</v>
      </c>
      <c r="AB145" s="5">
        <f t="shared" si="134"/>
        <v>-13647</v>
      </c>
      <c r="AC145" s="5">
        <f t="shared" si="135"/>
        <v>0</v>
      </c>
      <c r="AD145" s="5">
        <f>VLOOKUP($B145,'251013_0시'!$A$1:$M$200,4,FALSE)</f>
        <v>585105</v>
      </c>
      <c r="AF145" s="5" t="s">
        <v>843</v>
      </c>
      <c r="AG145" s="5">
        <f>VLOOKUP($AF145,'251013'!$A$1:$M$200,4,FALSE)</f>
        <v>69752</v>
      </c>
      <c r="AH145" s="5">
        <f>VLOOKUP($AF145,'251013'!$A$1:$M$200,5,FALSE)</f>
        <v>889</v>
      </c>
      <c r="AI145" s="5">
        <f>VLOOKUP($AF145,'251014'!$A$1:$M$200,4,FALSE)</f>
        <v>140890</v>
      </c>
      <c r="AJ145" s="5">
        <f>VLOOKUP($AF145,'251014'!$A$1:$M$200,5,FALSE)</f>
        <v>1764</v>
      </c>
      <c r="AK145" s="5">
        <f t="shared" si="136"/>
        <v>71138</v>
      </c>
      <c r="AL145" s="5">
        <f t="shared" si="137"/>
        <v>1386</v>
      </c>
      <c r="AM145" s="5">
        <f t="shared" si="138"/>
        <v>875</v>
      </c>
      <c r="AN145" s="5">
        <f>VLOOKUP($AF145,'251015'!$A$1:$M$200,4,FALSE)</f>
        <v>248469</v>
      </c>
      <c r="AO145" s="5">
        <f>VLOOKUP($AF145,'251015'!$A$1:$M$200,5,FALSE)</f>
        <v>2769</v>
      </c>
      <c r="AP145" s="5">
        <f t="shared" si="139"/>
        <v>107579</v>
      </c>
      <c r="AQ145" s="5">
        <f t="shared" si="140"/>
        <v>36441</v>
      </c>
      <c r="AR145" s="5">
        <f t="shared" si="141"/>
        <v>1005</v>
      </c>
      <c r="AS145" s="5">
        <f>VLOOKUP($AF145,'251016'!$A$1:$M$200,4,FALSE)</f>
        <v>330598</v>
      </c>
      <c r="AT145" s="5">
        <f>VLOOKUP($AF145,'251016'!$A$1:$M$200,5,FALSE)</f>
        <v>2769</v>
      </c>
      <c r="AU145" s="5">
        <f t="shared" si="142"/>
        <v>82129</v>
      </c>
      <c r="AV145" s="5">
        <f t="shared" si="143"/>
        <v>-25450</v>
      </c>
      <c r="AW145" s="5">
        <f t="shared" si="144"/>
        <v>0</v>
      </c>
      <c r="AX145" s="5">
        <f>VLOOKUP($AF145,'251017'!$A$1:$M$200,4,FALSE)</f>
        <v>404381</v>
      </c>
      <c r="AY145" s="5">
        <f>VLOOKUP($AF145,'251017'!$A$1:$M$200,5,FALSE)</f>
        <v>2769</v>
      </c>
      <c r="AZ145" s="5">
        <f t="shared" si="145"/>
        <v>73783</v>
      </c>
      <c r="BA145" s="5">
        <f t="shared" si="146"/>
        <v>-8346</v>
      </c>
      <c r="BB145" s="5">
        <f t="shared" si="147"/>
        <v>0</v>
      </c>
      <c r="BC145" s="5">
        <f>VLOOKUP($AF145,'251018'!$A$1:$M$200,4,FALSE)</f>
        <v>504146</v>
      </c>
      <c r="BD145" s="5">
        <f>VLOOKUP($AF145,'251018'!$A$1:$M$200,5,FALSE)</f>
        <v>3385</v>
      </c>
      <c r="BE145" s="5">
        <f t="shared" si="148"/>
        <v>99765</v>
      </c>
      <c r="BF145" s="5">
        <f t="shared" si="149"/>
        <v>25982</v>
      </c>
      <c r="BG145" s="5">
        <f t="shared" si="150"/>
        <v>616</v>
      </c>
      <c r="BH145" s="5">
        <f>VLOOKUP($AF145,'251018'!$A$1:$M$200,4,FALSE)</f>
        <v>504146</v>
      </c>
    </row>
    <row r="146" spans="2:60" x14ac:dyDescent="0.3">
      <c r="B146" s="5" t="s">
        <v>841</v>
      </c>
      <c r="C146" s="5">
        <f>VLOOKUP($B146,'251008_0시'!$A$1:$M$200,4,FALSE)</f>
        <v>181507</v>
      </c>
      <c r="D146" s="5">
        <f>VLOOKUP($B146,'251008_0시'!$A$1:$M$200,5,FALSE)</f>
        <v>4500</v>
      </c>
      <c r="E146" s="5">
        <f>VLOOKUP($B146,'251009_0시'!$A$1:$M$200,4,FALSE)</f>
        <v>244718</v>
      </c>
      <c r="F146" s="5">
        <f>VLOOKUP($B146,'251009_0시'!$A$1:$M$200,5,FALSE)</f>
        <v>4500</v>
      </c>
      <c r="G146" s="5">
        <f t="shared" si="121"/>
        <v>63211</v>
      </c>
      <c r="H146" s="5">
        <f t="shared" si="122"/>
        <v>-27542.5</v>
      </c>
      <c r="I146" s="5">
        <f t="shared" si="123"/>
        <v>0</v>
      </c>
      <c r="J146" s="5">
        <f>VLOOKUP($B146,'251010_0시'!$A$1:$M$200,4,FALSE)</f>
        <v>315722</v>
      </c>
      <c r="K146" s="5">
        <f>VLOOKUP($B146,'251010_0시'!$A$1:$M$200,5,FALSE)</f>
        <v>4500</v>
      </c>
      <c r="L146" s="5">
        <f t="shared" si="124"/>
        <v>71004</v>
      </c>
      <c r="M146" s="5">
        <f t="shared" si="125"/>
        <v>7793</v>
      </c>
      <c r="N146" s="5">
        <f t="shared" si="126"/>
        <v>0</v>
      </c>
      <c r="O146" s="5">
        <f>VLOOKUP($B146,'251011_0시'!$A$1:$M$200,4,FALSE)</f>
        <v>389699</v>
      </c>
      <c r="P146" s="5">
        <f>VLOOKUP($B146,'251011_0시'!$A$1:$M$200,5,FALSE)</f>
        <v>7200</v>
      </c>
      <c r="Q146" s="5">
        <f t="shared" si="127"/>
        <v>73977</v>
      </c>
      <c r="R146" s="5">
        <f t="shared" si="128"/>
        <v>2973</v>
      </c>
      <c r="S146" s="5">
        <f t="shared" si="129"/>
        <v>2700</v>
      </c>
      <c r="T146" s="5">
        <f>VLOOKUP($B146,'251012_0시'!$A$1:$M$200,4,FALSE)</f>
        <v>486650</v>
      </c>
      <c r="U146" s="5">
        <f>VLOOKUP($B146,'251012_0시'!$A$1:$M$200,5,FALSE)</f>
        <v>11250</v>
      </c>
      <c r="V146" s="5">
        <f t="shared" si="130"/>
        <v>96951</v>
      </c>
      <c r="W146" s="5">
        <f t="shared" si="131"/>
        <v>22974</v>
      </c>
      <c r="X146" s="5">
        <f t="shared" si="132"/>
        <v>4050</v>
      </c>
      <c r="Y146" s="5">
        <f>VLOOKUP($B146,'251013_0시'!$A$1:$M$200,4,FALSE)</f>
        <v>578960</v>
      </c>
      <c r="Z146" s="5">
        <f>VLOOKUP($B146,'251013_0시'!$A$1:$M$200,5,FALSE)</f>
        <v>21600</v>
      </c>
      <c r="AA146" s="5">
        <f t="shared" si="133"/>
        <v>92310</v>
      </c>
      <c r="AB146" s="5">
        <f t="shared" si="134"/>
        <v>-4641</v>
      </c>
      <c r="AC146" s="5">
        <f t="shared" si="135"/>
        <v>10350</v>
      </c>
      <c r="AD146" s="5">
        <f>VLOOKUP($B146,'251013_0시'!$A$1:$M$200,4,FALSE)</f>
        <v>578960</v>
      </c>
      <c r="AF146" s="5" t="s">
        <v>850</v>
      </c>
      <c r="AG146" s="5">
        <f>VLOOKUP($AF146,'251013'!$A$1:$M$200,4,FALSE)</f>
        <v>91362</v>
      </c>
      <c r="AH146" s="5">
        <f>VLOOKUP($AF146,'251013'!$A$1:$M$200,5,FALSE)</f>
        <v>404</v>
      </c>
      <c r="AI146" s="5">
        <f>VLOOKUP($AF146,'251014'!$A$1:$M$200,4,FALSE)</f>
        <v>174965</v>
      </c>
      <c r="AJ146" s="5">
        <f>VLOOKUP($AF146,'251014'!$A$1:$M$200,5,FALSE)</f>
        <v>404</v>
      </c>
      <c r="AK146" s="5">
        <f t="shared" si="136"/>
        <v>83603</v>
      </c>
      <c r="AL146" s="5">
        <f t="shared" si="137"/>
        <v>-7759</v>
      </c>
      <c r="AM146" s="5">
        <f t="shared" si="138"/>
        <v>0</v>
      </c>
      <c r="AN146" s="5">
        <f>VLOOKUP($AF146,'251015'!$A$1:$M$200,4,FALSE)</f>
        <v>291209</v>
      </c>
      <c r="AO146" s="5">
        <f>VLOOKUP($AF146,'251015'!$A$1:$M$200,5,FALSE)</f>
        <v>404</v>
      </c>
      <c r="AP146" s="5">
        <f t="shared" si="139"/>
        <v>116244</v>
      </c>
      <c r="AQ146" s="5">
        <f t="shared" si="140"/>
        <v>32641</v>
      </c>
      <c r="AR146" s="5">
        <f t="shared" si="141"/>
        <v>0</v>
      </c>
      <c r="AS146" s="5">
        <f>VLOOKUP($AF146,'251016'!$A$1:$M$200,4,FALSE)</f>
        <v>326792</v>
      </c>
      <c r="AT146" s="5">
        <f>VLOOKUP($AF146,'251016'!$A$1:$M$200,5,FALSE)</f>
        <v>404</v>
      </c>
      <c r="AU146" s="5">
        <f t="shared" si="142"/>
        <v>35583</v>
      </c>
      <c r="AV146" s="5">
        <f t="shared" si="143"/>
        <v>-80661</v>
      </c>
      <c r="AW146" s="5">
        <f t="shared" si="144"/>
        <v>0</v>
      </c>
      <c r="AX146" s="5">
        <f>VLOOKUP($AF146,'251017'!$A$1:$M$200,4,FALSE)</f>
        <v>432377</v>
      </c>
      <c r="AY146" s="5">
        <f>VLOOKUP($AF146,'251017'!$A$1:$M$200,5,FALSE)</f>
        <v>404</v>
      </c>
      <c r="AZ146" s="5">
        <f t="shared" si="145"/>
        <v>105585</v>
      </c>
      <c r="BA146" s="5">
        <f t="shared" si="146"/>
        <v>70002</v>
      </c>
      <c r="BB146" s="5">
        <f t="shared" si="147"/>
        <v>0</v>
      </c>
      <c r="BC146" s="5">
        <f>VLOOKUP($AF146,'251018'!$A$1:$M$200,4,FALSE)</f>
        <v>487904</v>
      </c>
      <c r="BD146" s="5">
        <f>VLOOKUP($AF146,'251018'!$A$1:$M$200,5,FALSE)</f>
        <v>404</v>
      </c>
      <c r="BE146" s="5">
        <f t="shared" si="148"/>
        <v>55527</v>
      </c>
      <c r="BF146" s="5">
        <f t="shared" si="149"/>
        <v>-50058</v>
      </c>
      <c r="BG146" s="5">
        <f t="shared" si="150"/>
        <v>0</v>
      </c>
      <c r="BH146" s="5">
        <f>VLOOKUP($AF146,'251018'!$A$1:$M$200,4,FALSE)</f>
        <v>487904</v>
      </c>
    </row>
    <row r="147" spans="2:60" x14ac:dyDescent="0.3">
      <c r="B147" s="5" t="s">
        <v>817</v>
      </c>
      <c r="C147" s="5">
        <f>VLOOKUP($B147,'251008_0시'!$A$1:$M$200,4,FALSE)</f>
        <v>190275</v>
      </c>
      <c r="D147" s="5">
        <f>VLOOKUP($B147,'251008_0시'!$A$1:$M$200,5,FALSE)</f>
        <v>0</v>
      </c>
      <c r="E147" s="5">
        <f>VLOOKUP($B147,'251009_0시'!$A$1:$M$200,4,FALSE)</f>
        <v>236864</v>
      </c>
      <c r="F147" s="5">
        <f>VLOOKUP($B147,'251009_0시'!$A$1:$M$200,5,FALSE)</f>
        <v>0</v>
      </c>
      <c r="G147" s="5">
        <f t="shared" si="121"/>
        <v>46589</v>
      </c>
      <c r="H147" s="5">
        <f t="shared" si="122"/>
        <v>-48548.5</v>
      </c>
      <c r="I147" s="5">
        <f t="shared" si="123"/>
        <v>0</v>
      </c>
      <c r="J147" s="5">
        <f>VLOOKUP($B147,'251010_0시'!$A$1:$M$200,4,FALSE)</f>
        <v>315495</v>
      </c>
      <c r="K147" s="5">
        <f>VLOOKUP($B147,'251010_0시'!$A$1:$M$200,5,FALSE)</f>
        <v>120</v>
      </c>
      <c r="L147" s="5">
        <f t="shared" si="124"/>
        <v>78631</v>
      </c>
      <c r="M147" s="5">
        <f t="shared" si="125"/>
        <v>32042</v>
      </c>
      <c r="N147" s="5">
        <f t="shared" si="126"/>
        <v>120</v>
      </c>
      <c r="O147" s="5">
        <f>VLOOKUP($B147,'251011_0시'!$A$1:$M$200,4,FALSE)</f>
        <v>390633</v>
      </c>
      <c r="P147" s="5">
        <f>VLOOKUP($B147,'251011_0시'!$A$1:$M$200,5,FALSE)</f>
        <v>120</v>
      </c>
      <c r="Q147" s="5">
        <f t="shared" si="127"/>
        <v>75138</v>
      </c>
      <c r="R147" s="5">
        <f t="shared" si="128"/>
        <v>-3493</v>
      </c>
      <c r="S147" s="5">
        <f t="shared" si="129"/>
        <v>0</v>
      </c>
      <c r="T147" s="5">
        <f>VLOOKUP($B147,'251012_0시'!$A$1:$M$200,4,FALSE)</f>
        <v>500146</v>
      </c>
      <c r="U147" s="5">
        <f>VLOOKUP($B147,'251012_0시'!$A$1:$M$200,5,FALSE)</f>
        <v>120</v>
      </c>
      <c r="V147" s="5">
        <f t="shared" si="130"/>
        <v>109513</v>
      </c>
      <c r="W147" s="5">
        <f t="shared" si="131"/>
        <v>34375</v>
      </c>
      <c r="X147" s="5">
        <f t="shared" si="132"/>
        <v>0</v>
      </c>
      <c r="Y147" s="5">
        <f>VLOOKUP($B147,'251013_0시'!$A$1:$M$200,4,FALSE)</f>
        <v>574348</v>
      </c>
      <c r="Z147" s="5">
        <f>VLOOKUP($B147,'251013_0시'!$A$1:$M$200,5,FALSE)</f>
        <v>120</v>
      </c>
      <c r="AA147" s="5">
        <f t="shared" si="133"/>
        <v>74202</v>
      </c>
      <c r="AB147" s="5">
        <f t="shared" si="134"/>
        <v>-35311</v>
      </c>
      <c r="AC147" s="5">
        <f t="shared" si="135"/>
        <v>0</v>
      </c>
      <c r="AD147" s="5">
        <f>VLOOKUP($B147,'251013_0시'!$A$1:$M$200,4,FALSE)</f>
        <v>574348</v>
      </c>
      <c r="AF147" s="5" t="s">
        <v>861</v>
      </c>
      <c r="AG147" s="5">
        <f>VLOOKUP($AF147,'251013'!$A$1:$M$200,4,FALSE)</f>
        <v>91432</v>
      </c>
      <c r="AH147" s="5">
        <f>VLOOKUP($AF147,'251013'!$A$1:$M$200,5,FALSE)</f>
        <v>1750</v>
      </c>
      <c r="AI147" s="5">
        <f>VLOOKUP($AF147,'251014'!$A$1:$M$200,4,FALSE)</f>
        <v>162115</v>
      </c>
      <c r="AJ147" s="5">
        <f>VLOOKUP($AF147,'251014'!$A$1:$M$200,5,FALSE)</f>
        <v>2800</v>
      </c>
      <c r="AK147" s="5">
        <f t="shared" si="136"/>
        <v>70683</v>
      </c>
      <c r="AL147" s="5">
        <f t="shared" si="137"/>
        <v>-20749</v>
      </c>
      <c r="AM147" s="5">
        <f t="shared" si="138"/>
        <v>1050</v>
      </c>
      <c r="AN147" s="5">
        <f>VLOOKUP($AF147,'251015'!$A$1:$M$200,4,FALSE)</f>
        <v>168341</v>
      </c>
      <c r="AO147" s="5">
        <f>VLOOKUP($AF147,'251015'!$A$1:$M$200,5,FALSE)</f>
        <v>3500</v>
      </c>
      <c r="AP147" s="5">
        <f t="shared" si="139"/>
        <v>6226</v>
      </c>
      <c r="AQ147" s="5">
        <f t="shared" si="140"/>
        <v>-64457</v>
      </c>
      <c r="AR147" s="5">
        <f t="shared" si="141"/>
        <v>700</v>
      </c>
      <c r="AS147" s="5">
        <f>VLOOKUP($AF147,'251016'!$A$1:$M$200,4,FALSE)</f>
        <v>187226</v>
      </c>
      <c r="AT147" s="5">
        <f>VLOOKUP($AF147,'251016'!$A$1:$M$200,5,FALSE)</f>
        <v>3500</v>
      </c>
      <c r="AU147" s="5">
        <f t="shared" si="142"/>
        <v>18885</v>
      </c>
      <c r="AV147" s="5">
        <f t="shared" si="143"/>
        <v>12659</v>
      </c>
      <c r="AW147" s="5">
        <f t="shared" si="144"/>
        <v>0</v>
      </c>
      <c r="AX147" s="5">
        <f>VLOOKUP($AF147,'251017'!$A$1:$M$200,4,FALSE)</f>
        <v>293137</v>
      </c>
      <c r="AY147" s="5">
        <f>VLOOKUP($AF147,'251017'!$A$1:$M$200,5,FALSE)</f>
        <v>6250</v>
      </c>
      <c r="AZ147" s="5">
        <f t="shared" si="145"/>
        <v>105911</v>
      </c>
      <c r="BA147" s="5">
        <f t="shared" si="146"/>
        <v>87026</v>
      </c>
      <c r="BB147" s="5">
        <f t="shared" si="147"/>
        <v>2750</v>
      </c>
      <c r="BC147" s="5">
        <f>VLOOKUP($AF147,'251018'!$A$1:$M$200,4,FALSE)</f>
        <v>482010</v>
      </c>
      <c r="BD147" s="5">
        <f>VLOOKUP($AF147,'251018'!$A$1:$M$200,5,FALSE)</f>
        <v>7350</v>
      </c>
      <c r="BE147" s="5">
        <f t="shared" si="148"/>
        <v>188873</v>
      </c>
      <c r="BF147" s="5">
        <f t="shared" si="149"/>
        <v>82962</v>
      </c>
      <c r="BG147" s="5">
        <f t="shared" si="150"/>
        <v>1100</v>
      </c>
      <c r="BH147" s="5">
        <f>VLOOKUP($AF147,'251018'!$A$1:$M$200,4,FALSE)</f>
        <v>482010</v>
      </c>
    </row>
    <row r="148" spans="2:60" x14ac:dyDescent="0.3">
      <c r="B148" s="5" t="s">
        <v>824</v>
      </c>
      <c r="C148" s="5">
        <f>VLOOKUP($B148,'251008_0시'!$A$1:$M$200,4,FALSE)</f>
        <v>112880</v>
      </c>
      <c r="D148" s="5">
        <f>VLOOKUP($B148,'251008_0시'!$A$1:$M$200,5,FALSE)</f>
        <v>350</v>
      </c>
      <c r="E148" s="5">
        <f>VLOOKUP($B148,'251009_0시'!$A$1:$M$200,4,FALSE)</f>
        <v>220106</v>
      </c>
      <c r="F148" s="5">
        <f>VLOOKUP($B148,'251009_0시'!$A$1:$M$200,5,FALSE)</f>
        <v>1801</v>
      </c>
      <c r="G148" s="5">
        <f t="shared" si="121"/>
        <v>107226</v>
      </c>
      <c r="H148" s="5">
        <f t="shared" si="122"/>
        <v>50786</v>
      </c>
      <c r="I148" s="5">
        <f t="shared" si="123"/>
        <v>1451</v>
      </c>
      <c r="J148" s="5">
        <f>VLOOKUP($B148,'251010_0시'!$A$1:$M$200,4,FALSE)</f>
        <v>249693</v>
      </c>
      <c r="K148" s="5">
        <f>VLOOKUP($B148,'251010_0시'!$A$1:$M$200,5,FALSE)</f>
        <v>1801</v>
      </c>
      <c r="L148" s="5">
        <f t="shared" si="124"/>
        <v>29587</v>
      </c>
      <c r="M148" s="5">
        <f t="shared" si="125"/>
        <v>-77639</v>
      </c>
      <c r="N148" s="5">
        <f t="shared" si="126"/>
        <v>0</v>
      </c>
      <c r="O148" s="5">
        <f>VLOOKUP($B148,'251011_0시'!$A$1:$M$200,4,FALSE)</f>
        <v>358203</v>
      </c>
      <c r="P148" s="5">
        <f>VLOOKUP($B148,'251011_0시'!$A$1:$M$200,5,FALSE)</f>
        <v>1801</v>
      </c>
      <c r="Q148" s="5">
        <f t="shared" si="127"/>
        <v>108510</v>
      </c>
      <c r="R148" s="5">
        <f t="shared" si="128"/>
        <v>78923</v>
      </c>
      <c r="S148" s="5">
        <f t="shared" si="129"/>
        <v>0</v>
      </c>
      <c r="T148" s="5">
        <f>VLOOKUP($B148,'251012_0시'!$A$1:$M$200,4,FALSE)</f>
        <v>450804</v>
      </c>
      <c r="U148" s="5">
        <f>VLOOKUP($B148,'251012_0시'!$A$1:$M$200,5,FALSE)</f>
        <v>1801</v>
      </c>
      <c r="V148" s="5">
        <f t="shared" si="130"/>
        <v>92601</v>
      </c>
      <c r="W148" s="5">
        <f t="shared" si="131"/>
        <v>-15909</v>
      </c>
      <c r="X148" s="5">
        <f t="shared" si="132"/>
        <v>0</v>
      </c>
      <c r="Y148" s="5">
        <f>VLOOKUP($B148,'251013_0시'!$A$1:$M$200,4,FALSE)</f>
        <v>570742</v>
      </c>
      <c r="Z148" s="5">
        <f>VLOOKUP($B148,'251013_0시'!$A$1:$M$200,5,FALSE)</f>
        <v>4451</v>
      </c>
      <c r="AA148" s="5">
        <f t="shared" si="133"/>
        <v>119938</v>
      </c>
      <c r="AB148" s="5">
        <f t="shared" si="134"/>
        <v>27337</v>
      </c>
      <c r="AC148" s="5">
        <f t="shared" si="135"/>
        <v>2650</v>
      </c>
      <c r="AD148" s="5">
        <f>VLOOKUP($B148,'251013_0시'!$A$1:$M$200,4,FALSE)</f>
        <v>570742</v>
      </c>
      <c r="AF148" s="5" t="s">
        <v>969</v>
      </c>
      <c r="AG148" s="5">
        <f>VLOOKUP($AF148,'251013'!$A$1:$M$200,4,FALSE)</f>
        <v>59365</v>
      </c>
      <c r="AH148" s="5">
        <f>VLOOKUP($AF148,'251013'!$A$1:$M$200,5,FALSE)</f>
        <v>0</v>
      </c>
      <c r="AI148" s="5">
        <f>VLOOKUP($AF148,'251014'!$A$1:$M$200,4,FALSE)</f>
        <v>140382</v>
      </c>
      <c r="AJ148" s="5">
        <f>VLOOKUP($AF148,'251014'!$A$1:$M$200,5,FALSE)</f>
        <v>350</v>
      </c>
      <c r="AK148" s="5">
        <f t="shared" si="136"/>
        <v>81017</v>
      </c>
      <c r="AL148" s="5">
        <f t="shared" si="137"/>
        <v>21652</v>
      </c>
      <c r="AM148" s="5">
        <f t="shared" si="138"/>
        <v>350</v>
      </c>
      <c r="AN148" s="5">
        <f>VLOOKUP($AF148,'251015'!$A$1:$M$200,4,FALSE)</f>
        <v>258639</v>
      </c>
      <c r="AO148" s="5">
        <f>VLOOKUP($AF148,'251015'!$A$1:$M$200,5,FALSE)</f>
        <v>350</v>
      </c>
      <c r="AP148" s="5">
        <f t="shared" si="139"/>
        <v>118257</v>
      </c>
      <c r="AQ148" s="5">
        <f t="shared" si="140"/>
        <v>37240</v>
      </c>
      <c r="AR148" s="5">
        <f t="shared" si="141"/>
        <v>0</v>
      </c>
      <c r="AS148" s="5">
        <f>VLOOKUP($AF148,'251016'!$A$1:$M$200,4,FALSE)</f>
        <v>339459</v>
      </c>
      <c r="AT148" s="5">
        <f>VLOOKUP($AF148,'251016'!$A$1:$M$200,5,FALSE)</f>
        <v>350</v>
      </c>
      <c r="AU148" s="5">
        <f t="shared" si="142"/>
        <v>80820</v>
      </c>
      <c r="AV148" s="5">
        <f t="shared" si="143"/>
        <v>-37437</v>
      </c>
      <c r="AW148" s="5">
        <f t="shared" si="144"/>
        <v>0</v>
      </c>
      <c r="AX148" s="5">
        <f>VLOOKUP($AF148,'251017'!$A$1:$M$200,4,FALSE)</f>
        <v>440482</v>
      </c>
      <c r="AY148" s="5">
        <f>VLOOKUP($AF148,'251017'!$A$1:$M$200,5,FALSE)</f>
        <v>956</v>
      </c>
      <c r="AZ148" s="5">
        <f t="shared" si="145"/>
        <v>101023</v>
      </c>
      <c r="BA148" s="5">
        <f t="shared" si="146"/>
        <v>20203</v>
      </c>
      <c r="BB148" s="5">
        <f t="shared" si="147"/>
        <v>606</v>
      </c>
      <c r="BC148" s="5">
        <f>VLOOKUP($AF148,'251018'!$A$1:$M$200,4,FALSE)</f>
        <v>480351</v>
      </c>
      <c r="BD148" s="5">
        <f>VLOOKUP($AF148,'251018'!$A$1:$M$200,5,FALSE)</f>
        <v>956</v>
      </c>
      <c r="BE148" s="5">
        <f t="shared" si="148"/>
        <v>39869</v>
      </c>
      <c r="BF148" s="5">
        <f t="shared" si="149"/>
        <v>-61154</v>
      </c>
      <c r="BG148" s="5">
        <f t="shared" si="150"/>
        <v>0</v>
      </c>
      <c r="BH148" s="5">
        <f>VLOOKUP($AF148,'251018'!$A$1:$M$200,4,FALSE)</f>
        <v>480351</v>
      </c>
    </row>
    <row r="149" spans="2:60" x14ac:dyDescent="0.3">
      <c r="B149" s="5" t="s">
        <v>870</v>
      </c>
      <c r="C149" s="5">
        <f>VLOOKUP($B149,'251008_0시'!$A$1:$M$200,4,FALSE)</f>
        <v>167753</v>
      </c>
      <c r="D149" s="5">
        <f>VLOOKUP($B149,'251008_0시'!$A$1:$M$200,5,FALSE)</f>
        <v>0</v>
      </c>
      <c r="E149" s="5">
        <f>VLOOKUP($B149,'251009_0시'!$A$1:$M$200,4,FALSE)</f>
        <v>226059</v>
      </c>
      <c r="F149" s="5">
        <f>VLOOKUP($B149,'251009_0시'!$A$1:$M$200,5,FALSE)</f>
        <v>0</v>
      </c>
      <c r="G149" s="5">
        <f t="shared" si="121"/>
        <v>58306</v>
      </c>
      <c r="H149" s="5">
        <f t="shared" si="122"/>
        <v>-25570.5</v>
      </c>
      <c r="I149" s="5">
        <f t="shared" si="123"/>
        <v>0</v>
      </c>
      <c r="J149" s="5">
        <f>VLOOKUP($B149,'251010_0시'!$A$1:$M$200,4,FALSE)</f>
        <v>323472</v>
      </c>
      <c r="K149" s="5">
        <f>VLOOKUP($B149,'251010_0시'!$A$1:$M$200,5,FALSE)</f>
        <v>270</v>
      </c>
      <c r="L149" s="5">
        <f t="shared" si="124"/>
        <v>97413</v>
      </c>
      <c r="M149" s="5">
        <f t="shared" si="125"/>
        <v>39107</v>
      </c>
      <c r="N149" s="5">
        <f t="shared" si="126"/>
        <v>270</v>
      </c>
      <c r="O149" s="5">
        <f>VLOOKUP($B149,'251011_0시'!$A$1:$M$200,4,FALSE)</f>
        <v>384359</v>
      </c>
      <c r="P149" s="5">
        <f>VLOOKUP($B149,'251011_0시'!$A$1:$M$200,5,FALSE)</f>
        <v>270</v>
      </c>
      <c r="Q149" s="5">
        <f t="shared" si="127"/>
        <v>60887</v>
      </c>
      <c r="R149" s="5">
        <f t="shared" si="128"/>
        <v>-36526</v>
      </c>
      <c r="S149" s="5">
        <f t="shared" si="129"/>
        <v>0</v>
      </c>
      <c r="T149" s="5">
        <f>VLOOKUP($B149,'251012_0시'!$A$1:$M$200,4,FALSE)</f>
        <v>493789</v>
      </c>
      <c r="U149" s="5">
        <f>VLOOKUP($B149,'251012_0시'!$A$1:$M$200,5,FALSE)</f>
        <v>522</v>
      </c>
      <c r="V149" s="5">
        <f t="shared" si="130"/>
        <v>109430</v>
      </c>
      <c r="W149" s="5">
        <f t="shared" si="131"/>
        <v>48543</v>
      </c>
      <c r="X149" s="5">
        <f t="shared" si="132"/>
        <v>252</v>
      </c>
      <c r="Y149" s="5">
        <f>VLOOKUP($B149,'251013_0시'!$A$1:$M$200,4,FALSE)</f>
        <v>558314</v>
      </c>
      <c r="Z149" s="5">
        <f>VLOOKUP($B149,'251013_0시'!$A$1:$M$200,5,FALSE)</f>
        <v>522</v>
      </c>
      <c r="AA149" s="5">
        <f t="shared" si="133"/>
        <v>64525</v>
      </c>
      <c r="AB149" s="5">
        <f t="shared" si="134"/>
        <v>-44905</v>
      </c>
      <c r="AC149" s="5">
        <f t="shared" si="135"/>
        <v>0</v>
      </c>
      <c r="AD149" s="5">
        <f>VLOOKUP($B149,'251013_0시'!$A$1:$M$200,4,FALSE)</f>
        <v>558314</v>
      </c>
      <c r="AF149" s="5" t="s">
        <v>886</v>
      </c>
      <c r="AG149" s="5">
        <f>VLOOKUP($AF149,'251013'!$A$1:$M$200,4,FALSE)</f>
        <v>103624</v>
      </c>
      <c r="AH149" s="5">
        <f>VLOOKUP($AF149,'251013'!$A$1:$M$200,5,FALSE)</f>
        <v>50</v>
      </c>
      <c r="AI149" s="5">
        <f>VLOOKUP($AF149,'251014'!$A$1:$M$200,4,FALSE)</f>
        <v>188830</v>
      </c>
      <c r="AJ149" s="5">
        <f>VLOOKUP($AF149,'251014'!$A$1:$M$200,5,FALSE)</f>
        <v>8600</v>
      </c>
      <c r="AK149" s="5">
        <f t="shared" si="136"/>
        <v>85206</v>
      </c>
      <c r="AL149" s="5">
        <f t="shared" si="137"/>
        <v>-18418</v>
      </c>
      <c r="AM149" s="5">
        <f t="shared" si="138"/>
        <v>8550</v>
      </c>
      <c r="AN149" s="5">
        <f>VLOOKUP($AF149,'251015'!$A$1:$M$200,4,FALSE)</f>
        <v>280938</v>
      </c>
      <c r="AO149" s="5">
        <f>VLOOKUP($AF149,'251015'!$A$1:$M$200,5,FALSE)</f>
        <v>9950</v>
      </c>
      <c r="AP149" s="5">
        <f t="shared" si="139"/>
        <v>92108</v>
      </c>
      <c r="AQ149" s="5">
        <f t="shared" si="140"/>
        <v>6902</v>
      </c>
      <c r="AR149" s="5">
        <f t="shared" si="141"/>
        <v>1350</v>
      </c>
      <c r="AS149" s="5">
        <f>VLOOKUP($AF149,'251016'!$A$1:$M$200,4,FALSE)</f>
        <v>336252</v>
      </c>
      <c r="AT149" s="5">
        <f>VLOOKUP($AF149,'251016'!$A$1:$M$200,5,FALSE)</f>
        <v>9950</v>
      </c>
      <c r="AU149" s="5">
        <f t="shared" si="142"/>
        <v>55314</v>
      </c>
      <c r="AV149" s="5">
        <f t="shared" si="143"/>
        <v>-36794</v>
      </c>
      <c r="AW149" s="5">
        <f t="shared" si="144"/>
        <v>0</v>
      </c>
      <c r="AX149" s="5">
        <f>VLOOKUP($AF149,'251017'!$A$1:$M$200,4,FALSE)</f>
        <v>411110</v>
      </c>
      <c r="AY149" s="5">
        <f>VLOOKUP($AF149,'251017'!$A$1:$M$200,5,FALSE)</f>
        <v>15350</v>
      </c>
      <c r="AZ149" s="5">
        <f t="shared" si="145"/>
        <v>74858</v>
      </c>
      <c r="BA149" s="5">
        <f t="shared" si="146"/>
        <v>19544</v>
      </c>
      <c r="BB149" s="5">
        <f t="shared" si="147"/>
        <v>5400</v>
      </c>
      <c r="BC149" s="5">
        <f>VLOOKUP($AF149,'251018'!$A$1:$M$200,4,FALSE)</f>
        <v>475509</v>
      </c>
      <c r="BD149" s="5">
        <f>VLOOKUP($AF149,'251018'!$A$1:$M$200,5,FALSE)</f>
        <v>15350</v>
      </c>
      <c r="BE149" s="5">
        <f t="shared" si="148"/>
        <v>64399</v>
      </c>
      <c r="BF149" s="5">
        <f t="shared" si="149"/>
        <v>-10459</v>
      </c>
      <c r="BG149" s="5">
        <f t="shared" si="150"/>
        <v>0</v>
      </c>
      <c r="BH149" s="5">
        <f>VLOOKUP($AF149,'251018'!$A$1:$M$200,4,FALSE)</f>
        <v>475509</v>
      </c>
    </row>
    <row r="150" spans="2:60" x14ac:dyDescent="0.3">
      <c r="B150" s="5" t="s">
        <v>828</v>
      </c>
      <c r="C150" s="5">
        <f>VLOOKUP($B150,'251008_0시'!$A$1:$M$200,4,FALSE)</f>
        <v>126857</v>
      </c>
      <c r="D150" s="5">
        <f>VLOOKUP($B150,'251008_0시'!$A$1:$M$200,5,FALSE)</f>
        <v>1350</v>
      </c>
      <c r="E150" s="5">
        <f>VLOOKUP($B150,'251009_0시'!$A$1:$M$200,4,FALSE)</f>
        <v>210651</v>
      </c>
      <c r="F150" s="5">
        <f>VLOOKUP($B150,'251009_0시'!$A$1:$M$200,5,FALSE)</f>
        <v>5450</v>
      </c>
      <c r="G150" s="5">
        <f t="shared" si="121"/>
        <v>83794</v>
      </c>
      <c r="H150" s="5">
        <f t="shared" si="122"/>
        <v>20365.5</v>
      </c>
      <c r="I150" s="5">
        <f t="shared" si="123"/>
        <v>4100</v>
      </c>
      <c r="J150" s="5">
        <f>VLOOKUP($B150,'251010_0시'!$A$1:$M$200,4,FALSE)</f>
        <v>283885</v>
      </c>
      <c r="K150" s="5">
        <f>VLOOKUP($B150,'251010_0시'!$A$1:$M$200,5,FALSE)</f>
        <v>9500</v>
      </c>
      <c r="L150" s="5">
        <f t="shared" si="124"/>
        <v>73234</v>
      </c>
      <c r="M150" s="5">
        <f t="shared" si="125"/>
        <v>-10560</v>
      </c>
      <c r="N150" s="5">
        <f t="shared" si="126"/>
        <v>4050</v>
      </c>
      <c r="O150" s="5">
        <f>VLOOKUP($B150,'251011_0시'!$A$1:$M$200,4,FALSE)</f>
        <v>393334</v>
      </c>
      <c r="P150" s="5">
        <f>VLOOKUP($B150,'251011_0시'!$A$1:$M$200,5,FALSE)</f>
        <v>10850</v>
      </c>
      <c r="Q150" s="5">
        <f t="shared" si="127"/>
        <v>109449</v>
      </c>
      <c r="R150" s="5">
        <f t="shared" si="128"/>
        <v>36215</v>
      </c>
      <c r="S150" s="5">
        <f t="shared" si="129"/>
        <v>1350</v>
      </c>
      <c r="T150" s="5">
        <f>VLOOKUP($B150,'251012_0시'!$A$1:$M$200,4,FALSE)</f>
        <v>467487</v>
      </c>
      <c r="U150" s="5">
        <f>VLOOKUP($B150,'251012_0시'!$A$1:$M$200,5,FALSE)</f>
        <v>12650</v>
      </c>
      <c r="V150" s="5">
        <f t="shared" si="130"/>
        <v>74153</v>
      </c>
      <c r="W150" s="5">
        <f t="shared" si="131"/>
        <v>-35296</v>
      </c>
      <c r="X150" s="5">
        <f t="shared" si="132"/>
        <v>1800</v>
      </c>
      <c r="Y150" s="5">
        <f>VLOOKUP($B150,'251013_0시'!$A$1:$M$200,4,FALSE)</f>
        <v>555771</v>
      </c>
      <c r="Z150" s="5">
        <f>VLOOKUP($B150,'251013_0시'!$A$1:$M$200,5,FALSE)</f>
        <v>13500</v>
      </c>
      <c r="AA150" s="5">
        <f t="shared" si="133"/>
        <v>88284</v>
      </c>
      <c r="AB150" s="5">
        <f t="shared" si="134"/>
        <v>14131</v>
      </c>
      <c r="AC150" s="5">
        <f t="shared" si="135"/>
        <v>850</v>
      </c>
      <c r="AD150" s="5">
        <f>VLOOKUP($B150,'251013_0시'!$A$1:$M$200,4,FALSE)</f>
        <v>555771</v>
      </c>
      <c r="AF150" s="5" t="s">
        <v>845</v>
      </c>
      <c r="AG150" s="5">
        <f>VLOOKUP($AF150,'251013'!$A$1:$M$200,4,FALSE)</f>
        <v>61052</v>
      </c>
      <c r="AH150" s="5">
        <f>VLOOKUP($AF150,'251013'!$A$1:$M$200,5,FALSE)</f>
        <v>350</v>
      </c>
      <c r="AI150" s="5">
        <f>VLOOKUP($AF150,'251014'!$A$1:$M$200,4,FALSE)</f>
        <v>139872</v>
      </c>
      <c r="AJ150" s="5">
        <f>VLOOKUP($AF150,'251014'!$A$1:$M$200,5,FALSE)</f>
        <v>350</v>
      </c>
      <c r="AK150" s="5">
        <f t="shared" si="136"/>
        <v>78820</v>
      </c>
      <c r="AL150" s="5">
        <f t="shared" si="137"/>
        <v>17768</v>
      </c>
      <c r="AM150" s="5">
        <f t="shared" si="138"/>
        <v>0</v>
      </c>
      <c r="AN150" s="5">
        <f>VLOOKUP($AF150,'251015'!$A$1:$M$200,4,FALSE)</f>
        <v>247612</v>
      </c>
      <c r="AO150" s="5">
        <f>VLOOKUP($AF150,'251015'!$A$1:$M$200,5,FALSE)</f>
        <v>350</v>
      </c>
      <c r="AP150" s="5">
        <f t="shared" si="139"/>
        <v>107740</v>
      </c>
      <c r="AQ150" s="5">
        <f t="shared" si="140"/>
        <v>28920</v>
      </c>
      <c r="AR150" s="5">
        <f t="shared" si="141"/>
        <v>0</v>
      </c>
      <c r="AS150" s="5">
        <f>VLOOKUP($AF150,'251016'!$A$1:$M$200,4,FALSE)</f>
        <v>295521</v>
      </c>
      <c r="AT150" s="5">
        <f>VLOOKUP($AF150,'251016'!$A$1:$M$200,5,FALSE)</f>
        <v>1250</v>
      </c>
      <c r="AU150" s="5">
        <f t="shared" si="142"/>
        <v>47909</v>
      </c>
      <c r="AV150" s="5">
        <f t="shared" si="143"/>
        <v>-59831</v>
      </c>
      <c r="AW150" s="5">
        <f t="shared" si="144"/>
        <v>900</v>
      </c>
      <c r="AX150" s="5">
        <f>VLOOKUP($AF150,'251017'!$A$1:$M$200,4,FALSE)</f>
        <v>358642</v>
      </c>
      <c r="AY150" s="5">
        <f>VLOOKUP($AF150,'251017'!$A$1:$M$200,5,FALSE)</f>
        <v>1250</v>
      </c>
      <c r="AZ150" s="5">
        <f t="shared" si="145"/>
        <v>63121</v>
      </c>
      <c r="BA150" s="5">
        <f t="shared" si="146"/>
        <v>15212</v>
      </c>
      <c r="BB150" s="5">
        <f t="shared" si="147"/>
        <v>0</v>
      </c>
      <c r="BC150" s="5">
        <f>VLOOKUP($AF150,'251018'!$A$1:$M$200,4,FALSE)</f>
        <v>471008</v>
      </c>
      <c r="BD150" s="5">
        <f>VLOOKUP($AF150,'251018'!$A$1:$M$200,5,FALSE)</f>
        <v>1600</v>
      </c>
      <c r="BE150" s="5">
        <f t="shared" si="148"/>
        <v>112366</v>
      </c>
      <c r="BF150" s="5">
        <f t="shared" si="149"/>
        <v>49245</v>
      </c>
      <c r="BG150" s="5">
        <f t="shared" si="150"/>
        <v>350</v>
      </c>
      <c r="BH150" s="5">
        <f>VLOOKUP($AF150,'251018'!$A$1:$M$200,4,FALSE)</f>
        <v>471008</v>
      </c>
    </row>
    <row r="151" spans="2:60" x14ac:dyDescent="0.3">
      <c r="B151" s="5" t="s">
        <v>871</v>
      </c>
      <c r="C151" s="5">
        <f>VLOOKUP($B151,'251008_0시'!$A$1:$M$200,4,FALSE)</f>
        <v>156105</v>
      </c>
      <c r="D151" s="5">
        <f>VLOOKUP($B151,'251008_0시'!$A$1:$M$200,5,FALSE)</f>
        <v>0</v>
      </c>
      <c r="E151" s="5">
        <f>VLOOKUP($B151,'251009_0시'!$A$1:$M$200,4,FALSE)</f>
        <v>226352</v>
      </c>
      <c r="F151" s="5">
        <f>VLOOKUP($B151,'251009_0시'!$A$1:$M$200,5,FALSE)</f>
        <v>350</v>
      </c>
      <c r="G151" s="5">
        <f t="shared" si="121"/>
        <v>70247</v>
      </c>
      <c r="H151" s="5">
        <f t="shared" si="122"/>
        <v>-7805.5</v>
      </c>
      <c r="I151" s="5">
        <f t="shared" si="123"/>
        <v>350</v>
      </c>
      <c r="J151" s="5">
        <f>VLOOKUP($B151,'251010_0시'!$A$1:$M$200,4,FALSE)</f>
        <v>304682</v>
      </c>
      <c r="K151" s="5">
        <f>VLOOKUP($B151,'251010_0시'!$A$1:$M$200,5,FALSE)</f>
        <v>350</v>
      </c>
      <c r="L151" s="5">
        <f t="shared" si="124"/>
        <v>78330</v>
      </c>
      <c r="M151" s="5">
        <f t="shared" si="125"/>
        <v>8083</v>
      </c>
      <c r="N151" s="5">
        <f t="shared" si="126"/>
        <v>0</v>
      </c>
      <c r="O151" s="5">
        <f>VLOOKUP($B151,'251011_0시'!$A$1:$M$200,4,FALSE)</f>
        <v>397863</v>
      </c>
      <c r="P151" s="5">
        <f>VLOOKUP($B151,'251011_0시'!$A$1:$M$200,5,FALSE)</f>
        <v>700</v>
      </c>
      <c r="Q151" s="5">
        <f t="shared" si="127"/>
        <v>93181</v>
      </c>
      <c r="R151" s="5">
        <f t="shared" si="128"/>
        <v>14851</v>
      </c>
      <c r="S151" s="5">
        <f t="shared" si="129"/>
        <v>350</v>
      </c>
      <c r="T151" s="5">
        <f>VLOOKUP($B151,'251012_0시'!$A$1:$M$200,4,FALSE)</f>
        <v>492278</v>
      </c>
      <c r="U151" s="5">
        <f>VLOOKUP($B151,'251012_0시'!$A$1:$M$200,5,FALSE)</f>
        <v>750</v>
      </c>
      <c r="V151" s="5">
        <f t="shared" si="130"/>
        <v>94415</v>
      </c>
      <c r="W151" s="5">
        <f t="shared" si="131"/>
        <v>1234</v>
      </c>
      <c r="X151" s="5">
        <f t="shared" si="132"/>
        <v>50</v>
      </c>
      <c r="Y151" s="5">
        <f>VLOOKUP($B151,'251013_0시'!$A$1:$M$200,4,FALSE)</f>
        <v>545881</v>
      </c>
      <c r="Z151" s="5">
        <f>VLOOKUP($B151,'251013_0시'!$A$1:$M$200,5,FALSE)</f>
        <v>750</v>
      </c>
      <c r="AA151" s="5">
        <f t="shared" si="133"/>
        <v>53603</v>
      </c>
      <c r="AB151" s="5">
        <f t="shared" si="134"/>
        <v>-40812</v>
      </c>
      <c r="AC151" s="5">
        <f t="shared" si="135"/>
        <v>0</v>
      </c>
      <c r="AD151" s="5">
        <f>VLOOKUP($B151,'251013_0시'!$A$1:$M$200,4,FALSE)</f>
        <v>545881</v>
      </c>
      <c r="AF151" s="5" t="s">
        <v>874</v>
      </c>
      <c r="AG151" s="5">
        <f>VLOOKUP($AF151,'251013'!$A$1:$M$200,4,FALSE)</f>
        <v>66888</v>
      </c>
      <c r="AH151" s="5">
        <f>VLOOKUP($AF151,'251013'!$A$1:$M$200,5,FALSE)</f>
        <v>8246</v>
      </c>
      <c r="AI151" s="5">
        <f>VLOOKUP($AF151,'251014'!$A$1:$M$200,4,FALSE)</f>
        <v>155857</v>
      </c>
      <c r="AJ151" s="5">
        <f>VLOOKUP($AF151,'251014'!$A$1:$M$200,5,FALSE)</f>
        <v>10489</v>
      </c>
      <c r="AK151" s="5">
        <f t="shared" si="136"/>
        <v>88969</v>
      </c>
      <c r="AL151" s="5">
        <f t="shared" si="137"/>
        <v>22081</v>
      </c>
      <c r="AM151" s="5">
        <f t="shared" si="138"/>
        <v>2243</v>
      </c>
      <c r="AN151" s="5">
        <f>VLOOKUP($AF151,'251015'!$A$1:$M$200,4,FALSE)</f>
        <v>209489</v>
      </c>
      <c r="AO151" s="5">
        <f>VLOOKUP($AF151,'251015'!$A$1:$M$200,5,FALSE)</f>
        <v>10489</v>
      </c>
      <c r="AP151" s="5">
        <f t="shared" si="139"/>
        <v>53632</v>
      </c>
      <c r="AQ151" s="5">
        <f t="shared" si="140"/>
        <v>-35337</v>
      </c>
      <c r="AR151" s="5">
        <f t="shared" si="141"/>
        <v>0</v>
      </c>
      <c r="AS151" s="5">
        <f>VLOOKUP($AF151,'251016'!$A$1:$M$200,4,FALSE)</f>
        <v>267239</v>
      </c>
      <c r="AT151" s="5">
        <f>VLOOKUP($AF151,'251016'!$A$1:$M$200,5,FALSE)</f>
        <v>10489</v>
      </c>
      <c r="AU151" s="5">
        <f t="shared" si="142"/>
        <v>57750</v>
      </c>
      <c r="AV151" s="5">
        <f t="shared" si="143"/>
        <v>4118</v>
      </c>
      <c r="AW151" s="5">
        <f t="shared" si="144"/>
        <v>0</v>
      </c>
      <c r="AX151" s="5">
        <f>VLOOKUP($AF151,'251017'!$A$1:$M$200,4,FALSE)</f>
        <v>357757</v>
      </c>
      <c r="AY151" s="5">
        <f>VLOOKUP($AF151,'251017'!$A$1:$M$200,5,FALSE)</f>
        <v>10839</v>
      </c>
      <c r="AZ151" s="5">
        <f t="shared" si="145"/>
        <v>90518</v>
      </c>
      <c r="BA151" s="5">
        <f t="shared" si="146"/>
        <v>32768</v>
      </c>
      <c r="BB151" s="5">
        <f t="shared" si="147"/>
        <v>350</v>
      </c>
      <c r="BC151" s="5">
        <f>VLOOKUP($AF151,'251018'!$A$1:$M$200,4,FALSE)</f>
        <v>464705</v>
      </c>
      <c r="BD151" s="5">
        <f>VLOOKUP($AF151,'251018'!$A$1:$M$200,5,FALSE)</f>
        <v>13219</v>
      </c>
      <c r="BE151" s="5">
        <f t="shared" si="148"/>
        <v>106948</v>
      </c>
      <c r="BF151" s="5">
        <f t="shared" si="149"/>
        <v>16430</v>
      </c>
      <c r="BG151" s="5">
        <f t="shared" si="150"/>
        <v>2380</v>
      </c>
      <c r="BH151" s="5">
        <f>VLOOKUP($AF151,'251018'!$A$1:$M$200,4,FALSE)</f>
        <v>464705</v>
      </c>
    </row>
    <row r="152" spans="2:60" x14ac:dyDescent="0.3">
      <c r="B152" s="5" t="s">
        <v>968</v>
      </c>
      <c r="C152" s="5">
        <f>VLOOKUP($B152,'251008_0시'!$A$1:$M$200,4,FALSE)</f>
        <v>149273</v>
      </c>
      <c r="D152" s="5">
        <f>VLOOKUP($B152,'251008_0시'!$A$1:$M$200,5,FALSE)</f>
        <v>0</v>
      </c>
      <c r="E152" s="5">
        <f>VLOOKUP($B152,'251009_0시'!$A$1:$M$200,4,FALSE)</f>
        <v>183110</v>
      </c>
      <c r="F152" s="5">
        <f>VLOOKUP($B152,'251009_0시'!$A$1:$M$200,5,FALSE)</f>
        <v>0</v>
      </c>
      <c r="G152" s="5">
        <f t="shared" si="121"/>
        <v>33837</v>
      </c>
      <c r="H152" s="5">
        <f t="shared" si="122"/>
        <v>-40799.5</v>
      </c>
      <c r="I152" s="5">
        <f t="shared" si="123"/>
        <v>0</v>
      </c>
      <c r="J152" s="5">
        <f>VLOOKUP($B152,'251010_0시'!$A$1:$M$200,4,FALSE)</f>
        <v>194402</v>
      </c>
      <c r="K152" s="5">
        <f>VLOOKUP($B152,'251010_0시'!$A$1:$M$200,5,FALSE)</f>
        <v>0</v>
      </c>
      <c r="L152" s="5">
        <f t="shared" si="124"/>
        <v>11292</v>
      </c>
      <c r="M152" s="5">
        <f t="shared" si="125"/>
        <v>-22545</v>
      </c>
      <c r="N152" s="5">
        <f t="shared" si="126"/>
        <v>0</v>
      </c>
      <c r="O152" s="5">
        <f>VLOOKUP($B152,'251011_0시'!$A$1:$M$200,4,FALSE)</f>
        <v>323048</v>
      </c>
      <c r="P152" s="5">
        <f>VLOOKUP($B152,'251011_0시'!$A$1:$M$200,5,FALSE)</f>
        <v>0</v>
      </c>
      <c r="Q152" s="5">
        <f t="shared" si="127"/>
        <v>128646</v>
      </c>
      <c r="R152" s="5">
        <f t="shared" si="128"/>
        <v>117354</v>
      </c>
      <c r="S152" s="5">
        <f t="shared" si="129"/>
        <v>0</v>
      </c>
      <c r="T152" s="5">
        <f>VLOOKUP($B152,'251012_0시'!$A$1:$M$200,4,FALSE)</f>
        <v>442819</v>
      </c>
      <c r="U152" s="5">
        <f>VLOOKUP($B152,'251012_0시'!$A$1:$M$200,5,FALSE)</f>
        <v>0</v>
      </c>
      <c r="V152" s="5">
        <f t="shared" si="130"/>
        <v>119771</v>
      </c>
      <c r="W152" s="5">
        <f t="shared" si="131"/>
        <v>-8875</v>
      </c>
      <c r="X152" s="5">
        <f t="shared" si="132"/>
        <v>0</v>
      </c>
      <c r="Y152" s="5">
        <f>VLOOKUP($B152,'251013_0시'!$A$1:$M$200,4,FALSE)</f>
        <v>534684</v>
      </c>
      <c r="Z152" s="5">
        <f>VLOOKUP($B152,'251013_0시'!$A$1:$M$200,5,FALSE)</f>
        <v>0</v>
      </c>
      <c r="AA152" s="5">
        <f t="shared" si="133"/>
        <v>91865</v>
      </c>
      <c r="AB152" s="5">
        <f t="shared" si="134"/>
        <v>-27906</v>
      </c>
      <c r="AC152" s="5">
        <f t="shared" si="135"/>
        <v>0</v>
      </c>
      <c r="AD152" s="5">
        <f>VLOOKUP($B152,'251013_0시'!$A$1:$M$200,4,FALSE)</f>
        <v>534684</v>
      </c>
      <c r="AF152" s="5" t="s">
        <v>867</v>
      </c>
      <c r="AG152" s="5">
        <f>VLOOKUP($AF152,'251013'!$A$1:$M$200,4,FALSE)</f>
        <v>93092</v>
      </c>
      <c r="AH152" s="5">
        <f>VLOOKUP($AF152,'251013'!$A$1:$M$200,5,FALSE)</f>
        <v>0</v>
      </c>
      <c r="AI152" s="5">
        <f>VLOOKUP($AF152,'251014'!$A$1:$M$200,4,FALSE)</f>
        <v>176915</v>
      </c>
      <c r="AJ152" s="5">
        <f>VLOOKUP($AF152,'251014'!$A$1:$M$200,5,FALSE)</f>
        <v>0</v>
      </c>
      <c r="AK152" s="5">
        <f t="shared" si="136"/>
        <v>83823</v>
      </c>
      <c r="AL152" s="5">
        <f t="shared" si="137"/>
        <v>-9269</v>
      </c>
      <c r="AM152" s="5">
        <f t="shared" si="138"/>
        <v>0</v>
      </c>
      <c r="AN152" s="5">
        <f>VLOOKUP($AF152,'251015'!$A$1:$M$200,4,FALSE)</f>
        <v>223111</v>
      </c>
      <c r="AO152" s="5">
        <f>VLOOKUP($AF152,'251015'!$A$1:$M$200,5,FALSE)</f>
        <v>0</v>
      </c>
      <c r="AP152" s="5">
        <f t="shared" si="139"/>
        <v>46196</v>
      </c>
      <c r="AQ152" s="5">
        <f t="shared" si="140"/>
        <v>-37627</v>
      </c>
      <c r="AR152" s="5">
        <f t="shared" si="141"/>
        <v>0</v>
      </c>
      <c r="AS152" s="5">
        <f>VLOOKUP($AF152,'251016'!$A$1:$M$200,4,FALSE)</f>
        <v>269813</v>
      </c>
      <c r="AT152" s="5">
        <f>VLOOKUP($AF152,'251016'!$A$1:$M$200,5,FALSE)</f>
        <v>0</v>
      </c>
      <c r="AU152" s="5">
        <f t="shared" si="142"/>
        <v>46702</v>
      </c>
      <c r="AV152" s="5">
        <f t="shared" si="143"/>
        <v>506</v>
      </c>
      <c r="AW152" s="5">
        <f t="shared" si="144"/>
        <v>0</v>
      </c>
      <c r="AX152" s="5">
        <f>VLOOKUP($AF152,'251017'!$A$1:$M$200,4,FALSE)</f>
        <v>369657</v>
      </c>
      <c r="AY152" s="5">
        <f>VLOOKUP($AF152,'251017'!$A$1:$M$200,5,FALSE)</f>
        <v>101</v>
      </c>
      <c r="AZ152" s="5">
        <f t="shared" si="145"/>
        <v>99844</v>
      </c>
      <c r="BA152" s="5">
        <f t="shared" si="146"/>
        <v>53142</v>
      </c>
      <c r="BB152" s="5">
        <f t="shared" si="147"/>
        <v>101</v>
      </c>
      <c r="BC152" s="5">
        <f>VLOOKUP($AF152,'251018'!$A$1:$M$200,4,FALSE)</f>
        <v>461579</v>
      </c>
      <c r="BD152" s="5">
        <f>VLOOKUP($AF152,'251018'!$A$1:$M$200,5,FALSE)</f>
        <v>202</v>
      </c>
      <c r="BE152" s="5">
        <f t="shared" si="148"/>
        <v>91922</v>
      </c>
      <c r="BF152" s="5">
        <f t="shared" si="149"/>
        <v>-7922</v>
      </c>
      <c r="BG152" s="5">
        <f t="shared" si="150"/>
        <v>101</v>
      </c>
      <c r="BH152" s="5">
        <f>VLOOKUP($AF152,'251018'!$A$1:$M$200,4,FALSE)</f>
        <v>461579</v>
      </c>
    </row>
    <row r="153" spans="2:60" x14ac:dyDescent="0.3">
      <c r="B153" s="5" t="s">
        <v>869</v>
      </c>
      <c r="C153" s="5">
        <f>VLOOKUP($B153,'251008_0시'!$A$1:$M$200,4,FALSE)</f>
        <v>209285</v>
      </c>
      <c r="D153" s="5">
        <f>VLOOKUP($B153,'251008_0시'!$A$1:$M$200,5,FALSE)</f>
        <v>3150</v>
      </c>
      <c r="E153" s="5">
        <f>VLOOKUP($B153,'251009_0시'!$A$1:$M$200,4,FALSE)</f>
        <v>316625</v>
      </c>
      <c r="F153" s="5">
        <f>VLOOKUP($B153,'251009_0시'!$A$1:$M$200,5,FALSE)</f>
        <v>8100</v>
      </c>
      <c r="G153" s="5">
        <f t="shared" si="121"/>
        <v>107340</v>
      </c>
      <c r="H153" s="5">
        <f t="shared" si="122"/>
        <v>2697.5</v>
      </c>
      <c r="I153" s="5">
        <f t="shared" si="123"/>
        <v>4950</v>
      </c>
      <c r="J153" s="5">
        <f>VLOOKUP($B153,'251010_0시'!$A$1:$M$200,4,FALSE)</f>
        <v>369440</v>
      </c>
      <c r="K153" s="5">
        <f>VLOOKUP($B153,'251010_0시'!$A$1:$M$200,5,FALSE)</f>
        <v>8100</v>
      </c>
      <c r="L153" s="5">
        <f t="shared" si="124"/>
        <v>52815</v>
      </c>
      <c r="M153" s="5">
        <f t="shared" si="125"/>
        <v>-54525</v>
      </c>
      <c r="N153" s="5">
        <f t="shared" si="126"/>
        <v>0</v>
      </c>
      <c r="O153" s="5">
        <f>VLOOKUP($B153,'251011_0시'!$A$1:$M$200,4,FALSE)</f>
        <v>436494</v>
      </c>
      <c r="P153" s="5">
        <f>VLOOKUP($B153,'251011_0시'!$A$1:$M$200,5,FALSE)</f>
        <v>8550</v>
      </c>
      <c r="Q153" s="5">
        <f t="shared" si="127"/>
        <v>67054</v>
      </c>
      <c r="R153" s="5">
        <f t="shared" si="128"/>
        <v>14239</v>
      </c>
      <c r="S153" s="5">
        <f t="shared" si="129"/>
        <v>450</v>
      </c>
      <c r="T153" s="5">
        <f>VLOOKUP($B153,'251012_0시'!$A$1:$M$200,4,FALSE)</f>
        <v>524034</v>
      </c>
      <c r="U153" s="5">
        <f>VLOOKUP($B153,'251012_0시'!$A$1:$M$200,5,FALSE)</f>
        <v>8550</v>
      </c>
      <c r="V153" s="5">
        <f t="shared" si="130"/>
        <v>87540</v>
      </c>
      <c r="W153" s="5">
        <f t="shared" si="131"/>
        <v>20486</v>
      </c>
      <c r="X153" s="5">
        <f t="shared" si="132"/>
        <v>0</v>
      </c>
      <c r="Y153" s="5">
        <f>VLOOKUP($B153,'251013_0시'!$A$1:$M$200,4,FALSE)</f>
        <v>534368</v>
      </c>
      <c r="Z153" s="5">
        <f>VLOOKUP($B153,'251013_0시'!$A$1:$M$200,5,FALSE)</f>
        <v>8550</v>
      </c>
      <c r="AA153" s="5">
        <f t="shared" si="133"/>
        <v>10334</v>
      </c>
      <c r="AB153" s="5">
        <f t="shared" si="134"/>
        <v>-77206</v>
      </c>
      <c r="AC153" s="5">
        <f t="shared" si="135"/>
        <v>0</v>
      </c>
      <c r="AD153" s="5">
        <f>VLOOKUP($B153,'251013_0시'!$A$1:$M$200,4,FALSE)</f>
        <v>534368</v>
      </c>
      <c r="AF153" s="5" t="s">
        <v>970</v>
      </c>
      <c r="AG153" s="5">
        <f>VLOOKUP($AF153,'251013'!$A$1:$M$200,4,FALSE)</f>
        <v>35715</v>
      </c>
      <c r="AH153" s="5">
        <f>VLOOKUP($AF153,'251013'!$A$1:$M$200,5,FALSE)</f>
        <v>0</v>
      </c>
      <c r="AI153" s="5">
        <f>VLOOKUP($AF153,'251014'!$A$1:$M$200,4,FALSE)</f>
        <v>125120</v>
      </c>
      <c r="AJ153" s="5">
        <f>VLOOKUP($AF153,'251014'!$A$1:$M$200,5,FALSE)</f>
        <v>0</v>
      </c>
      <c r="AK153" s="5">
        <f t="shared" si="136"/>
        <v>89405</v>
      </c>
      <c r="AL153" s="5">
        <f t="shared" si="137"/>
        <v>53690</v>
      </c>
      <c r="AM153" s="5">
        <f t="shared" si="138"/>
        <v>0</v>
      </c>
      <c r="AN153" s="5">
        <f>VLOOKUP($AF153,'251015'!$A$1:$M$200,4,FALSE)</f>
        <v>163965</v>
      </c>
      <c r="AO153" s="5">
        <f>VLOOKUP($AF153,'251015'!$A$1:$M$200,5,FALSE)</f>
        <v>0</v>
      </c>
      <c r="AP153" s="5">
        <f t="shared" si="139"/>
        <v>38845</v>
      </c>
      <c r="AQ153" s="5">
        <f t="shared" si="140"/>
        <v>-50560</v>
      </c>
      <c r="AR153" s="5">
        <f t="shared" si="141"/>
        <v>0</v>
      </c>
      <c r="AS153" s="5">
        <f>VLOOKUP($AF153,'251016'!$A$1:$M$200,4,FALSE)</f>
        <v>232291</v>
      </c>
      <c r="AT153" s="5">
        <f>VLOOKUP($AF153,'251016'!$A$1:$M$200,5,FALSE)</f>
        <v>0</v>
      </c>
      <c r="AU153" s="5">
        <f t="shared" si="142"/>
        <v>68326</v>
      </c>
      <c r="AV153" s="5">
        <f t="shared" si="143"/>
        <v>29481</v>
      </c>
      <c r="AW153" s="5">
        <f t="shared" si="144"/>
        <v>0</v>
      </c>
      <c r="AX153" s="5">
        <f>VLOOKUP($AF153,'251017'!$A$1:$M$200,4,FALSE)</f>
        <v>341534</v>
      </c>
      <c r="AY153" s="5">
        <f>VLOOKUP($AF153,'251017'!$A$1:$M$200,5,FALSE)</f>
        <v>0</v>
      </c>
      <c r="AZ153" s="5">
        <f t="shared" si="145"/>
        <v>109243</v>
      </c>
      <c r="BA153" s="5">
        <f t="shared" si="146"/>
        <v>40917</v>
      </c>
      <c r="BB153" s="5">
        <f t="shared" si="147"/>
        <v>0</v>
      </c>
      <c r="BC153" s="5">
        <f>VLOOKUP($AF153,'251018'!$A$1:$M$200,4,FALSE)</f>
        <v>458322</v>
      </c>
      <c r="BD153" s="5">
        <f>VLOOKUP($AF153,'251018'!$A$1:$M$200,5,FALSE)</f>
        <v>1350</v>
      </c>
      <c r="BE153" s="5">
        <f t="shared" si="148"/>
        <v>116788</v>
      </c>
      <c r="BF153" s="5">
        <f t="shared" si="149"/>
        <v>7545</v>
      </c>
      <c r="BG153" s="5">
        <f t="shared" si="150"/>
        <v>1350</v>
      </c>
      <c r="BH153" s="5">
        <f>VLOOKUP($AF153,'251018'!$A$1:$M$200,4,FALSE)</f>
        <v>458322</v>
      </c>
    </row>
    <row r="154" spans="2:60" x14ac:dyDescent="0.3">
      <c r="B154" s="5" t="s">
        <v>604</v>
      </c>
      <c r="C154" s="5">
        <f>VLOOKUP($B154,'251008_0시'!$A$1:$M$200,4,FALSE)</f>
        <v>129375</v>
      </c>
      <c r="D154" s="5">
        <f>VLOOKUP($B154,'251008_0시'!$A$1:$M$200,5,FALSE)</f>
        <v>350</v>
      </c>
      <c r="E154" s="5">
        <f>VLOOKUP($B154,'251009_0시'!$A$1:$M$200,4,FALSE)</f>
        <v>194890</v>
      </c>
      <c r="F154" s="5">
        <f>VLOOKUP($B154,'251009_0시'!$A$1:$M$200,5,FALSE)</f>
        <v>350</v>
      </c>
      <c r="G154" s="5">
        <f t="shared" si="121"/>
        <v>65515</v>
      </c>
      <c r="H154" s="5">
        <f t="shared" si="122"/>
        <v>827.5</v>
      </c>
      <c r="I154" s="5">
        <f t="shared" si="123"/>
        <v>0</v>
      </c>
      <c r="J154" s="5">
        <f>VLOOKUP($B154,'251010_0시'!$A$1:$M$200,4,FALSE)</f>
        <v>299868</v>
      </c>
      <c r="K154" s="5">
        <f>VLOOKUP($B154,'251010_0시'!$A$1:$M$200,5,FALSE)</f>
        <v>350</v>
      </c>
      <c r="L154" s="5">
        <f t="shared" si="124"/>
        <v>104978</v>
      </c>
      <c r="M154" s="5">
        <f t="shared" si="125"/>
        <v>39463</v>
      </c>
      <c r="N154" s="5">
        <f t="shared" si="126"/>
        <v>0</v>
      </c>
      <c r="O154" s="5">
        <f>VLOOKUP($B154,'251011_0시'!$A$1:$M$200,4,FALSE)</f>
        <v>344376</v>
      </c>
      <c r="P154" s="5">
        <f>VLOOKUP($B154,'251011_0시'!$A$1:$M$200,5,FALSE)</f>
        <v>350</v>
      </c>
      <c r="Q154" s="5">
        <f t="shared" si="127"/>
        <v>44508</v>
      </c>
      <c r="R154" s="5">
        <f t="shared" si="128"/>
        <v>-60470</v>
      </c>
      <c r="S154" s="5">
        <f t="shared" si="129"/>
        <v>0</v>
      </c>
      <c r="T154" s="5">
        <f>VLOOKUP($B154,'251012_0시'!$A$1:$M$200,4,FALSE)</f>
        <v>435364</v>
      </c>
      <c r="U154" s="5">
        <f>VLOOKUP($B154,'251012_0시'!$A$1:$M$200,5,FALSE)</f>
        <v>350</v>
      </c>
      <c r="V154" s="5">
        <f t="shared" si="130"/>
        <v>90988</v>
      </c>
      <c r="W154" s="5">
        <f t="shared" si="131"/>
        <v>46480</v>
      </c>
      <c r="X154" s="5">
        <f t="shared" si="132"/>
        <v>0</v>
      </c>
      <c r="Y154" s="5">
        <f>VLOOKUP($B154,'251013_0시'!$A$1:$M$200,4,FALSE)</f>
        <v>532847</v>
      </c>
      <c r="Z154" s="5">
        <f>VLOOKUP($B154,'251013_0시'!$A$1:$M$200,5,FALSE)</f>
        <v>350</v>
      </c>
      <c r="AA154" s="5">
        <f t="shared" si="133"/>
        <v>97483</v>
      </c>
      <c r="AB154" s="5">
        <f t="shared" si="134"/>
        <v>6495</v>
      </c>
      <c r="AC154" s="5">
        <f t="shared" si="135"/>
        <v>0</v>
      </c>
      <c r="AD154" s="5">
        <f>VLOOKUP($B154,'251013_0시'!$A$1:$M$200,4,FALSE)</f>
        <v>532847</v>
      </c>
      <c r="AF154" s="5" t="s">
        <v>870</v>
      </c>
      <c r="AG154" s="5">
        <f>VLOOKUP($AF154,'251013'!$A$1:$M$200,4,FALSE)</f>
        <v>88743</v>
      </c>
      <c r="AH154" s="5">
        <f>VLOOKUP($AF154,'251013'!$A$1:$M$200,5,FALSE)</f>
        <v>0</v>
      </c>
      <c r="AI154" s="5">
        <f>VLOOKUP($AF154,'251014'!$A$1:$M$200,4,FALSE)</f>
        <v>151038</v>
      </c>
      <c r="AJ154" s="5">
        <f>VLOOKUP($AF154,'251014'!$A$1:$M$200,5,FALSE)</f>
        <v>0</v>
      </c>
      <c r="AK154" s="5">
        <f t="shared" si="136"/>
        <v>62295</v>
      </c>
      <c r="AL154" s="5">
        <f t="shared" si="137"/>
        <v>-26448</v>
      </c>
      <c r="AM154" s="5">
        <f t="shared" si="138"/>
        <v>0</v>
      </c>
      <c r="AN154" s="5">
        <f>VLOOKUP($AF154,'251015'!$A$1:$M$200,4,FALSE)</f>
        <v>232786</v>
      </c>
      <c r="AO154" s="5">
        <f>VLOOKUP($AF154,'251015'!$A$1:$M$200,5,FALSE)</f>
        <v>50</v>
      </c>
      <c r="AP154" s="5">
        <f t="shared" si="139"/>
        <v>81748</v>
      </c>
      <c r="AQ154" s="5">
        <f t="shared" si="140"/>
        <v>19453</v>
      </c>
      <c r="AR154" s="5">
        <f t="shared" si="141"/>
        <v>50</v>
      </c>
      <c r="AS154" s="5">
        <f>VLOOKUP($AF154,'251016'!$A$1:$M$200,4,FALSE)</f>
        <v>309050</v>
      </c>
      <c r="AT154" s="5">
        <f>VLOOKUP($AF154,'251016'!$A$1:$M$200,5,FALSE)</f>
        <v>50</v>
      </c>
      <c r="AU154" s="5">
        <f t="shared" si="142"/>
        <v>76264</v>
      </c>
      <c r="AV154" s="5">
        <f t="shared" si="143"/>
        <v>-5484</v>
      </c>
      <c r="AW154" s="5">
        <f t="shared" si="144"/>
        <v>0</v>
      </c>
      <c r="AX154" s="5">
        <f>VLOOKUP($AF154,'251017'!$A$1:$M$200,4,FALSE)</f>
        <v>388384</v>
      </c>
      <c r="AY154" s="5">
        <f>VLOOKUP($AF154,'251017'!$A$1:$M$200,5,FALSE)</f>
        <v>50</v>
      </c>
      <c r="AZ154" s="5">
        <f t="shared" si="145"/>
        <v>79334</v>
      </c>
      <c r="BA154" s="5">
        <f t="shared" si="146"/>
        <v>3070</v>
      </c>
      <c r="BB154" s="5">
        <f t="shared" si="147"/>
        <v>0</v>
      </c>
      <c r="BC154" s="5">
        <f>VLOOKUP($AF154,'251018'!$A$1:$M$200,4,FALSE)</f>
        <v>458124</v>
      </c>
      <c r="BD154" s="5">
        <f>VLOOKUP($AF154,'251018'!$A$1:$M$200,5,FALSE)</f>
        <v>50</v>
      </c>
      <c r="BE154" s="5">
        <f t="shared" si="148"/>
        <v>69740</v>
      </c>
      <c r="BF154" s="5">
        <f t="shared" si="149"/>
        <v>-9594</v>
      </c>
      <c r="BG154" s="5">
        <f t="shared" si="150"/>
        <v>0</v>
      </c>
      <c r="BH154" s="5">
        <f>VLOOKUP($AF154,'251018'!$A$1:$M$200,4,FALSE)</f>
        <v>458124</v>
      </c>
    </row>
    <row r="155" spans="2:60" x14ac:dyDescent="0.3">
      <c r="B155" s="5" t="s">
        <v>852</v>
      </c>
      <c r="C155" s="5">
        <f>VLOOKUP($B155,'251008_0시'!$A$1:$M$200,4,FALSE)</f>
        <v>134707</v>
      </c>
      <c r="D155" s="5">
        <f>VLOOKUP($B155,'251008_0시'!$A$1:$M$200,5,FALSE)</f>
        <v>0</v>
      </c>
      <c r="E155" s="5">
        <f>VLOOKUP($B155,'251009_0시'!$A$1:$M$200,4,FALSE)</f>
        <v>205114</v>
      </c>
      <c r="F155" s="5">
        <f>VLOOKUP($B155,'251009_0시'!$A$1:$M$200,5,FALSE)</f>
        <v>350</v>
      </c>
      <c r="G155" s="5">
        <f t="shared" si="121"/>
        <v>70407</v>
      </c>
      <c r="H155" s="5">
        <f t="shared" si="122"/>
        <v>3053.5</v>
      </c>
      <c r="I155" s="5">
        <f t="shared" si="123"/>
        <v>350</v>
      </c>
      <c r="J155" s="5">
        <f>VLOOKUP($B155,'251010_0시'!$A$1:$M$200,4,FALSE)</f>
        <v>280010</v>
      </c>
      <c r="K155" s="5">
        <f>VLOOKUP($B155,'251010_0시'!$A$1:$M$200,5,FALSE)</f>
        <v>552</v>
      </c>
      <c r="L155" s="5">
        <f t="shared" si="124"/>
        <v>74896</v>
      </c>
      <c r="M155" s="5">
        <f t="shared" si="125"/>
        <v>4489</v>
      </c>
      <c r="N155" s="5">
        <f t="shared" si="126"/>
        <v>202</v>
      </c>
      <c r="O155" s="5">
        <f>VLOOKUP($B155,'251011_0시'!$A$1:$M$200,4,FALSE)</f>
        <v>366275</v>
      </c>
      <c r="P155" s="5">
        <f>VLOOKUP($B155,'251011_0시'!$A$1:$M$200,5,FALSE)</f>
        <v>552</v>
      </c>
      <c r="Q155" s="5">
        <f t="shared" si="127"/>
        <v>86265</v>
      </c>
      <c r="R155" s="5">
        <f t="shared" si="128"/>
        <v>11369</v>
      </c>
      <c r="S155" s="5">
        <f t="shared" si="129"/>
        <v>0</v>
      </c>
      <c r="T155" s="5">
        <f>VLOOKUP($B155,'251012_0시'!$A$1:$M$200,4,FALSE)</f>
        <v>451702</v>
      </c>
      <c r="U155" s="5">
        <f>VLOOKUP($B155,'251012_0시'!$A$1:$M$200,5,FALSE)</f>
        <v>552</v>
      </c>
      <c r="V155" s="5">
        <f t="shared" si="130"/>
        <v>85427</v>
      </c>
      <c r="W155" s="5">
        <f t="shared" si="131"/>
        <v>-838</v>
      </c>
      <c r="X155" s="5">
        <f t="shared" si="132"/>
        <v>0</v>
      </c>
      <c r="Y155" s="5">
        <f>VLOOKUP($B155,'251013_0시'!$A$1:$M$200,4,FALSE)</f>
        <v>514691</v>
      </c>
      <c r="Z155" s="5">
        <f>VLOOKUP($B155,'251013_0시'!$A$1:$M$200,5,FALSE)</f>
        <v>552</v>
      </c>
      <c r="AA155" s="5">
        <f t="shared" si="133"/>
        <v>62989</v>
      </c>
      <c r="AB155" s="5">
        <f t="shared" si="134"/>
        <v>-22438</v>
      </c>
      <c r="AC155" s="5">
        <f t="shared" si="135"/>
        <v>0</v>
      </c>
      <c r="AD155" s="5">
        <f>VLOOKUP($B155,'251013_0시'!$A$1:$M$200,4,FALSE)</f>
        <v>514691</v>
      </c>
      <c r="AF155" s="5" t="s">
        <v>856</v>
      </c>
      <c r="AG155" s="5">
        <f>VLOOKUP($AF155,'251013'!$A$1:$M$200,4,FALSE)</f>
        <v>24477</v>
      </c>
      <c r="AH155" s="5">
        <f>VLOOKUP($AF155,'251013'!$A$1:$M$200,5,FALSE)</f>
        <v>350</v>
      </c>
      <c r="AI155" s="5">
        <f>VLOOKUP($AF155,'251014'!$A$1:$M$200,4,FALSE)</f>
        <v>124872</v>
      </c>
      <c r="AJ155" s="5">
        <f>VLOOKUP($AF155,'251014'!$A$1:$M$200,5,FALSE)</f>
        <v>350</v>
      </c>
      <c r="AK155" s="5">
        <f t="shared" si="136"/>
        <v>100395</v>
      </c>
      <c r="AL155" s="5">
        <f t="shared" si="137"/>
        <v>75918</v>
      </c>
      <c r="AM155" s="5">
        <f t="shared" si="138"/>
        <v>0</v>
      </c>
      <c r="AN155" s="5">
        <f>VLOOKUP($AF155,'251015'!$A$1:$M$200,4,FALSE)</f>
        <v>205346</v>
      </c>
      <c r="AO155" s="5">
        <f>VLOOKUP($AF155,'251015'!$A$1:$M$200,5,FALSE)</f>
        <v>450</v>
      </c>
      <c r="AP155" s="5">
        <f t="shared" si="139"/>
        <v>80474</v>
      </c>
      <c r="AQ155" s="5">
        <f t="shared" si="140"/>
        <v>-19921</v>
      </c>
      <c r="AR155" s="5">
        <f t="shared" si="141"/>
        <v>100</v>
      </c>
      <c r="AS155" s="5">
        <f>VLOOKUP($AF155,'251016'!$A$1:$M$200,4,FALSE)</f>
        <v>265953</v>
      </c>
      <c r="AT155" s="5">
        <f>VLOOKUP($AF155,'251016'!$A$1:$M$200,5,FALSE)</f>
        <v>450</v>
      </c>
      <c r="AU155" s="5">
        <f t="shared" si="142"/>
        <v>60607</v>
      </c>
      <c r="AV155" s="5">
        <f t="shared" si="143"/>
        <v>-19867</v>
      </c>
      <c r="AW155" s="5">
        <f t="shared" si="144"/>
        <v>0</v>
      </c>
      <c r="AX155" s="5">
        <f>VLOOKUP($AF155,'251017'!$A$1:$M$200,4,FALSE)</f>
        <v>351090</v>
      </c>
      <c r="AY155" s="5">
        <f>VLOOKUP($AF155,'251017'!$A$1:$M$200,5,FALSE)</f>
        <v>500</v>
      </c>
      <c r="AZ155" s="5">
        <f t="shared" si="145"/>
        <v>85137</v>
      </c>
      <c r="BA155" s="5">
        <f t="shared" si="146"/>
        <v>24530</v>
      </c>
      <c r="BB155" s="5">
        <f t="shared" si="147"/>
        <v>50</v>
      </c>
      <c r="BC155" s="5">
        <f>VLOOKUP($AF155,'251018'!$A$1:$M$200,4,FALSE)</f>
        <v>440366</v>
      </c>
      <c r="BD155" s="5">
        <f>VLOOKUP($AF155,'251018'!$A$1:$M$200,5,FALSE)</f>
        <v>700</v>
      </c>
      <c r="BE155" s="5">
        <f t="shared" si="148"/>
        <v>89276</v>
      </c>
      <c r="BF155" s="5">
        <f t="shared" si="149"/>
        <v>4139</v>
      </c>
      <c r="BG155" s="5">
        <f t="shared" si="150"/>
        <v>200</v>
      </c>
      <c r="BH155" s="5">
        <f>VLOOKUP($AF155,'251018'!$A$1:$M$200,4,FALSE)</f>
        <v>440366</v>
      </c>
    </row>
    <row r="156" spans="2:60" x14ac:dyDescent="0.3">
      <c r="B156" s="5" t="s">
        <v>832</v>
      </c>
      <c r="C156" s="5">
        <f>VLOOKUP($B156,'251008_0시'!$A$1:$M$200,4,FALSE)</f>
        <v>130254</v>
      </c>
      <c r="D156" s="5">
        <f>VLOOKUP($B156,'251008_0시'!$A$1:$M$200,5,FALSE)</f>
        <v>8100</v>
      </c>
      <c r="E156" s="5">
        <f>VLOOKUP($B156,'251009_0시'!$A$1:$M$200,4,FALSE)</f>
        <v>233224</v>
      </c>
      <c r="F156" s="5">
        <f>VLOOKUP($B156,'251009_0시'!$A$1:$M$200,5,FALSE)</f>
        <v>9900</v>
      </c>
      <c r="G156" s="5">
        <f t="shared" si="121"/>
        <v>102970</v>
      </c>
      <c r="H156" s="5">
        <f t="shared" si="122"/>
        <v>37843</v>
      </c>
      <c r="I156" s="5">
        <f t="shared" si="123"/>
        <v>1800</v>
      </c>
      <c r="J156" s="5">
        <f>VLOOKUP($B156,'251010_0시'!$A$1:$M$200,4,FALSE)</f>
        <v>334032</v>
      </c>
      <c r="K156" s="5">
        <f>VLOOKUP($B156,'251010_0시'!$A$1:$M$200,5,FALSE)</f>
        <v>11700</v>
      </c>
      <c r="L156" s="5">
        <f t="shared" si="124"/>
        <v>100808</v>
      </c>
      <c r="M156" s="5">
        <f t="shared" si="125"/>
        <v>-2162</v>
      </c>
      <c r="N156" s="5">
        <f t="shared" si="126"/>
        <v>1800</v>
      </c>
      <c r="O156" s="5">
        <f>VLOOKUP($B156,'251011_0시'!$A$1:$M$200,4,FALSE)</f>
        <v>380373</v>
      </c>
      <c r="P156" s="5">
        <f>VLOOKUP($B156,'251011_0시'!$A$1:$M$200,5,FALSE)</f>
        <v>11700</v>
      </c>
      <c r="Q156" s="5">
        <f t="shared" si="127"/>
        <v>46341</v>
      </c>
      <c r="R156" s="5">
        <f t="shared" si="128"/>
        <v>-54467</v>
      </c>
      <c r="S156" s="5">
        <f t="shared" si="129"/>
        <v>0</v>
      </c>
      <c r="T156" s="5">
        <f>VLOOKUP($B156,'251012_0시'!$A$1:$M$200,4,FALSE)</f>
        <v>444131</v>
      </c>
      <c r="U156" s="5">
        <f>VLOOKUP($B156,'251012_0시'!$A$1:$M$200,5,FALSE)</f>
        <v>13050</v>
      </c>
      <c r="V156" s="5">
        <f t="shared" si="130"/>
        <v>63758</v>
      </c>
      <c r="W156" s="5">
        <f t="shared" si="131"/>
        <v>17417</v>
      </c>
      <c r="X156" s="5">
        <f t="shared" si="132"/>
        <v>1350</v>
      </c>
      <c r="Y156" s="5">
        <f>VLOOKUP($B156,'251013_0시'!$A$1:$M$200,4,FALSE)</f>
        <v>501122</v>
      </c>
      <c r="Z156" s="5">
        <f>VLOOKUP($B156,'251013_0시'!$A$1:$M$200,5,FALSE)</f>
        <v>13500</v>
      </c>
      <c r="AA156" s="5">
        <f t="shared" si="133"/>
        <v>56991</v>
      </c>
      <c r="AB156" s="5">
        <f t="shared" si="134"/>
        <v>-6767</v>
      </c>
      <c r="AC156" s="5">
        <f t="shared" si="135"/>
        <v>450</v>
      </c>
      <c r="AD156" s="5">
        <f>VLOOKUP($B156,'251013_0시'!$A$1:$M$200,4,FALSE)</f>
        <v>501122</v>
      </c>
      <c r="AF156" s="5" t="s">
        <v>852</v>
      </c>
      <c r="AG156" s="5">
        <f>VLOOKUP($AF156,'251013'!$A$1:$M$200,4,FALSE)</f>
        <v>79205</v>
      </c>
      <c r="AH156" s="5">
        <f>VLOOKUP($AF156,'251013'!$A$1:$M$200,5,FALSE)</f>
        <v>0</v>
      </c>
      <c r="AI156" s="5">
        <f>VLOOKUP($AF156,'251014'!$A$1:$M$200,4,FALSE)</f>
        <v>146444</v>
      </c>
      <c r="AJ156" s="5">
        <f>VLOOKUP($AF156,'251014'!$A$1:$M$200,5,FALSE)</f>
        <v>0</v>
      </c>
      <c r="AK156" s="5">
        <f t="shared" si="136"/>
        <v>67239</v>
      </c>
      <c r="AL156" s="5">
        <f t="shared" si="137"/>
        <v>-11966</v>
      </c>
      <c r="AM156" s="5">
        <f t="shared" si="138"/>
        <v>0</v>
      </c>
      <c r="AN156" s="5">
        <f>VLOOKUP($AF156,'251015'!$A$1:$M$200,4,FALSE)</f>
        <v>227293</v>
      </c>
      <c r="AO156" s="5">
        <f>VLOOKUP($AF156,'251015'!$A$1:$M$200,5,FALSE)</f>
        <v>0</v>
      </c>
      <c r="AP156" s="5">
        <f t="shared" si="139"/>
        <v>80849</v>
      </c>
      <c r="AQ156" s="5">
        <f t="shared" si="140"/>
        <v>13610</v>
      </c>
      <c r="AR156" s="5">
        <f t="shared" si="141"/>
        <v>0</v>
      </c>
      <c r="AS156" s="5">
        <f>VLOOKUP($AF156,'251016'!$A$1:$M$200,4,FALSE)</f>
        <v>282540</v>
      </c>
      <c r="AT156" s="5">
        <f>VLOOKUP($AF156,'251016'!$A$1:$M$200,5,FALSE)</f>
        <v>0</v>
      </c>
      <c r="AU156" s="5">
        <f t="shared" si="142"/>
        <v>55247</v>
      </c>
      <c r="AV156" s="5">
        <f t="shared" si="143"/>
        <v>-25602</v>
      </c>
      <c r="AW156" s="5">
        <f t="shared" si="144"/>
        <v>0</v>
      </c>
      <c r="AX156" s="5">
        <f>VLOOKUP($AF156,'251017'!$A$1:$M$200,4,FALSE)</f>
        <v>358366</v>
      </c>
      <c r="AY156" s="5">
        <f>VLOOKUP($AF156,'251017'!$A$1:$M$200,5,FALSE)</f>
        <v>0</v>
      </c>
      <c r="AZ156" s="5">
        <f t="shared" si="145"/>
        <v>75826</v>
      </c>
      <c r="BA156" s="5">
        <f t="shared" si="146"/>
        <v>20579</v>
      </c>
      <c r="BB156" s="5">
        <f t="shared" si="147"/>
        <v>0</v>
      </c>
      <c r="BC156" s="5">
        <f>VLOOKUP($AF156,'251018'!$A$1:$M$200,4,FALSE)</f>
        <v>427532</v>
      </c>
      <c r="BD156" s="5">
        <f>VLOOKUP($AF156,'251018'!$A$1:$M$200,5,FALSE)</f>
        <v>0</v>
      </c>
      <c r="BE156" s="5">
        <f t="shared" si="148"/>
        <v>69166</v>
      </c>
      <c r="BF156" s="5">
        <f t="shared" si="149"/>
        <v>-6660</v>
      </c>
      <c r="BG156" s="5">
        <f t="shared" si="150"/>
        <v>0</v>
      </c>
      <c r="BH156" s="5">
        <f>VLOOKUP($AF156,'251018'!$A$1:$M$200,4,FALSE)</f>
        <v>427532</v>
      </c>
    </row>
    <row r="157" spans="2:60" x14ac:dyDescent="0.3">
      <c r="B157" s="5" t="s">
        <v>877</v>
      </c>
      <c r="C157" s="5">
        <f>VLOOKUP($B157,'251008_0시'!$A$1:$M$200,4,FALSE)</f>
        <v>113065</v>
      </c>
      <c r="D157" s="5">
        <f>VLOOKUP($B157,'251008_0시'!$A$1:$M$200,5,FALSE)</f>
        <v>0</v>
      </c>
      <c r="E157" s="5">
        <f>VLOOKUP($B157,'251009_0시'!$A$1:$M$200,4,FALSE)</f>
        <v>224377</v>
      </c>
      <c r="F157" s="5">
        <f>VLOOKUP($B157,'251009_0시'!$A$1:$M$200,5,FALSE)</f>
        <v>0</v>
      </c>
      <c r="G157" s="5">
        <f t="shared" si="121"/>
        <v>111312</v>
      </c>
      <c r="H157" s="5">
        <f t="shared" si="122"/>
        <v>54779.5</v>
      </c>
      <c r="I157" s="5">
        <f t="shared" si="123"/>
        <v>0</v>
      </c>
      <c r="J157" s="5">
        <f>VLOOKUP($B157,'251010_0시'!$A$1:$M$200,4,FALSE)</f>
        <v>273739</v>
      </c>
      <c r="K157" s="5">
        <f>VLOOKUP($B157,'251010_0시'!$A$1:$M$200,5,FALSE)</f>
        <v>0</v>
      </c>
      <c r="L157" s="5">
        <f t="shared" si="124"/>
        <v>49362</v>
      </c>
      <c r="M157" s="5">
        <f t="shared" si="125"/>
        <v>-61950</v>
      </c>
      <c r="N157" s="5">
        <f t="shared" si="126"/>
        <v>0</v>
      </c>
      <c r="O157" s="5">
        <f>VLOOKUP($B157,'251011_0시'!$A$1:$M$200,4,FALSE)</f>
        <v>383245</v>
      </c>
      <c r="P157" s="5">
        <f>VLOOKUP($B157,'251011_0시'!$A$1:$M$200,5,FALSE)</f>
        <v>250</v>
      </c>
      <c r="Q157" s="5">
        <f t="shared" si="127"/>
        <v>109506</v>
      </c>
      <c r="R157" s="5">
        <f t="shared" si="128"/>
        <v>60144</v>
      </c>
      <c r="S157" s="5">
        <f t="shared" si="129"/>
        <v>250</v>
      </c>
      <c r="T157" s="5">
        <f>VLOOKUP($B157,'251012_0시'!$A$1:$M$200,4,FALSE)</f>
        <v>445364</v>
      </c>
      <c r="U157" s="5">
        <f>VLOOKUP($B157,'251012_0시'!$A$1:$M$200,5,FALSE)</f>
        <v>250</v>
      </c>
      <c r="V157" s="5">
        <f t="shared" si="130"/>
        <v>62119</v>
      </c>
      <c r="W157" s="5">
        <f t="shared" si="131"/>
        <v>-47387</v>
      </c>
      <c r="X157" s="5">
        <f t="shared" si="132"/>
        <v>0</v>
      </c>
      <c r="Y157" s="5">
        <f>VLOOKUP($B157,'251013_0시'!$A$1:$M$200,4,FALSE)</f>
        <v>498231</v>
      </c>
      <c r="Z157" s="5">
        <f>VLOOKUP($B157,'251013_0시'!$A$1:$M$200,5,FALSE)</f>
        <v>250</v>
      </c>
      <c r="AA157" s="5">
        <f t="shared" si="133"/>
        <v>52867</v>
      </c>
      <c r="AB157" s="5">
        <f t="shared" si="134"/>
        <v>-9252</v>
      </c>
      <c r="AC157" s="5">
        <f t="shared" si="135"/>
        <v>0</v>
      </c>
      <c r="AD157" s="5">
        <f>VLOOKUP($B157,'251013_0시'!$A$1:$M$200,4,FALSE)</f>
        <v>498231</v>
      </c>
      <c r="AF157" s="5" t="s">
        <v>890</v>
      </c>
      <c r="AG157" s="5">
        <f>VLOOKUP($AF157,'251013'!$A$1:$M$200,4,FALSE)</f>
        <v>23497</v>
      </c>
      <c r="AH157" s="5">
        <f>VLOOKUP($AF157,'251013'!$A$1:$M$200,5,FALSE)</f>
        <v>0</v>
      </c>
      <c r="AI157" s="5">
        <f>VLOOKUP($AF157,'251014'!$A$1:$M$200,4,FALSE)</f>
        <v>104557</v>
      </c>
      <c r="AJ157" s="5">
        <f>VLOOKUP($AF157,'251014'!$A$1:$M$200,5,FALSE)</f>
        <v>1800</v>
      </c>
      <c r="AK157" s="5">
        <f t="shared" si="136"/>
        <v>81060</v>
      </c>
      <c r="AL157" s="5">
        <f t="shared" si="137"/>
        <v>57563</v>
      </c>
      <c r="AM157" s="5">
        <f t="shared" si="138"/>
        <v>1800</v>
      </c>
      <c r="AN157" s="5">
        <f>VLOOKUP($AF157,'251015'!$A$1:$M$200,4,FALSE)</f>
        <v>223735</v>
      </c>
      <c r="AO157" s="5">
        <f>VLOOKUP($AF157,'251015'!$A$1:$M$200,5,FALSE)</f>
        <v>2250</v>
      </c>
      <c r="AP157" s="5">
        <f t="shared" si="139"/>
        <v>119178</v>
      </c>
      <c r="AQ157" s="5">
        <f t="shared" si="140"/>
        <v>38118</v>
      </c>
      <c r="AR157" s="5">
        <f t="shared" si="141"/>
        <v>450</v>
      </c>
      <c r="AS157" s="5">
        <f>VLOOKUP($AF157,'251016'!$A$1:$M$200,4,FALSE)</f>
        <v>305114</v>
      </c>
      <c r="AT157" s="5">
        <f>VLOOKUP($AF157,'251016'!$A$1:$M$200,5,FALSE)</f>
        <v>3150</v>
      </c>
      <c r="AU157" s="5">
        <f t="shared" si="142"/>
        <v>81379</v>
      </c>
      <c r="AV157" s="5">
        <f t="shared" si="143"/>
        <v>-37799</v>
      </c>
      <c r="AW157" s="5">
        <f t="shared" si="144"/>
        <v>900</v>
      </c>
      <c r="AX157" s="5">
        <f>VLOOKUP($AF157,'251017'!$A$1:$M$200,4,FALSE)</f>
        <v>368725</v>
      </c>
      <c r="AY157" s="5">
        <f>VLOOKUP($AF157,'251017'!$A$1:$M$200,5,FALSE)</f>
        <v>3150</v>
      </c>
      <c r="AZ157" s="5">
        <f t="shared" si="145"/>
        <v>63611</v>
      </c>
      <c r="BA157" s="5">
        <f t="shared" si="146"/>
        <v>-17768</v>
      </c>
      <c r="BB157" s="5">
        <f t="shared" si="147"/>
        <v>0</v>
      </c>
      <c r="BC157" s="5">
        <f>VLOOKUP($AF157,'251018'!$A$1:$M$200,4,FALSE)</f>
        <v>426120</v>
      </c>
      <c r="BD157" s="5">
        <f>VLOOKUP($AF157,'251018'!$A$1:$M$200,5,FALSE)</f>
        <v>3600</v>
      </c>
      <c r="BE157" s="5">
        <f t="shared" si="148"/>
        <v>57395</v>
      </c>
      <c r="BF157" s="5">
        <f t="shared" si="149"/>
        <v>-6216</v>
      </c>
      <c r="BG157" s="5">
        <f t="shared" si="150"/>
        <v>450</v>
      </c>
      <c r="BH157" s="5">
        <f>VLOOKUP($AF157,'251018'!$A$1:$M$200,4,FALSE)</f>
        <v>426120</v>
      </c>
    </row>
    <row r="158" spans="2:60" x14ac:dyDescent="0.3">
      <c r="B158" s="5" t="s">
        <v>844</v>
      </c>
      <c r="C158" s="5">
        <f>VLOOKUP($B158,'251008_0시'!$A$1:$M$200,4,FALSE)</f>
        <v>90091</v>
      </c>
      <c r="D158" s="5">
        <f>VLOOKUP($B158,'251008_0시'!$A$1:$M$200,5,FALSE)</f>
        <v>50</v>
      </c>
      <c r="E158" s="5">
        <f>VLOOKUP($B158,'251009_0시'!$A$1:$M$200,4,FALSE)</f>
        <v>137536</v>
      </c>
      <c r="F158" s="5">
        <f>VLOOKUP($B158,'251009_0시'!$A$1:$M$200,5,FALSE)</f>
        <v>50</v>
      </c>
      <c r="G158" s="5">
        <f t="shared" si="121"/>
        <v>47445</v>
      </c>
      <c r="H158" s="5">
        <f t="shared" si="122"/>
        <v>2399.5</v>
      </c>
      <c r="I158" s="5">
        <f t="shared" si="123"/>
        <v>0</v>
      </c>
      <c r="J158" s="5">
        <f>VLOOKUP($B158,'251010_0시'!$A$1:$M$200,4,FALSE)</f>
        <v>185263</v>
      </c>
      <c r="K158" s="5">
        <f>VLOOKUP($B158,'251010_0시'!$A$1:$M$200,5,FALSE)</f>
        <v>723</v>
      </c>
      <c r="L158" s="5">
        <f t="shared" si="124"/>
        <v>47727</v>
      </c>
      <c r="M158" s="5">
        <f t="shared" si="125"/>
        <v>282</v>
      </c>
      <c r="N158" s="5">
        <f t="shared" si="126"/>
        <v>673</v>
      </c>
      <c r="O158" s="5">
        <f>VLOOKUP($B158,'251011_0시'!$A$1:$M$200,4,FALSE)</f>
        <v>227549</v>
      </c>
      <c r="P158" s="5">
        <f>VLOOKUP($B158,'251011_0시'!$A$1:$M$200,5,FALSE)</f>
        <v>723</v>
      </c>
      <c r="Q158" s="5">
        <f t="shared" si="127"/>
        <v>42286</v>
      </c>
      <c r="R158" s="5">
        <f t="shared" si="128"/>
        <v>-5441</v>
      </c>
      <c r="S158" s="5">
        <f t="shared" si="129"/>
        <v>0</v>
      </c>
      <c r="T158" s="5">
        <f>VLOOKUP($B158,'251012_0시'!$A$1:$M$200,4,FALSE)</f>
        <v>360960</v>
      </c>
      <c r="U158" s="5">
        <f>VLOOKUP($B158,'251012_0시'!$A$1:$M$200,5,FALSE)</f>
        <v>3401</v>
      </c>
      <c r="V158" s="5">
        <f t="shared" si="130"/>
        <v>133411</v>
      </c>
      <c r="W158" s="5">
        <f t="shared" si="131"/>
        <v>91125</v>
      </c>
      <c r="X158" s="5">
        <f t="shared" si="132"/>
        <v>2678</v>
      </c>
      <c r="Y158" s="5">
        <f>VLOOKUP($B158,'251013_0시'!$A$1:$M$200,4,FALSE)</f>
        <v>488630</v>
      </c>
      <c r="Z158" s="5">
        <f>VLOOKUP($B158,'251013_0시'!$A$1:$M$200,5,FALSE)</f>
        <v>6225</v>
      </c>
      <c r="AA158" s="5">
        <f t="shared" si="133"/>
        <v>127670</v>
      </c>
      <c r="AB158" s="5">
        <f t="shared" si="134"/>
        <v>-5741</v>
      </c>
      <c r="AC158" s="5">
        <f t="shared" si="135"/>
        <v>2824</v>
      </c>
      <c r="AD158" s="5">
        <f>VLOOKUP($B158,'251013_0시'!$A$1:$M$200,4,FALSE)</f>
        <v>488630</v>
      </c>
      <c r="AF158" s="5" t="s">
        <v>885</v>
      </c>
      <c r="AG158" s="5">
        <f>VLOOKUP($AF158,'251013'!$A$1:$M$200,4,FALSE)</f>
        <v>76342</v>
      </c>
      <c r="AH158" s="5">
        <f>VLOOKUP($AF158,'251013'!$A$1:$M$200,5,FALSE)</f>
        <v>400</v>
      </c>
      <c r="AI158" s="5">
        <f>VLOOKUP($AF158,'251014'!$A$1:$M$200,4,FALSE)</f>
        <v>120400</v>
      </c>
      <c r="AJ158" s="5">
        <f>VLOOKUP($AF158,'251014'!$A$1:$M$200,5,FALSE)</f>
        <v>1400</v>
      </c>
      <c r="AK158" s="5">
        <f t="shared" si="136"/>
        <v>44058</v>
      </c>
      <c r="AL158" s="5">
        <f t="shared" si="137"/>
        <v>-32284</v>
      </c>
      <c r="AM158" s="5">
        <f t="shared" si="138"/>
        <v>1000</v>
      </c>
      <c r="AN158" s="5">
        <f>VLOOKUP($AF158,'251015'!$A$1:$M$200,4,FALSE)</f>
        <v>170209</v>
      </c>
      <c r="AO158" s="5">
        <f>VLOOKUP($AF158,'251015'!$A$1:$M$200,5,FALSE)</f>
        <v>1400</v>
      </c>
      <c r="AP158" s="5">
        <f t="shared" si="139"/>
        <v>49809</v>
      </c>
      <c r="AQ158" s="5">
        <f t="shared" si="140"/>
        <v>5751</v>
      </c>
      <c r="AR158" s="5">
        <f t="shared" si="141"/>
        <v>0</v>
      </c>
      <c r="AS158" s="5">
        <f>VLOOKUP($AF158,'251016'!$A$1:$M$200,4,FALSE)</f>
        <v>243060</v>
      </c>
      <c r="AT158" s="5">
        <f>VLOOKUP($AF158,'251016'!$A$1:$M$200,5,FALSE)</f>
        <v>1400</v>
      </c>
      <c r="AU158" s="5">
        <f t="shared" si="142"/>
        <v>72851</v>
      </c>
      <c r="AV158" s="5">
        <f t="shared" si="143"/>
        <v>23042</v>
      </c>
      <c r="AW158" s="5">
        <f t="shared" si="144"/>
        <v>0</v>
      </c>
      <c r="AX158" s="5">
        <f>VLOOKUP($AF158,'251017'!$A$1:$M$200,4,FALSE)</f>
        <v>361834</v>
      </c>
      <c r="AY158" s="5">
        <f>VLOOKUP($AF158,'251017'!$A$1:$M$200,5,FALSE)</f>
        <v>1400</v>
      </c>
      <c r="AZ158" s="5">
        <f t="shared" si="145"/>
        <v>118774</v>
      </c>
      <c r="BA158" s="5">
        <f t="shared" si="146"/>
        <v>45923</v>
      </c>
      <c r="BB158" s="5">
        <f t="shared" si="147"/>
        <v>0</v>
      </c>
      <c r="BC158" s="5">
        <f>VLOOKUP($AF158,'251018'!$A$1:$M$200,4,FALSE)</f>
        <v>421963</v>
      </c>
      <c r="BD158" s="5">
        <f>VLOOKUP($AF158,'251018'!$A$1:$M$200,5,FALSE)</f>
        <v>1400</v>
      </c>
      <c r="BE158" s="5">
        <f t="shared" si="148"/>
        <v>60129</v>
      </c>
      <c r="BF158" s="5">
        <f t="shared" si="149"/>
        <v>-58645</v>
      </c>
      <c r="BG158" s="5">
        <f t="shared" si="150"/>
        <v>0</v>
      </c>
      <c r="BH158" s="5">
        <f>VLOOKUP($AF158,'251018'!$A$1:$M$200,4,FALSE)</f>
        <v>421963</v>
      </c>
    </row>
    <row r="159" spans="2:60" x14ac:dyDescent="0.3">
      <c r="B159" s="5" t="s">
        <v>867</v>
      </c>
      <c r="C159" s="5">
        <f>VLOOKUP($B159,'251008_0시'!$A$1:$M$200,4,FALSE)</f>
        <v>150747</v>
      </c>
      <c r="D159" s="5">
        <f>VLOOKUP($B159,'251008_0시'!$A$1:$M$200,5,FALSE)</f>
        <v>0</v>
      </c>
      <c r="E159" s="5">
        <f>VLOOKUP($B159,'251009_0시'!$A$1:$M$200,4,FALSE)</f>
        <v>209657</v>
      </c>
      <c r="F159" s="5">
        <f>VLOOKUP($B159,'251009_0시'!$A$1:$M$200,5,FALSE)</f>
        <v>0</v>
      </c>
      <c r="G159" s="5">
        <f t="shared" si="121"/>
        <v>58910</v>
      </c>
      <c r="H159" s="5">
        <f t="shared" si="122"/>
        <v>-16463.5</v>
      </c>
      <c r="I159" s="5">
        <f t="shared" si="123"/>
        <v>0</v>
      </c>
      <c r="J159" s="5">
        <f>VLOOKUP($B159,'251010_0시'!$A$1:$M$200,4,FALSE)</f>
        <v>279099</v>
      </c>
      <c r="K159" s="5">
        <f>VLOOKUP($B159,'251010_0시'!$A$1:$M$200,5,FALSE)</f>
        <v>202</v>
      </c>
      <c r="L159" s="5">
        <f t="shared" si="124"/>
        <v>69442</v>
      </c>
      <c r="M159" s="5">
        <f t="shared" si="125"/>
        <v>10532</v>
      </c>
      <c r="N159" s="5">
        <f t="shared" si="126"/>
        <v>202</v>
      </c>
      <c r="O159" s="5">
        <f>VLOOKUP($B159,'251011_0시'!$A$1:$M$200,4,FALSE)</f>
        <v>336376</v>
      </c>
      <c r="P159" s="5">
        <f>VLOOKUP($B159,'251011_0시'!$A$1:$M$200,5,FALSE)</f>
        <v>202</v>
      </c>
      <c r="Q159" s="5">
        <f t="shared" si="127"/>
        <v>57277</v>
      </c>
      <c r="R159" s="5">
        <f t="shared" si="128"/>
        <v>-12165</v>
      </c>
      <c r="S159" s="5">
        <f t="shared" si="129"/>
        <v>0</v>
      </c>
      <c r="T159" s="5">
        <f>VLOOKUP($B159,'251012_0시'!$A$1:$M$200,4,FALSE)</f>
        <v>410566</v>
      </c>
      <c r="U159" s="5">
        <f>VLOOKUP($B159,'251012_0시'!$A$1:$M$200,5,FALSE)</f>
        <v>202</v>
      </c>
      <c r="V159" s="5">
        <f t="shared" si="130"/>
        <v>74190</v>
      </c>
      <c r="W159" s="5">
        <f t="shared" si="131"/>
        <v>16913</v>
      </c>
      <c r="X159" s="5">
        <f t="shared" si="132"/>
        <v>0</v>
      </c>
      <c r="Y159" s="5">
        <f>VLOOKUP($B159,'251013_0시'!$A$1:$M$200,4,FALSE)</f>
        <v>468548</v>
      </c>
      <c r="Z159" s="5">
        <f>VLOOKUP($B159,'251013_0시'!$A$1:$M$200,5,FALSE)</f>
        <v>902</v>
      </c>
      <c r="AA159" s="5">
        <f t="shared" si="133"/>
        <v>57982</v>
      </c>
      <c r="AB159" s="5">
        <f t="shared" si="134"/>
        <v>-16208</v>
      </c>
      <c r="AC159" s="5">
        <f t="shared" si="135"/>
        <v>700</v>
      </c>
      <c r="AD159" s="5">
        <f>VLOOKUP($B159,'251013_0시'!$A$1:$M$200,4,FALSE)</f>
        <v>468548</v>
      </c>
      <c r="AF159" s="5" t="s">
        <v>844</v>
      </c>
      <c r="AG159" s="5">
        <f>VLOOKUP($AF159,'251013'!$A$1:$M$200,4,FALSE)</f>
        <v>106576</v>
      </c>
      <c r="AH159" s="5">
        <f>VLOOKUP($AF159,'251013'!$A$1:$M$200,5,FALSE)</f>
        <v>1617</v>
      </c>
      <c r="AI159" s="5">
        <f>VLOOKUP($AF159,'251014'!$A$1:$M$200,4,FALSE)</f>
        <v>213741</v>
      </c>
      <c r="AJ159" s="5">
        <f>VLOOKUP($AF159,'251014'!$A$1:$M$200,5,FALSE)</f>
        <v>27493</v>
      </c>
      <c r="AK159" s="5">
        <f t="shared" si="136"/>
        <v>107165</v>
      </c>
      <c r="AL159" s="5">
        <f t="shared" si="137"/>
        <v>589</v>
      </c>
      <c r="AM159" s="5">
        <f t="shared" si="138"/>
        <v>25876</v>
      </c>
      <c r="AN159" s="5">
        <f>VLOOKUP($AF159,'251015'!$A$1:$M$200,4,FALSE)</f>
        <v>260618</v>
      </c>
      <c r="AO159" s="5">
        <f>VLOOKUP($AF159,'251015'!$A$1:$M$200,5,FALSE)</f>
        <v>28548</v>
      </c>
      <c r="AP159" s="5">
        <f t="shared" si="139"/>
        <v>46877</v>
      </c>
      <c r="AQ159" s="5">
        <f t="shared" si="140"/>
        <v>-60288</v>
      </c>
      <c r="AR159" s="5">
        <f t="shared" si="141"/>
        <v>1055</v>
      </c>
      <c r="AS159" s="5">
        <f>VLOOKUP($AF159,'251016'!$A$1:$M$200,4,FALSE)</f>
        <v>276822</v>
      </c>
      <c r="AT159" s="5">
        <f>VLOOKUP($AF159,'251016'!$A$1:$M$200,5,FALSE)</f>
        <v>28548</v>
      </c>
      <c r="AU159" s="5">
        <f t="shared" si="142"/>
        <v>16204</v>
      </c>
      <c r="AV159" s="5">
        <f t="shared" si="143"/>
        <v>-30673</v>
      </c>
      <c r="AW159" s="5">
        <f t="shared" si="144"/>
        <v>0</v>
      </c>
      <c r="AX159" s="5">
        <f>VLOOKUP($AF159,'251017'!$A$1:$M$200,4,FALSE)</f>
        <v>345682</v>
      </c>
      <c r="AY159" s="5">
        <f>VLOOKUP($AF159,'251017'!$A$1:$M$200,5,FALSE)</f>
        <v>30048</v>
      </c>
      <c r="AZ159" s="5">
        <f t="shared" si="145"/>
        <v>68860</v>
      </c>
      <c r="BA159" s="5">
        <f t="shared" si="146"/>
        <v>52656</v>
      </c>
      <c r="BB159" s="5">
        <f t="shared" si="147"/>
        <v>1500</v>
      </c>
      <c r="BC159" s="5">
        <f>VLOOKUP($AF159,'251018'!$A$1:$M$200,4,FALSE)</f>
        <v>417391</v>
      </c>
      <c r="BD159" s="5">
        <f>VLOOKUP($AF159,'251018'!$A$1:$M$200,5,FALSE)</f>
        <v>31507</v>
      </c>
      <c r="BE159" s="5">
        <f t="shared" si="148"/>
        <v>71709</v>
      </c>
      <c r="BF159" s="5">
        <f t="shared" si="149"/>
        <v>2849</v>
      </c>
      <c r="BG159" s="5">
        <f t="shared" si="150"/>
        <v>1459</v>
      </c>
      <c r="BH159" s="5">
        <f>VLOOKUP($AF159,'251018'!$A$1:$M$200,4,FALSE)</f>
        <v>417391</v>
      </c>
    </row>
    <row r="160" spans="2:60" x14ac:dyDescent="0.3">
      <c r="B160" s="5" t="s">
        <v>874</v>
      </c>
      <c r="C160" s="5">
        <f>VLOOKUP($B160,'251008_0시'!$A$1:$M$200,4,FALSE)</f>
        <v>82044</v>
      </c>
      <c r="D160" s="5">
        <f>VLOOKUP($B160,'251008_0시'!$A$1:$M$200,5,FALSE)</f>
        <v>0</v>
      </c>
      <c r="E160" s="5">
        <f>VLOOKUP($B160,'251009_0시'!$A$1:$M$200,4,FALSE)</f>
        <v>188426</v>
      </c>
      <c r="F160" s="5">
        <f>VLOOKUP($B160,'251009_0시'!$A$1:$M$200,5,FALSE)</f>
        <v>169</v>
      </c>
      <c r="G160" s="5">
        <f t="shared" si="121"/>
        <v>106382</v>
      </c>
      <c r="H160" s="5">
        <f t="shared" si="122"/>
        <v>65360</v>
      </c>
      <c r="I160" s="5">
        <f t="shared" si="123"/>
        <v>169</v>
      </c>
      <c r="J160" s="5">
        <f>VLOOKUP($B160,'251010_0시'!$A$1:$M$200,4,FALSE)</f>
        <v>264768</v>
      </c>
      <c r="K160" s="5">
        <f>VLOOKUP($B160,'251010_0시'!$A$1:$M$200,5,FALSE)</f>
        <v>765</v>
      </c>
      <c r="L160" s="5">
        <f t="shared" si="124"/>
        <v>76342</v>
      </c>
      <c r="M160" s="5">
        <f t="shared" si="125"/>
        <v>-30040</v>
      </c>
      <c r="N160" s="5">
        <f t="shared" si="126"/>
        <v>596</v>
      </c>
      <c r="O160" s="5">
        <f>VLOOKUP($B160,'251011_0시'!$A$1:$M$200,4,FALSE)</f>
        <v>309933</v>
      </c>
      <c r="P160" s="5">
        <f>VLOOKUP($B160,'251011_0시'!$A$1:$M$200,5,FALSE)</f>
        <v>765</v>
      </c>
      <c r="Q160" s="5">
        <f t="shared" si="127"/>
        <v>45165</v>
      </c>
      <c r="R160" s="5">
        <f t="shared" si="128"/>
        <v>-31177</v>
      </c>
      <c r="S160" s="5">
        <f t="shared" si="129"/>
        <v>0</v>
      </c>
      <c r="T160" s="5">
        <f>VLOOKUP($B160,'251012_0시'!$A$1:$M$200,4,FALSE)</f>
        <v>396775</v>
      </c>
      <c r="U160" s="5">
        <f>VLOOKUP($B160,'251012_0시'!$A$1:$M$200,5,FALSE)</f>
        <v>765</v>
      </c>
      <c r="V160" s="5">
        <f t="shared" si="130"/>
        <v>86842</v>
      </c>
      <c r="W160" s="5">
        <f t="shared" si="131"/>
        <v>41677</v>
      </c>
      <c r="X160" s="5">
        <f t="shared" si="132"/>
        <v>0</v>
      </c>
      <c r="Y160" s="5">
        <f>VLOOKUP($B160,'251013_0시'!$A$1:$M$200,4,FALSE)</f>
        <v>464576</v>
      </c>
      <c r="Z160" s="5">
        <f>VLOOKUP($B160,'251013_0시'!$A$1:$M$200,5,FALSE)</f>
        <v>765</v>
      </c>
      <c r="AA160" s="5">
        <f t="shared" si="133"/>
        <v>67801</v>
      </c>
      <c r="AB160" s="5">
        <f t="shared" si="134"/>
        <v>-19041</v>
      </c>
      <c r="AC160" s="5">
        <f t="shared" si="135"/>
        <v>0</v>
      </c>
      <c r="AD160" s="5">
        <f>VLOOKUP($B160,'251013_0시'!$A$1:$M$200,4,FALSE)</f>
        <v>464576</v>
      </c>
      <c r="AF160" s="5" t="s">
        <v>848</v>
      </c>
      <c r="AG160" s="5">
        <f>VLOOKUP($AF160,'251013'!$A$1:$M$200,4,FALSE)</f>
        <v>65105</v>
      </c>
      <c r="AH160" s="5">
        <f>VLOOKUP($AF160,'251013'!$A$1:$M$200,5,FALSE)</f>
        <v>1250</v>
      </c>
      <c r="AI160" s="5">
        <f>VLOOKUP($AF160,'251014'!$A$1:$M$200,4,FALSE)</f>
        <v>111437</v>
      </c>
      <c r="AJ160" s="5">
        <f>VLOOKUP($AF160,'251014'!$A$1:$M$200,5,FALSE)</f>
        <v>11044</v>
      </c>
      <c r="AK160" s="5">
        <f t="shared" si="136"/>
        <v>46332</v>
      </c>
      <c r="AL160" s="5">
        <f t="shared" si="137"/>
        <v>-18773</v>
      </c>
      <c r="AM160" s="5">
        <f t="shared" si="138"/>
        <v>9794</v>
      </c>
      <c r="AN160" s="5">
        <f>VLOOKUP($AF160,'251015'!$A$1:$M$200,4,FALSE)</f>
        <v>170636</v>
      </c>
      <c r="AO160" s="5">
        <f>VLOOKUP($AF160,'251015'!$A$1:$M$200,5,FALSE)</f>
        <v>14110</v>
      </c>
      <c r="AP160" s="5">
        <f t="shared" si="139"/>
        <v>59199</v>
      </c>
      <c r="AQ160" s="5">
        <f t="shared" si="140"/>
        <v>12867</v>
      </c>
      <c r="AR160" s="5">
        <f t="shared" si="141"/>
        <v>3066</v>
      </c>
      <c r="AS160" s="5">
        <f>VLOOKUP($AF160,'251016'!$A$1:$M$200,4,FALSE)</f>
        <v>189681</v>
      </c>
      <c r="AT160" s="5">
        <f>VLOOKUP($AF160,'251016'!$A$1:$M$200,5,FALSE)</f>
        <v>14110</v>
      </c>
      <c r="AU160" s="5">
        <f t="shared" si="142"/>
        <v>19045</v>
      </c>
      <c r="AV160" s="5">
        <f t="shared" si="143"/>
        <v>-40154</v>
      </c>
      <c r="AW160" s="5">
        <f t="shared" si="144"/>
        <v>0</v>
      </c>
      <c r="AX160" s="5">
        <f>VLOOKUP($AF160,'251017'!$A$1:$M$200,4,FALSE)</f>
        <v>271044</v>
      </c>
      <c r="AY160" s="5">
        <f>VLOOKUP($AF160,'251017'!$A$1:$M$200,5,FALSE)</f>
        <v>14560</v>
      </c>
      <c r="AZ160" s="5">
        <f t="shared" si="145"/>
        <v>81363</v>
      </c>
      <c r="BA160" s="5">
        <f t="shared" si="146"/>
        <v>62318</v>
      </c>
      <c r="BB160" s="5">
        <f t="shared" si="147"/>
        <v>450</v>
      </c>
      <c r="BC160" s="5">
        <f>VLOOKUP($AF160,'251018'!$A$1:$M$200,4,FALSE)</f>
        <v>394296</v>
      </c>
      <c r="BD160" s="5">
        <f>VLOOKUP($AF160,'251018'!$A$1:$M$200,5,FALSE)</f>
        <v>14560</v>
      </c>
      <c r="BE160" s="5">
        <f t="shared" si="148"/>
        <v>123252</v>
      </c>
      <c r="BF160" s="5">
        <f t="shared" si="149"/>
        <v>41889</v>
      </c>
      <c r="BG160" s="5">
        <f t="shared" si="150"/>
        <v>0</v>
      </c>
      <c r="BH160" s="5">
        <f>VLOOKUP($AF160,'251018'!$A$1:$M$200,4,FALSE)</f>
        <v>394296</v>
      </c>
    </row>
    <row r="161" spans="2:60" x14ac:dyDescent="0.3">
      <c r="B161" s="5" t="s">
        <v>858</v>
      </c>
      <c r="C161" s="5">
        <f>VLOOKUP($B161,'251008_0시'!$A$1:$M$200,4,FALSE)</f>
        <v>122557</v>
      </c>
      <c r="D161" s="5">
        <f>VLOOKUP($B161,'251008_0시'!$A$1:$M$200,5,FALSE)</f>
        <v>3150</v>
      </c>
      <c r="E161" s="5">
        <f>VLOOKUP($B161,'251009_0시'!$A$1:$M$200,4,FALSE)</f>
        <v>170785</v>
      </c>
      <c r="F161" s="5">
        <f>VLOOKUP($B161,'251009_0시'!$A$1:$M$200,5,FALSE)</f>
        <v>5400</v>
      </c>
      <c r="G161" s="5">
        <f t="shared" si="121"/>
        <v>48228</v>
      </c>
      <c r="H161" s="5">
        <f t="shared" si="122"/>
        <v>-13050.5</v>
      </c>
      <c r="I161" s="5">
        <f t="shared" si="123"/>
        <v>2250</v>
      </c>
      <c r="J161" s="5">
        <f>VLOOKUP($B161,'251010_0시'!$A$1:$M$200,4,FALSE)</f>
        <v>248980</v>
      </c>
      <c r="K161" s="5">
        <f>VLOOKUP($B161,'251010_0시'!$A$1:$M$200,5,FALSE)</f>
        <v>7953</v>
      </c>
      <c r="L161" s="5">
        <f t="shared" si="124"/>
        <v>78195</v>
      </c>
      <c r="M161" s="5">
        <f t="shared" si="125"/>
        <v>29967</v>
      </c>
      <c r="N161" s="5">
        <f t="shared" si="126"/>
        <v>2553</v>
      </c>
      <c r="O161" s="5">
        <f>VLOOKUP($B161,'251011_0시'!$A$1:$M$200,4,FALSE)</f>
        <v>311044</v>
      </c>
      <c r="P161" s="5">
        <f>VLOOKUP($B161,'251011_0시'!$A$1:$M$200,5,FALSE)</f>
        <v>12453</v>
      </c>
      <c r="Q161" s="5">
        <f t="shared" si="127"/>
        <v>62064</v>
      </c>
      <c r="R161" s="5">
        <f t="shared" si="128"/>
        <v>-16131</v>
      </c>
      <c r="S161" s="5">
        <f t="shared" si="129"/>
        <v>4500</v>
      </c>
      <c r="T161" s="5">
        <f>VLOOKUP($B161,'251012_0시'!$A$1:$M$200,4,FALSE)</f>
        <v>400230</v>
      </c>
      <c r="U161" s="5">
        <f>VLOOKUP($B161,'251012_0시'!$A$1:$M$200,5,FALSE)</f>
        <v>17853</v>
      </c>
      <c r="V161" s="5">
        <f t="shared" si="130"/>
        <v>89186</v>
      </c>
      <c r="W161" s="5">
        <f t="shared" si="131"/>
        <v>27122</v>
      </c>
      <c r="X161" s="5">
        <f t="shared" si="132"/>
        <v>5400</v>
      </c>
      <c r="Y161" s="5">
        <f>VLOOKUP($B161,'251013_0시'!$A$1:$M$200,4,FALSE)</f>
        <v>454628</v>
      </c>
      <c r="Z161" s="5">
        <f>VLOOKUP($B161,'251013_0시'!$A$1:$M$200,5,FALSE)</f>
        <v>19203</v>
      </c>
      <c r="AA161" s="5">
        <f t="shared" si="133"/>
        <v>54398</v>
      </c>
      <c r="AB161" s="5">
        <f t="shared" si="134"/>
        <v>-34788</v>
      </c>
      <c r="AC161" s="5">
        <f t="shared" si="135"/>
        <v>1350</v>
      </c>
      <c r="AD161" s="5">
        <f>VLOOKUP($B161,'251013_0시'!$A$1:$M$200,4,FALSE)</f>
        <v>454628</v>
      </c>
      <c r="AF161" s="5" t="s">
        <v>966</v>
      </c>
      <c r="AG161" s="5">
        <f>VLOOKUP($AF161,'251013'!$A$1:$M$200,4,FALSE)</f>
        <v>57023</v>
      </c>
      <c r="AH161" s="5">
        <f>VLOOKUP($AF161,'251013'!$A$1:$M$200,5,FALSE)</f>
        <v>0</v>
      </c>
      <c r="AI161" s="5">
        <f>VLOOKUP($AF161,'251014'!$A$1:$M$200,4,FALSE)</f>
        <v>89194</v>
      </c>
      <c r="AJ161" s="5">
        <f>VLOOKUP($AF161,'251014'!$A$1:$M$200,5,FALSE)</f>
        <v>0</v>
      </c>
      <c r="AK161" s="5">
        <f t="shared" si="136"/>
        <v>32171</v>
      </c>
      <c r="AL161" s="5">
        <f t="shared" si="137"/>
        <v>-24852</v>
      </c>
      <c r="AM161" s="5">
        <f t="shared" si="138"/>
        <v>0</v>
      </c>
      <c r="AN161" s="5">
        <f>VLOOKUP($AF161,'251015'!$A$1:$M$200,4,FALSE)</f>
        <v>108368</v>
      </c>
      <c r="AO161" s="5">
        <f>VLOOKUP($AF161,'251015'!$A$1:$M$200,5,FALSE)</f>
        <v>0</v>
      </c>
      <c r="AP161" s="5">
        <f t="shared" si="139"/>
        <v>19174</v>
      </c>
      <c r="AQ161" s="5">
        <f t="shared" si="140"/>
        <v>-12997</v>
      </c>
      <c r="AR161" s="5">
        <f t="shared" si="141"/>
        <v>0</v>
      </c>
      <c r="AS161" s="5">
        <f>VLOOKUP($AF161,'251016'!$A$1:$M$200,4,FALSE)</f>
        <v>203563</v>
      </c>
      <c r="AT161" s="5">
        <f>VLOOKUP($AF161,'251016'!$A$1:$M$200,5,FALSE)</f>
        <v>0</v>
      </c>
      <c r="AU161" s="5">
        <f t="shared" si="142"/>
        <v>95195</v>
      </c>
      <c r="AV161" s="5">
        <f t="shared" si="143"/>
        <v>76021</v>
      </c>
      <c r="AW161" s="5">
        <f t="shared" si="144"/>
        <v>0</v>
      </c>
      <c r="AX161" s="5">
        <f>VLOOKUP($AF161,'251017'!$A$1:$M$200,4,FALSE)</f>
        <v>243246</v>
      </c>
      <c r="AY161" s="5">
        <f>VLOOKUP($AF161,'251017'!$A$1:$M$200,5,FALSE)</f>
        <v>197</v>
      </c>
      <c r="AZ161" s="5">
        <f t="shared" si="145"/>
        <v>39683</v>
      </c>
      <c r="BA161" s="5">
        <f t="shared" si="146"/>
        <v>-55512</v>
      </c>
      <c r="BB161" s="5">
        <f t="shared" si="147"/>
        <v>197</v>
      </c>
      <c r="BC161" s="5">
        <f>VLOOKUP($AF161,'251018'!$A$1:$M$200,4,FALSE)</f>
        <v>379934</v>
      </c>
      <c r="BD161" s="5">
        <f>VLOOKUP($AF161,'251018'!$A$1:$M$200,5,FALSE)</f>
        <v>197</v>
      </c>
      <c r="BE161" s="5">
        <f t="shared" si="148"/>
        <v>136688</v>
      </c>
      <c r="BF161" s="5">
        <f t="shared" si="149"/>
        <v>97005</v>
      </c>
      <c r="BG161" s="5">
        <f t="shared" si="150"/>
        <v>0</v>
      </c>
      <c r="BH161" s="5">
        <f>VLOOKUP($AF161,'251018'!$A$1:$M$200,4,FALSE)</f>
        <v>379934</v>
      </c>
    </row>
    <row r="162" spans="2:60" x14ac:dyDescent="0.3">
      <c r="B162" s="5" t="s">
        <v>885</v>
      </c>
      <c r="C162" s="5">
        <f>VLOOKUP($B162,'251008_0시'!$A$1:$M$200,4,FALSE)</f>
        <v>129083</v>
      </c>
      <c r="D162" s="5">
        <f>VLOOKUP($B162,'251008_0시'!$A$1:$M$200,5,FALSE)</f>
        <v>0</v>
      </c>
      <c r="E162" s="5">
        <f>VLOOKUP($B162,'251009_0시'!$A$1:$M$200,4,FALSE)</f>
        <v>186217</v>
      </c>
      <c r="F162" s="5">
        <f>VLOOKUP($B162,'251009_0시'!$A$1:$M$200,5,FALSE)</f>
        <v>350</v>
      </c>
      <c r="G162" s="5">
        <f t="shared" si="121"/>
        <v>57134</v>
      </c>
      <c r="H162" s="5">
        <f t="shared" si="122"/>
        <v>-7407.5</v>
      </c>
      <c r="I162" s="5">
        <f t="shared" si="123"/>
        <v>350</v>
      </c>
      <c r="J162" s="5">
        <f>VLOOKUP($B162,'251010_0시'!$A$1:$M$200,4,FALSE)</f>
        <v>247819</v>
      </c>
      <c r="K162" s="5">
        <f>VLOOKUP($B162,'251010_0시'!$A$1:$M$200,5,FALSE)</f>
        <v>350</v>
      </c>
      <c r="L162" s="5">
        <f t="shared" si="124"/>
        <v>61602</v>
      </c>
      <c r="M162" s="5">
        <f t="shared" si="125"/>
        <v>4468</v>
      </c>
      <c r="N162" s="5">
        <f t="shared" si="126"/>
        <v>0</v>
      </c>
      <c r="O162" s="5">
        <f>VLOOKUP($B162,'251011_0시'!$A$1:$M$200,4,FALSE)</f>
        <v>317725</v>
      </c>
      <c r="P162" s="5">
        <f>VLOOKUP($B162,'251011_0시'!$A$1:$M$200,5,FALSE)</f>
        <v>700</v>
      </c>
      <c r="Q162" s="5">
        <f t="shared" si="127"/>
        <v>69906</v>
      </c>
      <c r="R162" s="5">
        <f t="shared" si="128"/>
        <v>8304</v>
      </c>
      <c r="S162" s="5">
        <f t="shared" si="129"/>
        <v>350</v>
      </c>
      <c r="T162" s="5">
        <f>VLOOKUP($B162,'251012_0시'!$A$1:$M$200,4,FALSE)</f>
        <v>388003</v>
      </c>
      <c r="U162" s="5">
        <f>VLOOKUP($B162,'251012_0시'!$A$1:$M$200,5,FALSE)</f>
        <v>700</v>
      </c>
      <c r="V162" s="5">
        <f t="shared" si="130"/>
        <v>70278</v>
      </c>
      <c r="W162" s="5">
        <f t="shared" si="131"/>
        <v>372</v>
      </c>
      <c r="X162" s="5">
        <f t="shared" si="132"/>
        <v>0</v>
      </c>
      <c r="Y162" s="5">
        <f>VLOOKUP($B162,'251013_0시'!$A$1:$M$200,4,FALSE)</f>
        <v>435140</v>
      </c>
      <c r="Z162" s="5">
        <f>VLOOKUP($B162,'251013_0시'!$A$1:$M$200,5,FALSE)</f>
        <v>700</v>
      </c>
      <c r="AA162" s="5">
        <f t="shared" si="133"/>
        <v>47137</v>
      </c>
      <c r="AB162" s="5">
        <f t="shared" si="134"/>
        <v>-23141</v>
      </c>
      <c r="AC162" s="5">
        <f t="shared" si="135"/>
        <v>0</v>
      </c>
      <c r="AD162" s="5">
        <f>VLOOKUP($B162,'251013_0시'!$A$1:$M$200,4,FALSE)</f>
        <v>435140</v>
      </c>
      <c r="AF162" s="5" t="s">
        <v>866</v>
      </c>
      <c r="AG162" s="5">
        <f>VLOOKUP($AF162,'251013'!$A$1:$M$200,4,FALSE)</f>
        <v>56359</v>
      </c>
      <c r="AH162" s="5">
        <f>VLOOKUP($AF162,'251013'!$A$1:$M$200,5,FALSE)</f>
        <v>0</v>
      </c>
      <c r="AI162" s="5">
        <f>VLOOKUP($AF162,'251014'!$A$1:$M$200,4,FALSE)</f>
        <v>118663</v>
      </c>
      <c r="AJ162" s="5">
        <f>VLOOKUP($AF162,'251014'!$A$1:$M$200,5,FALSE)</f>
        <v>350</v>
      </c>
      <c r="AK162" s="5">
        <f t="shared" si="136"/>
        <v>62304</v>
      </c>
      <c r="AL162" s="5">
        <f t="shared" si="137"/>
        <v>5945</v>
      </c>
      <c r="AM162" s="5">
        <f t="shared" si="138"/>
        <v>350</v>
      </c>
      <c r="AN162" s="5">
        <f>VLOOKUP($AF162,'251015'!$A$1:$M$200,4,FALSE)</f>
        <v>216711</v>
      </c>
      <c r="AO162" s="5">
        <f>VLOOKUP($AF162,'251015'!$A$1:$M$200,5,FALSE)</f>
        <v>1250</v>
      </c>
      <c r="AP162" s="5">
        <f t="shared" si="139"/>
        <v>98048</v>
      </c>
      <c r="AQ162" s="5">
        <f t="shared" si="140"/>
        <v>35744</v>
      </c>
      <c r="AR162" s="5">
        <f t="shared" si="141"/>
        <v>900</v>
      </c>
      <c r="AS162" s="5">
        <f>VLOOKUP($AF162,'251016'!$A$1:$M$200,4,FALSE)</f>
        <v>298747</v>
      </c>
      <c r="AT162" s="5">
        <f>VLOOKUP($AF162,'251016'!$A$1:$M$200,5,FALSE)</f>
        <v>4400</v>
      </c>
      <c r="AU162" s="5">
        <f t="shared" si="142"/>
        <v>82036</v>
      </c>
      <c r="AV162" s="5">
        <f t="shared" si="143"/>
        <v>-16012</v>
      </c>
      <c r="AW162" s="5">
        <f t="shared" si="144"/>
        <v>3150</v>
      </c>
      <c r="AX162" s="5">
        <f>VLOOKUP($AF162,'251017'!$A$1:$M$200,4,FALSE)</f>
        <v>343738</v>
      </c>
      <c r="AY162" s="5">
        <f>VLOOKUP($AF162,'251017'!$A$1:$M$200,5,FALSE)</f>
        <v>4400</v>
      </c>
      <c r="AZ162" s="5">
        <f t="shared" si="145"/>
        <v>44991</v>
      </c>
      <c r="BA162" s="5">
        <f t="shared" si="146"/>
        <v>-37045</v>
      </c>
      <c r="BB162" s="5">
        <f t="shared" si="147"/>
        <v>0</v>
      </c>
      <c r="BC162" s="5">
        <f>VLOOKUP($AF162,'251018'!$A$1:$M$200,4,FALSE)</f>
        <v>368977</v>
      </c>
      <c r="BD162" s="5">
        <f>VLOOKUP($AF162,'251018'!$A$1:$M$200,5,FALSE)</f>
        <v>4400</v>
      </c>
      <c r="BE162" s="5">
        <f t="shared" si="148"/>
        <v>25239</v>
      </c>
      <c r="BF162" s="5">
        <f t="shared" si="149"/>
        <v>-19752</v>
      </c>
      <c r="BG162" s="5">
        <f t="shared" si="150"/>
        <v>0</v>
      </c>
      <c r="BH162" s="5">
        <f>VLOOKUP($AF162,'251018'!$A$1:$M$200,4,FALSE)</f>
        <v>368977</v>
      </c>
    </row>
    <row r="163" spans="2:60" x14ac:dyDescent="0.3">
      <c r="B163" s="5" t="s">
        <v>873</v>
      </c>
      <c r="C163" s="5">
        <f>VLOOKUP($B163,'251008_0시'!$A$1:$M$200,4,FALSE)</f>
        <v>108181</v>
      </c>
      <c r="D163" s="5">
        <f>VLOOKUP($B163,'251008_0시'!$A$1:$M$200,5,FALSE)</f>
        <v>0</v>
      </c>
      <c r="E163" s="5">
        <f>VLOOKUP($B163,'251009_0시'!$A$1:$M$200,4,FALSE)</f>
        <v>189238</v>
      </c>
      <c r="F163" s="5">
        <f>VLOOKUP($B163,'251009_0시'!$A$1:$M$200,5,FALSE)</f>
        <v>0</v>
      </c>
      <c r="G163" s="5">
        <f t="shared" si="121"/>
        <v>81057</v>
      </c>
      <c r="H163" s="5">
        <f t="shared" si="122"/>
        <v>26966.5</v>
      </c>
      <c r="I163" s="5">
        <f t="shared" si="123"/>
        <v>0</v>
      </c>
      <c r="J163" s="5">
        <f>VLOOKUP($B163,'251010_0시'!$A$1:$M$200,4,FALSE)</f>
        <v>231648</v>
      </c>
      <c r="K163" s="5">
        <f>VLOOKUP($B163,'251010_0시'!$A$1:$M$200,5,FALSE)</f>
        <v>0</v>
      </c>
      <c r="L163" s="5">
        <f t="shared" si="124"/>
        <v>42410</v>
      </c>
      <c r="M163" s="5">
        <f t="shared" si="125"/>
        <v>-38647</v>
      </c>
      <c r="N163" s="5">
        <f t="shared" si="126"/>
        <v>0</v>
      </c>
      <c r="O163" s="5">
        <f>VLOOKUP($B163,'251011_0시'!$A$1:$M$200,4,FALSE)</f>
        <v>315888</v>
      </c>
      <c r="P163" s="5">
        <f>VLOOKUP($B163,'251011_0시'!$A$1:$M$200,5,FALSE)</f>
        <v>900</v>
      </c>
      <c r="Q163" s="5">
        <f t="shared" si="127"/>
        <v>84240</v>
      </c>
      <c r="R163" s="5">
        <f t="shared" si="128"/>
        <v>41830</v>
      </c>
      <c r="S163" s="5">
        <f t="shared" si="129"/>
        <v>900</v>
      </c>
      <c r="T163" s="5">
        <f>VLOOKUP($B163,'251012_0시'!$A$1:$M$200,4,FALSE)</f>
        <v>368257</v>
      </c>
      <c r="U163" s="5">
        <f>VLOOKUP($B163,'251012_0시'!$A$1:$M$200,5,FALSE)</f>
        <v>900</v>
      </c>
      <c r="V163" s="5">
        <f t="shared" si="130"/>
        <v>52369</v>
      </c>
      <c r="W163" s="5">
        <f t="shared" si="131"/>
        <v>-31871</v>
      </c>
      <c r="X163" s="5">
        <f t="shared" si="132"/>
        <v>0</v>
      </c>
      <c r="Y163" s="5">
        <f>VLOOKUP($B163,'251013_0시'!$A$1:$M$200,4,FALSE)</f>
        <v>428962</v>
      </c>
      <c r="Z163" s="5">
        <f>VLOOKUP($B163,'251013_0시'!$A$1:$M$200,5,FALSE)</f>
        <v>1350</v>
      </c>
      <c r="AA163" s="5">
        <f t="shared" si="133"/>
        <v>60705</v>
      </c>
      <c r="AB163" s="5">
        <f t="shared" si="134"/>
        <v>8336</v>
      </c>
      <c r="AC163" s="5">
        <f t="shared" si="135"/>
        <v>450</v>
      </c>
      <c r="AD163" s="5">
        <f>VLOOKUP($B163,'251013_0시'!$A$1:$M$200,4,FALSE)</f>
        <v>428962</v>
      </c>
      <c r="AF163" s="5" t="s">
        <v>863</v>
      </c>
      <c r="AG163" s="5">
        <f>VLOOKUP($AF163,'251013'!$A$1:$M$200,4,FALSE)</f>
        <v>40247</v>
      </c>
      <c r="AH163" s="5">
        <f>VLOOKUP($AF163,'251013'!$A$1:$M$200,5,FALSE)</f>
        <v>192</v>
      </c>
      <c r="AI163" s="5">
        <f>VLOOKUP($AF163,'251014'!$A$1:$M$200,4,FALSE)</f>
        <v>120874</v>
      </c>
      <c r="AJ163" s="5">
        <f>VLOOKUP($AF163,'251014'!$A$1:$M$200,5,FALSE)</f>
        <v>192</v>
      </c>
      <c r="AK163" s="5">
        <f t="shared" si="136"/>
        <v>80627</v>
      </c>
      <c r="AL163" s="5">
        <f t="shared" si="137"/>
        <v>40380</v>
      </c>
      <c r="AM163" s="5">
        <f t="shared" si="138"/>
        <v>0</v>
      </c>
      <c r="AN163" s="5">
        <f>VLOOKUP($AF163,'251015'!$A$1:$M$200,4,FALSE)</f>
        <v>161194</v>
      </c>
      <c r="AO163" s="5">
        <f>VLOOKUP($AF163,'251015'!$A$1:$M$200,5,FALSE)</f>
        <v>192</v>
      </c>
      <c r="AP163" s="5">
        <f t="shared" si="139"/>
        <v>40320</v>
      </c>
      <c r="AQ163" s="5">
        <f t="shared" si="140"/>
        <v>-40307</v>
      </c>
      <c r="AR163" s="5">
        <f t="shared" si="141"/>
        <v>0</v>
      </c>
      <c r="AS163" s="5">
        <f>VLOOKUP($AF163,'251016'!$A$1:$M$200,4,FALSE)</f>
        <v>226190</v>
      </c>
      <c r="AT163" s="5">
        <f>VLOOKUP($AF163,'251016'!$A$1:$M$200,5,FALSE)</f>
        <v>192</v>
      </c>
      <c r="AU163" s="5">
        <f t="shared" si="142"/>
        <v>64996</v>
      </c>
      <c r="AV163" s="5">
        <f t="shared" si="143"/>
        <v>24676</v>
      </c>
      <c r="AW163" s="5">
        <f t="shared" si="144"/>
        <v>0</v>
      </c>
      <c r="AX163" s="5">
        <f>VLOOKUP($AF163,'251017'!$A$1:$M$200,4,FALSE)</f>
        <v>306465</v>
      </c>
      <c r="AY163" s="5">
        <f>VLOOKUP($AF163,'251017'!$A$1:$M$200,5,FALSE)</f>
        <v>192</v>
      </c>
      <c r="AZ163" s="5">
        <f t="shared" si="145"/>
        <v>80275</v>
      </c>
      <c r="BA163" s="5">
        <f t="shared" si="146"/>
        <v>15279</v>
      </c>
      <c r="BB163" s="5">
        <f t="shared" si="147"/>
        <v>0</v>
      </c>
      <c r="BC163" s="5">
        <f>VLOOKUP($AF163,'251018'!$A$1:$M$200,4,FALSE)</f>
        <v>368488</v>
      </c>
      <c r="BD163" s="5">
        <f>VLOOKUP($AF163,'251018'!$A$1:$M$200,5,FALSE)</f>
        <v>192</v>
      </c>
      <c r="BE163" s="5">
        <f t="shared" si="148"/>
        <v>62023</v>
      </c>
      <c r="BF163" s="5">
        <f t="shared" si="149"/>
        <v>-18252</v>
      </c>
      <c r="BG163" s="5">
        <f t="shared" si="150"/>
        <v>0</v>
      </c>
      <c r="BH163" s="5">
        <f>VLOOKUP($AF163,'251018'!$A$1:$M$200,4,FALSE)</f>
        <v>368488</v>
      </c>
    </row>
    <row r="164" spans="2:60" x14ac:dyDescent="0.3">
      <c r="B164" s="5" t="s">
        <v>879</v>
      </c>
      <c r="C164" s="5">
        <f>VLOOKUP($B164,'251008_0시'!$A$1:$M$200,4,FALSE)</f>
        <v>109729</v>
      </c>
      <c r="D164" s="5">
        <f>VLOOKUP($B164,'251008_0시'!$A$1:$M$200,5,FALSE)</f>
        <v>0</v>
      </c>
      <c r="E164" s="5">
        <f>VLOOKUP($B164,'251009_0시'!$A$1:$M$200,4,FALSE)</f>
        <v>178555</v>
      </c>
      <c r="F164" s="5">
        <f>VLOOKUP($B164,'251009_0시'!$A$1:$M$200,5,FALSE)</f>
        <v>0</v>
      </c>
      <c r="G164" s="5">
        <f t="shared" si="121"/>
        <v>68826</v>
      </c>
      <c r="H164" s="5">
        <f t="shared" si="122"/>
        <v>13961.5</v>
      </c>
      <c r="I164" s="5">
        <f t="shared" si="123"/>
        <v>0</v>
      </c>
      <c r="J164" s="5">
        <f>VLOOKUP($B164,'251010_0시'!$A$1:$M$200,4,FALSE)</f>
        <v>223050</v>
      </c>
      <c r="K164" s="5">
        <f>VLOOKUP($B164,'251010_0시'!$A$1:$M$200,5,FALSE)</f>
        <v>0</v>
      </c>
      <c r="L164" s="5">
        <f t="shared" si="124"/>
        <v>44495</v>
      </c>
      <c r="M164" s="5">
        <f t="shared" si="125"/>
        <v>-24331</v>
      </c>
      <c r="N164" s="5">
        <f t="shared" si="126"/>
        <v>0</v>
      </c>
      <c r="O164" s="5">
        <f>VLOOKUP($B164,'251011_0시'!$A$1:$M$200,4,FALSE)</f>
        <v>272115</v>
      </c>
      <c r="P164" s="5">
        <f>VLOOKUP($B164,'251011_0시'!$A$1:$M$200,5,FALSE)</f>
        <v>0</v>
      </c>
      <c r="Q164" s="5">
        <f t="shared" si="127"/>
        <v>49065</v>
      </c>
      <c r="R164" s="5">
        <f t="shared" si="128"/>
        <v>4570</v>
      </c>
      <c r="S164" s="5">
        <f t="shared" si="129"/>
        <v>0</v>
      </c>
      <c r="T164" s="5">
        <f>VLOOKUP($B164,'251012_0시'!$A$1:$M$200,4,FALSE)</f>
        <v>356177</v>
      </c>
      <c r="U164" s="5">
        <f>VLOOKUP($B164,'251012_0시'!$A$1:$M$200,5,FALSE)</f>
        <v>0</v>
      </c>
      <c r="V164" s="5">
        <f t="shared" si="130"/>
        <v>84062</v>
      </c>
      <c r="W164" s="5">
        <f t="shared" si="131"/>
        <v>34997</v>
      </c>
      <c r="X164" s="5">
        <f t="shared" si="132"/>
        <v>0</v>
      </c>
      <c r="Y164" s="5">
        <f>VLOOKUP($B164,'251013_0시'!$A$1:$M$200,4,FALSE)</f>
        <v>420221</v>
      </c>
      <c r="Z164" s="5">
        <f>VLOOKUP($B164,'251013_0시'!$A$1:$M$200,5,FALSE)</f>
        <v>50</v>
      </c>
      <c r="AA164" s="5">
        <f t="shared" si="133"/>
        <v>64044</v>
      </c>
      <c r="AB164" s="5">
        <f t="shared" si="134"/>
        <v>-20018</v>
      </c>
      <c r="AC164" s="5">
        <f t="shared" si="135"/>
        <v>50</v>
      </c>
      <c r="AD164" s="5">
        <f>VLOOKUP($B164,'251013_0시'!$A$1:$M$200,4,FALSE)</f>
        <v>420221</v>
      </c>
      <c r="AF164" s="5" t="s">
        <v>869</v>
      </c>
      <c r="AG164" s="5">
        <f>VLOOKUP($AF164,'251013'!$A$1:$M$200,4,FALSE)</f>
        <v>98164</v>
      </c>
      <c r="AH164" s="5">
        <f>VLOOKUP($AF164,'251013'!$A$1:$M$200,5,FALSE)</f>
        <v>0</v>
      </c>
      <c r="AI164" s="5">
        <f>VLOOKUP($AF164,'251014'!$A$1:$M$200,4,FALSE)</f>
        <v>181474</v>
      </c>
      <c r="AJ164" s="5">
        <f>VLOOKUP($AF164,'251014'!$A$1:$M$200,5,FALSE)</f>
        <v>3600</v>
      </c>
      <c r="AK164" s="5">
        <f t="shared" si="136"/>
        <v>83310</v>
      </c>
      <c r="AL164" s="5">
        <f t="shared" si="137"/>
        <v>-14854</v>
      </c>
      <c r="AM164" s="5">
        <f t="shared" si="138"/>
        <v>3600</v>
      </c>
      <c r="AN164" s="5">
        <f>VLOOKUP($AF164,'251015'!$A$1:$M$200,4,FALSE)</f>
        <v>181672</v>
      </c>
      <c r="AO164" s="5">
        <f>VLOOKUP($AF164,'251015'!$A$1:$M$200,5,FALSE)</f>
        <v>3600</v>
      </c>
      <c r="AP164" s="5">
        <f t="shared" si="139"/>
        <v>198</v>
      </c>
      <c r="AQ164" s="5">
        <f t="shared" si="140"/>
        <v>-83112</v>
      </c>
      <c r="AR164" s="5">
        <f t="shared" si="141"/>
        <v>0</v>
      </c>
      <c r="AS164" s="5">
        <f>VLOOKUP($AF164,'251016'!$A$1:$M$200,4,FALSE)</f>
        <v>212871</v>
      </c>
      <c r="AT164" s="5">
        <f>VLOOKUP($AF164,'251016'!$A$1:$M$200,5,FALSE)</f>
        <v>3600</v>
      </c>
      <c r="AU164" s="5">
        <f t="shared" si="142"/>
        <v>31199</v>
      </c>
      <c r="AV164" s="5">
        <f t="shared" si="143"/>
        <v>31001</v>
      </c>
      <c r="AW164" s="5">
        <f t="shared" si="144"/>
        <v>0</v>
      </c>
      <c r="AX164" s="5">
        <f>VLOOKUP($AF164,'251017'!$A$1:$M$200,4,FALSE)</f>
        <v>290245</v>
      </c>
      <c r="AY164" s="5">
        <f>VLOOKUP($AF164,'251017'!$A$1:$M$200,5,FALSE)</f>
        <v>3600</v>
      </c>
      <c r="AZ164" s="5">
        <f t="shared" si="145"/>
        <v>77374</v>
      </c>
      <c r="BA164" s="5">
        <f t="shared" si="146"/>
        <v>46175</v>
      </c>
      <c r="BB164" s="5">
        <f t="shared" si="147"/>
        <v>0</v>
      </c>
      <c r="BC164" s="5">
        <f>VLOOKUP($AF164,'251018'!$A$1:$M$200,4,FALSE)</f>
        <v>348975</v>
      </c>
      <c r="BD164" s="5">
        <f>VLOOKUP($AF164,'251018'!$A$1:$M$200,5,FALSE)</f>
        <v>4050</v>
      </c>
      <c r="BE164" s="5">
        <f t="shared" si="148"/>
        <v>58730</v>
      </c>
      <c r="BF164" s="5">
        <f t="shared" si="149"/>
        <v>-18644</v>
      </c>
      <c r="BG164" s="5">
        <f t="shared" si="150"/>
        <v>450</v>
      </c>
      <c r="BH164" s="5">
        <f>VLOOKUP($AF164,'251018'!$A$1:$M$200,4,FALSE)</f>
        <v>348975</v>
      </c>
    </row>
    <row r="165" spans="2:60" x14ac:dyDescent="0.3">
      <c r="B165" s="5" t="s">
        <v>887</v>
      </c>
      <c r="C165" s="5">
        <f>VLOOKUP($B165,'251008_0시'!$A$1:$M$200,4,FALSE)</f>
        <v>116047</v>
      </c>
      <c r="D165" s="5">
        <f>VLOOKUP($B165,'251008_0시'!$A$1:$M$200,5,FALSE)</f>
        <v>7800</v>
      </c>
      <c r="E165" s="5">
        <f>VLOOKUP($B165,'251009_0시'!$A$1:$M$200,4,FALSE)</f>
        <v>184101</v>
      </c>
      <c r="F165" s="5">
        <f>VLOOKUP($B165,'251009_0시'!$A$1:$M$200,5,FALSE)</f>
        <v>14800</v>
      </c>
      <c r="G165" s="5">
        <f t="shared" ref="G165:G198" si="151">E165-C165</f>
        <v>68054</v>
      </c>
      <c r="H165" s="5">
        <f t="shared" ref="H165:H195" si="152">G165-(C165/2)</f>
        <v>10030.5</v>
      </c>
      <c r="I165" s="5">
        <f t="shared" ref="I165:I198" si="153">F165-D165</f>
        <v>7000</v>
      </c>
      <c r="J165" s="5">
        <f>VLOOKUP($B165,'251010_0시'!$A$1:$M$200,4,FALSE)</f>
        <v>241015</v>
      </c>
      <c r="K165" s="5">
        <f>VLOOKUP($B165,'251010_0시'!$A$1:$M$200,5,FALSE)</f>
        <v>18776</v>
      </c>
      <c r="L165" s="5">
        <f t="shared" ref="L165:L198" si="154">J165-E165</f>
        <v>56914</v>
      </c>
      <c r="M165" s="5">
        <f t="shared" ref="M165:M195" si="155">L165-G165</f>
        <v>-11140</v>
      </c>
      <c r="N165" s="5">
        <f t="shared" ref="N165:N200" si="156">K165-F165</f>
        <v>3976</v>
      </c>
      <c r="O165" s="5">
        <f>VLOOKUP($B165,'251011_0시'!$A$1:$M$200,4,FALSE)</f>
        <v>304901</v>
      </c>
      <c r="P165" s="5">
        <f>VLOOKUP($B165,'251011_0시'!$A$1:$M$200,5,FALSE)</f>
        <v>23276</v>
      </c>
      <c r="Q165" s="5">
        <f t="shared" ref="Q165:Q198" si="157">O165-J165</f>
        <v>63886</v>
      </c>
      <c r="R165" s="5">
        <f t="shared" ref="R165:R195" si="158">Q165-L165</f>
        <v>6972</v>
      </c>
      <c r="S165" s="5">
        <f t="shared" ref="S165:S200" si="159">P165-K165</f>
        <v>4500</v>
      </c>
      <c r="T165" s="5">
        <f>VLOOKUP($B165,'251012_0시'!$A$1:$M$200,4,FALSE)</f>
        <v>377962</v>
      </c>
      <c r="U165" s="5">
        <f>VLOOKUP($B165,'251012_0시'!$A$1:$M$200,5,FALSE)</f>
        <v>27326</v>
      </c>
      <c r="V165" s="5">
        <f t="shared" ref="V165:V198" si="160">T165-O165</f>
        <v>73061</v>
      </c>
      <c r="W165" s="5">
        <f t="shared" ref="W165:W195" si="161">V165-Q165</f>
        <v>9175</v>
      </c>
      <c r="X165" s="5">
        <f t="shared" ref="X165:X200" si="162">U165-P165</f>
        <v>4050</v>
      </c>
      <c r="Y165" s="5">
        <f>VLOOKUP($B165,'251013_0시'!$A$1:$M$200,4,FALSE)</f>
        <v>405617</v>
      </c>
      <c r="Z165" s="5">
        <f>VLOOKUP($B165,'251013_0시'!$A$1:$M$200,5,FALSE)</f>
        <v>37640</v>
      </c>
      <c r="AA165" s="5">
        <f t="shared" ref="AA165:AA198" si="163">Y165-T165</f>
        <v>27655</v>
      </c>
      <c r="AB165" s="5">
        <f t="shared" ref="AB165:AB195" si="164">AA165-V165</f>
        <v>-45406</v>
      </c>
      <c r="AC165" s="5">
        <f t="shared" ref="AC165:AC200" si="165">Z165-U165</f>
        <v>10314</v>
      </c>
      <c r="AD165" s="5">
        <f>VLOOKUP($B165,'251013_0시'!$A$1:$M$200,4,FALSE)</f>
        <v>405617</v>
      </c>
      <c r="AF165" s="5" t="s">
        <v>882</v>
      </c>
      <c r="AG165" s="5">
        <f>VLOOKUP($AF165,'251013'!$A$1:$M$200,4,FALSE)</f>
        <v>59312</v>
      </c>
      <c r="AH165" s="5">
        <f>VLOOKUP($AF165,'251013'!$A$1:$M$200,5,FALSE)</f>
        <v>350</v>
      </c>
      <c r="AI165" s="5">
        <f>VLOOKUP($AF165,'251014'!$A$1:$M$200,4,FALSE)</f>
        <v>119375</v>
      </c>
      <c r="AJ165" s="5">
        <f>VLOOKUP($AF165,'251014'!$A$1:$M$200,5,FALSE)</f>
        <v>1400</v>
      </c>
      <c r="AK165" s="5">
        <f t="shared" si="136"/>
        <v>60063</v>
      </c>
      <c r="AL165" s="5">
        <f t="shared" si="137"/>
        <v>751</v>
      </c>
      <c r="AM165" s="5">
        <f t="shared" si="138"/>
        <v>1050</v>
      </c>
      <c r="AN165" s="5">
        <f>VLOOKUP($AF165,'251015'!$A$1:$M$200,4,FALSE)</f>
        <v>171459</v>
      </c>
      <c r="AO165" s="5">
        <f>VLOOKUP($AF165,'251015'!$A$1:$M$200,5,FALSE)</f>
        <v>1400</v>
      </c>
      <c r="AP165" s="5">
        <f t="shared" si="139"/>
        <v>52084</v>
      </c>
      <c r="AQ165" s="5">
        <f t="shared" si="140"/>
        <v>-7979</v>
      </c>
      <c r="AR165" s="5">
        <f t="shared" si="141"/>
        <v>0</v>
      </c>
      <c r="AS165" s="5">
        <f>VLOOKUP($AF165,'251016'!$A$1:$M$200,4,FALSE)</f>
        <v>212152</v>
      </c>
      <c r="AT165" s="5">
        <f>VLOOKUP($AF165,'251016'!$A$1:$M$200,5,FALSE)</f>
        <v>1400</v>
      </c>
      <c r="AU165" s="5">
        <f t="shared" si="142"/>
        <v>40693</v>
      </c>
      <c r="AV165" s="5">
        <f t="shared" si="143"/>
        <v>-11391</v>
      </c>
      <c r="AW165" s="5">
        <f t="shared" si="144"/>
        <v>0</v>
      </c>
      <c r="AX165" s="5">
        <f>VLOOKUP($AF165,'251017'!$A$1:$M$200,4,FALSE)</f>
        <v>282141</v>
      </c>
      <c r="AY165" s="5">
        <f>VLOOKUP($AF165,'251017'!$A$1:$M$200,5,FALSE)</f>
        <v>1400</v>
      </c>
      <c r="AZ165" s="5">
        <f t="shared" si="145"/>
        <v>69989</v>
      </c>
      <c r="BA165" s="5">
        <f t="shared" si="146"/>
        <v>29296</v>
      </c>
      <c r="BB165" s="5">
        <f t="shared" si="147"/>
        <v>0</v>
      </c>
      <c r="BC165" s="5">
        <f>VLOOKUP($AF165,'251018'!$A$1:$M$200,4,FALSE)</f>
        <v>346205</v>
      </c>
      <c r="BD165" s="5">
        <f>VLOOKUP($AF165,'251018'!$A$1:$M$200,5,FALSE)</f>
        <v>1400</v>
      </c>
      <c r="BE165" s="5">
        <f t="shared" si="148"/>
        <v>64064</v>
      </c>
      <c r="BF165" s="5">
        <f t="shared" si="149"/>
        <v>-5925</v>
      </c>
      <c r="BG165" s="5">
        <f t="shared" si="150"/>
        <v>0</v>
      </c>
      <c r="BH165" s="5">
        <f>VLOOKUP($AF165,'251018'!$A$1:$M$200,4,FALSE)</f>
        <v>346205</v>
      </c>
    </row>
    <row r="166" spans="2:60" x14ac:dyDescent="0.3">
      <c r="B166" s="5" t="s">
        <v>970</v>
      </c>
      <c r="C166" s="5">
        <f>VLOOKUP($B166,'251008_0시'!$A$1:$M$200,4,FALSE)</f>
        <v>122989</v>
      </c>
      <c r="D166" s="5">
        <f>VLOOKUP($B166,'251008_0시'!$A$1:$M$200,5,FALSE)</f>
        <v>1250</v>
      </c>
      <c r="E166" s="5">
        <f>VLOOKUP($B166,'251009_0시'!$A$1:$M$200,4,FALSE)</f>
        <v>232656</v>
      </c>
      <c r="F166" s="5">
        <f>VLOOKUP($B166,'251009_0시'!$A$1:$M$200,5,FALSE)</f>
        <v>2150</v>
      </c>
      <c r="G166" s="5">
        <f t="shared" si="151"/>
        <v>109667</v>
      </c>
      <c r="H166" s="5">
        <f t="shared" si="152"/>
        <v>48172.5</v>
      </c>
      <c r="I166" s="5">
        <f t="shared" si="153"/>
        <v>900</v>
      </c>
      <c r="J166" s="5">
        <f>VLOOKUP($B166,'251010_0시'!$A$1:$M$200,4,FALSE)</f>
        <v>290501</v>
      </c>
      <c r="K166" s="5">
        <f>VLOOKUP($B166,'251010_0시'!$A$1:$M$200,5,FALSE)</f>
        <v>2150</v>
      </c>
      <c r="L166" s="5">
        <f t="shared" si="154"/>
        <v>57845</v>
      </c>
      <c r="M166" s="5">
        <f t="shared" si="155"/>
        <v>-51822</v>
      </c>
      <c r="N166" s="5">
        <f t="shared" si="156"/>
        <v>0</v>
      </c>
      <c r="O166" s="5">
        <f>VLOOKUP($B166,'251011_0시'!$A$1:$M$200,4,FALSE)</f>
        <v>377092</v>
      </c>
      <c r="P166" s="5">
        <f>VLOOKUP($B166,'251011_0시'!$A$1:$M$200,5,FALSE)</f>
        <v>2600</v>
      </c>
      <c r="Q166" s="5">
        <f t="shared" si="157"/>
        <v>86591</v>
      </c>
      <c r="R166" s="5">
        <f t="shared" si="158"/>
        <v>28746</v>
      </c>
      <c r="S166" s="5">
        <f t="shared" si="159"/>
        <v>450</v>
      </c>
      <c r="T166" s="5">
        <f>VLOOKUP($B166,'251012_0시'!$A$1:$M$200,4,FALSE)</f>
        <v>402472</v>
      </c>
      <c r="U166" s="5">
        <f>VLOOKUP($B166,'251012_0시'!$A$1:$M$200,5,FALSE)</f>
        <v>2600</v>
      </c>
      <c r="V166" s="5">
        <f t="shared" si="160"/>
        <v>25380</v>
      </c>
      <c r="W166" s="5">
        <f t="shared" si="161"/>
        <v>-61211</v>
      </c>
      <c r="X166" s="5">
        <f t="shared" si="162"/>
        <v>0</v>
      </c>
      <c r="Y166" s="5">
        <f>VLOOKUP($B166,'251013_0시'!$A$1:$M$200,4,FALSE)</f>
        <v>404428</v>
      </c>
      <c r="Z166" s="5">
        <f>VLOOKUP($B166,'251013_0시'!$A$1:$M$200,5,FALSE)</f>
        <v>2600</v>
      </c>
      <c r="AA166" s="5">
        <f t="shared" si="163"/>
        <v>1956</v>
      </c>
      <c r="AB166" s="5">
        <f t="shared" si="164"/>
        <v>-23424</v>
      </c>
      <c r="AC166" s="5">
        <f t="shared" si="165"/>
        <v>0</v>
      </c>
      <c r="AD166" s="5">
        <f>VLOOKUP($B166,'251013_0시'!$A$1:$M$200,4,FALSE)</f>
        <v>404428</v>
      </c>
      <c r="AF166" s="5" t="s">
        <v>887</v>
      </c>
      <c r="AG166" s="5">
        <f>VLOOKUP($AF166,'251013'!$A$1:$M$200,4,FALSE)</f>
        <v>44721</v>
      </c>
      <c r="AH166" s="5">
        <f>VLOOKUP($AF166,'251013'!$A$1:$M$200,5,FALSE)</f>
        <v>5346</v>
      </c>
      <c r="AI166" s="5">
        <f>VLOOKUP($AF166,'251014'!$A$1:$M$200,4,FALSE)</f>
        <v>102624</v>
      </c>
      <c r="AJ166" s="5">
        <f>VLOOKUP($AF166,'251014'!$A$1:$M$200,5,FALSE)</f>
        <v>17184</v>
      </c>
      <c r="AK166" s="5">
        <f t="shared" ref="AK166:AK188" si="166">AI166-AG166</f>
        <v>57903</v>
      </c>
      <c r="AL166" s="5">
        <f t="shared" ref="AL166:AL188" si="167">AK166-AG166</f>
        <v>13182</v>
      </c>
      <c r="AM166" s="5">
        <f t="shared" ref="AM166:AM188" si="168">AJ166-AH166</f>
        <v>11838</v>
      </c>
      <c r="AN166" s="5">
        <f>VLOOKUP($AF166,'251015'!$A$1:$M$200,4,FALSE)</f>
        <v>181795</v>
      </c>
      <c r="AO166" s="5">
        <f>VLOOKUP($AF166,'251015'!$A$1:$M$200,5,FALSE)</f>
        <v>19884</v>
      </c>
      <c r="AP166" s="5">
        <f t="shared" ref="AP166:AP188" si="169">AN166-AI166</f>
        <v>79171</v>
      </c>
      <c r="AQ166" s="5">
        <f t="shared" ref="AQ166:AQ188" si="170">AP166-AK166</f>
        <v>21268</v>
      </c>
      <c r="AR166" s="5">
        <f t="shared" ref="AR166:AR188" si="171">AO166-AJ166</f>
        <v>2700</v>
      </c>
      <c r="AS166" s="5">
        <f>VLOOKUP($AF166,'251016'!$A$1:$M$200,4,FALSE)</f>
        <v>227871</v>
      </c>
      <c r="AT166" s="5">
        <f>VLOOKUP($AF166,'251016'!$A$1:$M$200,5,FALSE)</f>
        <v>22584</v>
      </c>
      <c r="AU166" s="5">
        <f t="shared" ref="AU166:AU188" si="172">AS166-AN166</f>
        <v>46076</v>
      </c>
      <c r="AV166" s="5">
        <f t="shared" ref="AV166:AV188" si="173">AU166-AP166</f>
        <v>-33095</v>
      </c>
      <c r="AW166" s="5">
        <f t="shared" ref="AW166:AW188" si="174">AT166-AO166</f>
        <v>2700</v>
      </c>
      <c r="AX166" s="5">
        <f>VLOOKUP($AF166,'251017'!$A$1:$M$200,4,FALSE)</f>
        <v>285348</v>
      </c>
      <c r="AY166" s="5">
        <f>VLOOKUP($AF166,'251017'!$A$1:$M$200,5,FALSE)</f>
        <v>25734</v>
      </c>
      <c r="AZ166" s="5">
        <f t="shared" ref="AZ166:AZ188" si="175">AX166-AS166</f>
        <v>57477</v>
      </c>
      <c r="BA166" s="5">
        <f t="shared" ref="BA166:BA188" si="176">AZ166-AU166</f>
        <v>11401</v>
      </c>
      <c r="BB166" s="5">
        <f t="shared" ref="BB166:BB188" si="177">AY166-AT166</f>
        <v>3150</v>
      </c>
      <c r="BC166" s="5">
        <f>VLOOKUP($AF166,'251018'!$A$1:$M$200,4,FALSE)</f>
        <v>338661</v>
      </c>
      <c r="BD166" s="5">
        <f>VLOOKUP($AF166,'251018'!$A$1:$M$200,5,FALSE)</f>
        <v>27984</v>
      </c>
      <c r="BE166" s="5">
        <f t="shared" ref="BE166:BE188" si="178">BC166-AX166</f>
        <v>53313</v>
      </c>
      <c r="BF166" s="5">
        <f t="shared" ref="BF166:BF188" si="179">BE166-AZ166</f>
        <v>-4164</v>
      </c>
      <c r="BG166" s="5">
        <f t="shared" ref="BG166:BG188" si="180">BD166-AY166</f>
        <v>2250</v>
      </c>
      <c r="BH166" s="5">
        <f>VLOOKUP($AF166,'251018'!$A$1:$M$200,4,FALSE)</f>
        <v>338661</v>
      </c>
    </row>
    <row r="167" spans="2:60" x14ac:dyDescent="0.3">
      <c r="B167" s="5" t="s">
        <v>876</v>
      </c>
      <c r="C167" s="5">
        <f>VLOOKUP($B167,'251008_0시'!$A$1:$M$200,4,FALSE)</f>
        <v>100139</v>
      </c>
      <c r="D167" s="5">
        <f>VLOOKUP($B167,'251008_0시'!$A$1:$M$200,5,FALSE)</f>
        <v>700</v>
      </c>
      <c r="E167" s="5">
        <f>VLOOKUP($B167,'251009_0시'!$A$1:$M$200,4,FALSE)</f>
        <v>156815</v>
      </c>
      <c r="F167" s="5">
        <f>VLOOKUP($B167,'251009_0시'!$A$1:$M$200,5,FALSE)</f>
        <v>700</v>
      </c>
      <c r="G167" s="5">
        <f t="shared" si="151"/>
        <v>56676</v>
      </c>
      <c r="H167" s="5">
        <f t="shared" si="152"/>
        <v>6606.5</v>
      </c>
      <c r="I167" s="5">
        <f t="shared" si="153"/>
        <v>0</v>
      </c>
      <c r="J167" s="5">
        <f>VLOOKUP($B167,'251010_0시'!$A$1:$M$200,4,FALSE)</f>
        <v>218787</v>
      </c>
      <c r="K167" s="5">
        <f>VLOOKUP($B167,'251010_0시'!$A$1:$M$200,5,FALSE)</f>
        <v>700</v>
      </c>
      <c r="L167" s="5">
        <f t="shared" si="154"/>
        <v>61972</v>
      </c>
      <c r="M167" s="5">
        <f t="shared" si="155"/>
        <v>5296</v>
      </c>
      <c r="N167" s="5">
        <f t="shared" si="156"/>
        <v>0</v>
      </c>
      <c r="O167" s="5">
        <f>VLOOKUP($B167,'251011_0시'!$A$1:$M$200,4,FALSE)</f>
        <v>281879</v>
      </c>
      <c r="P167" s="5">
        <f>VLOOKUP($B167,'251011_0시'!$A$1:$M$200,5,FALSE)</f>
        <v>700</v>
      </c>
      <c r="Q167" s="5">
        <f t="shared" si="157"/>
        <v>63092</v>
      </c>
      <c r="R167" s="5">
        <f t="shared" si="158"/>
        <v>1120</v>
      </c>
      <c r="S167" s="5">
        <f t="shared" si="159"/>
        <v>0</v>
      </c>
      <c r="T167" s="5">
        <f>VLOOKUP($B167,'251012_0시'!$A$1:$M$200,4,FALSE)</f>
        <v>353196</v>
      </c>
      <c r="U167" s="5">
        <f>VLOOKUP($B167,'251012_0시'!$A$1:$M$200,5,FALSE)</f>
        <v>700</v>
      </c>
      <c r="V167" s="5">
        <f t="shared" si="160"/>
        <v>71317</v>
      </c>
      <c r="W167" s="5">
        <f t="shared" si="161"/>
        <v>8225</v>
      </c>
      <c r="X167" s="5">
        <f t="shared" si="162"/>
        <v>0</v>
      </c>
      <c r="Y167" s="5">
        <f>VLOOKUP($B167,'251013_0시'!$A$1:$M$200,4,FALSE)</f>
        <v>399102</v>
      </c>
      <c r="Z167" s="5">
        <f>VLOOKUP($B167,'251013_0시'!$A$1:$M$200,5,FALSE)</f>
        <v>700</v>
      </c>
      <c r="AA167" s="5">
        <f t="shared" si="163"/>
        <v>45906</v>
      </c>
      <c r="AB167" s="5">
        <f t="shared" si="164"/>
        <v>-25411</v>
      </c>
      <c r="AC167" s="5">
        <f t="shared" si="165"/>
        <v>0</v>
      </c>
      <c r="AD167" s="5">
        <f>VLOOKUP($B167,'251013_0시'!$A$1:$M$200,4,FALSE)</f>
        <v>399102</v>
      </c>
      <c r="AF167" s="5" t="s">
        <v>875</v>
      </c>
      <c r="AG167" s="5">
        <f>VLOOKUP($AF167,'251013'!$A$1:$M$200,4,FALSE)</f>
        <v>36214</v>
      </c>
      <c r="AH167" s="5">
        <f>VLOOKUP($AF167,'251013'!$A$1:$M$200,5,FALSE)</f>
        <v>5898</v>
      </c>
      <c r="AI167" s="5">
        <f>VLOOKUP($AF167,'251014'!$A$1:$M$200,4,FALSE)</f>
        <v>96058</v>
      </c>
      <c r="AJ167" s="5">
        <f>VLOOKUP($AF167,'251014'!$A$1:$M$200,5,FALSE)</f>
        <v>15449</v>
      </c>
      <c r="AK167" s="5">
        <f t="shared" si="166"/>
        <v>59844</v>
      </c>
      <c r="AL167" s="5">
        <f t="shared" si="167"/>
        <v>23630</v>
      </c>
      <c r="AM167" s="5">
        <f t="shared" si="168"/>
        <v>9551</v>
      </c>
      <c r="AN167" s="5">
        <f>VLOOKUP($AF167,'251015'!$A$1:$M$200,4,FALSE)</f>
        <v>178725</v>
      </c>
      <c r="AO167" s="5">
        <f>VLOOKUP($AF167,'251015'!$A$1:$M$200,5,FALSE)</f>
        <v>22519</v>
      </c>
      <c r="AP167" s="5">
        <f t="shared" si="169"/>
        <v>82667</v>
      </c>
      <c r="AQ167" s="5">
        <f t="shared" si="170"/>
        <v>22823</v>
      </c>
      <c r="AR167" s="5">
        <f t="shared" si="171"/>
        <v>7070</v>
      </c>
      <c r="AS167" s="5">
        <f>VLOOKUP($AF167,'251016'!$A$1:$M$200,4,FALSE)</f>
        <v>229836</v>
      </c>
      <c r="AT167" s="5">
        <f>VLOOKUP($AF167,'251016'!$A$1:$M$200,5,FALSE)</f>
        <v>22666</v>
      </c>
      <c r="AU167" s="5">
        <f t="shared" si="172"/>
        <v>51111</v>
      </c>
      <c r="AV167" s="5">
        <f t="shared" si="173"/>
        <v>-31556</v>
      </c>
      <c r="AW167" s="5">
        <f t="shared" si="174"/>
        <v>147</v>
      </c>
      <c r="AX167" s="5">
        <f>VLOOKUP($AF167,'251017'!$A$1:$M$200,4,FALSE)</f>
        <v>274527</v>
      </c>
      <c r="AY167" s="5">
        <f>VLOOKUP($AF167,'251017'!$A$1:$M$200,5,FALSE)</f>
        <v>22666</v>
      </c>
      <c r="AZ167" s="5">
        <f t="shared" si="175"/>
        <v>44691</v>
      </c>
      <c r="BA167" s="5">
        <f t="shared" si="176"/>
        <v>-6420</v>
      </c>
      <c r="BB167" s="5">
        <f t="shared" si="177"/>
        <v>0</v>
      </c>
      <c r="BC167" s="5">
        <f>VLOOKUP($AF167,'251018'!$A$1:$M$200,4,FALSE)</f>
        <v>337225</v>
      </c>
      <c r="BD167" s="5">
        <f>VLOOKUP($AF167,'251018'!$A$1:$M$200,5,FALSE)</f>
        <v>23016</v>
      </c>
      <c r="BE167" s="5">
        <f t="shared" si="178"/>
        <v>62698</v>
      </c>
      <c r="BF167" s="5">
        <f t="shared" si="179"/>
        <v>18007</v>
      </c>
      <c r="BG167" s="5">
        <f t="shared" si="180"/>
        <v>350</v>
      </c>
      <c r="BH167" s="5">
        <f>VLOOKUP($AF167,'251018'!$A$1:$M$200,4,FALSE)</f>
        <v>337225</v>
      </c>
    </row>
    <row r="168" spans="2:60" x14ac:dyDescent="0.3">
      <c r="B168" s="5" t="s">
        <v>853</v>
      </c>
      <c r="C168" s="5">
        <f>VLOOKUP($B168,'251008_0시'!$A$1:$M$200,4,FALSE)</f>
        <v>78763</v>
      </c>
      <c r="D168" s="5">
        <f>VLOOKUP($B168,'251008_0시'!$A$1:$M$200,5,FALSE)</f>
        <v>0</v>
      </c>
      <c r="E168" s="5">
        <f>VLOOKUP($B168,'251009_0시'!$A$1:$M$200,4,FALSE)</f>
        <v>106780</v>
      </c>
      <c r="F168" s="5">
        <f>VLOOKUP($B168,'251009_0시'!$A$1:$M$200,5,FALSE)</f>
        <v>0</v>
      </c>
      <c r="G168" s="5">
        <f t="shared" si="151"/>
        <v>28017</v>
      </c>
      <c r="H168" s="5">
        <f t="shared" si="152"/>
        <v>-11364.5</v>
      </c>
      <c r="I168" s="5">
        <f t="shared" si="153"/>
        <v>0</v>
      </c>
      <c r="J168" s="5">
        <f>VLOOKUP($B168,'251010_0시'!$A$1:$M$200,4,FALSE)</f>
        <v>119069</v>
      </c>
      <c r="K168" s="5">
        <f>VLOOKUP($B168,'251010_0시'!$A$1:$M$200,5,FALSE)</f>
        <v>0</v>
      </c>
      <c r="L168" s="5">
        <f t="shared" si="154"/>
        <v>12289</v>
      </c>
      <c r="M168" s="5">
        <f t="shared" si="155"/>
        <v>-15728</v>
      </c>
      <c r="N168" s="5">
        <f t="shared" si="156"/>
        <v>0</v>
      </c>
      <c r="O168" s="5">
        <f>VLOOKUP($B168,'251011_0시'!$A$1:$M$200,4,FALSE)</f>
        <v>163847</v>
      </c>
      <c r="P168" s="5">
        <f>VLOOKUP($B168,'251011_0시'!$A$1:$M$200,5,FALSE)</f>
        <v>0</v>
      </c>
      <c r="Q168" s="5">
        <f t="shared" si="157"/>
        <v>44778</v>
      </c>
      <c r="R168" s="5">
        <f t="shared" si="158"/>
        <v>32489</v>
      </c>
      <c r="S168" s="5">
        <f t="shared" si="159"/>
        <v>0</v>
      </c>
      <c r="T168" s="5">
        <f>VLOOKUP($B168,'251012_0시'!$A$1:$M$200,4,FALSE)</f>
        <v>271979</v>
      </c>
      <c r="U168" s="5">
        <f>VLOOKUP($B168,'251012_0시'!$A$1:$M$200,5,FALSE)</f>
        <v>0</v>
      </c>
      <c r="V168" s="5">
        <f t="shared" si="160"/>
        <v>108132</v>
      </c>
      <c r="W168" s="5">
        <f t="shared" si="161"/>
        <v>63354</v>
      </c>
      <c r="X168" s="5">
        <f t="shared" si="162"/>
        <v>0</v>
      </c>
      <c r="Y168" s="5">
        <f>VLOOKUP($B168,'251013_0시'!$A$1:$M$200,4,FALSE)</f>
        <v>398864</v>
      </c>
      <c r="Z168" s="5">
        <f>VLOOKUP($B168,'251013_0시'!$A$1:$M$200,5,FALSE)</f>
        <v>0</v>
      </c>
      <c r="AA168" s="5">
        <f t="shared" si="163"/>
        <v>126885</v>
      </c>
      <c r="AB168" s="5">
        <f t="shared" si="164"/>
        <v>18753</v>
      </c>
      <c r="AC168" s="5">
        <f t="shared" si="165"/>
        <v>0</v>
      </c>
      <c r="AD168" s="5">
        <f>VLOOKUP($B168,'251013_0시'!$A$1:$M$200,4,FALSE)</f>
        <v>398864</v>
      </c>
      <c r="AF168" s="5" t="s">
        <v>817</v>
      </c>
      <c r="AG168" s="5">
        <f>VLOOKUP($AF168,'251013'!$A$1:$M$200,4,FALSE)</f>
        <v>97071</v>
      </c>
      <c r="AH168" s="5">
        <f>VLOOKUP($AF168,'251013'!$A$1:$M$200,5,FALSE)</f>
        <v>0</v>
      </c>
      <c r="AI168" s="5">
        <f>VLOOKUP($AF168,'251014'!$A$1:$M$200,4,FALSE)</f>
        <v>135104</v>
      </c>
      <c r="AJ168" s="5">
        <f>VLOOKUP($AF168,'251014'!$A$1:$M$200,5,FALSE)</f>
        <v>0</v>
      </c>
      <c r="AK168" s="5">
        <f t="shared" si="166"/>
        <v>38033</v>
      </c>
      <c r="AL168" s="5">
        <f t="shared" si="167"/>
        <v>-59038</v>
      </c>
      <c r="AM168" s="5">
        <f t="shared" si="168"/>
        <v>0</v>
      </c>
      <c r="AN168" s="5">
        <f>VLOOKUP($AF168,'251015'!$A$1:$M$200,4,FALSE)</f>
        <v>182848</v>
      </c>
      <c r="AO168" s="5">
        <f>VLOOKUP($AF168,'251015'!$A$1:$M$200,5,FALSE)</f>
        <v>0</v>
      </c>
      <c r="AP168" s="5">
        <f t="shared" si="169"/>
        <v>47744</v>
      </c>
      <c r="AQ168" s="5">
        <f t="shared" si="170"/>
        <v>9711</v>
      </c>
      <c r="AR168" s="5">
        <f t="shared" si="171"/>
        <v>0</v>
      </c>
      <c r="AS168" s="5">
        <f>VLOOKUP($AF168,'251016'!$A$1:$M$200,4,FALSE)</f>
        <v>182848</v>
      </c>
      <c r="AT168" s="5">
        <f>VLOOKUP($AF168,'251016'!$A$1:$M$200,5,FALSE)</f>
        <v>0</v>
      </c>
      <c r="AU168" s="5">
        <f t="shared" si="172"/>
        <v>0</v>
      </c>
      <c r="AV168" s="5">
        <f t="shared" si="173"/>
        <v>-47744</v>
      </c>
      <c r="AW168" s="5">
        <f t="shared" si="174"/>
        <v>0</v>
      </c>
      <c r="AX168" s="5">
        <f>VLOOKUP($AF168,'251017'!$A$1:$M$200,4,FALSE)</f>
        <v>223237</v>
      </c>
      <c r="AY168" s="5">
        <f>VLOOKUP($AF168,'251017'!$A$1:$M$200,5,FALSE)</f>
        <v>0</v>
      </c>
      <c r="AZ168" s="5">
        <f t="shared" si="175"/>
        <v>40389</v>
      </c>
      <c r="BA168" s="5">
        <f t="shared" si="176"/>
        <v>40389</v>
      </c>
      <c r="BB168" s="5">
        <f t="shared" si="177"/>
        <v>0</v>
      </c>
      <c r="BC168" s="5">
        <f>VLOOKUP($AF168,'251018'!$A$1:$M$200,4,FALSE)</f>
        <v>334218</v>
      </c>
      <c r="BD168" s="5">
        <f>VLOOKUP($AF168,'251018'!$A$1:$M$200,5,FALSE)</f>
        <v>0</v>
      </c>
      <c r="BE168" s="5">
        <f t="shared" si="178"/>
        <v>110981</v>
      </c>
      <c r="BF168" s="5">
        <f t="shared" si="179"/>
        <v>70592</v>
      </c>
      <c r="BG168" s="5">
        <f t="shared" si="180"/>
        <v>0</v>
      </c>
      <c r="BH168" s="5">
        <f>VLOOKUP($AF168,'251018'!$A$1:$M$200,4,FALSE)</f>
        <v>334218</v>
      </c>
    </row>
    <row r="169" spans="2:60" x14ac:dyDescent="0.3">
      <c r="B169" s="5" t="s">
        <v>882</v>
      </c>
      <c r="C169" s="5">
        <f>VLOOKUP($B169,'251008_0시'!$A$1:$M$200,4,FALSE)</f>
        <v>119589</v>
      </c>
      <c r="D169" s="5">
        <f>VLOOKUP($B169,'251008_0시'!$A$1:$M$200,5,FALSE)</f>
        <v>101</v>
      </c>
      <c r="E169" s="5">
        <f>VLOOKUP($B169,'251009_0시'!$A$1:$M$200,4,FALSE)</f>
        <v>172045</v>
      </c>
      <c r="F169" s="5">
        <f>VLOOKUP($B169,'251009_0시'!$A$1:$M$200,5,FALSE)</f>
        <v>451</v>
      </c>
      <c r="G169" s="5">
        <f t="shared" si="151"/>
        <v>52456</v>
      </c>
      <c r="H169" s="5">
        <f t="shared" si="152"/>
        <v>-7338.5</v>
      </c>
      <c r="I169" s="5">
        <f t="shared" si="153"/>
        <v>350</v>
      </c>
      <c r="J169" s="5">
        <f>VLOOKUP($B169,'251010_0시'!$A$1:$M$200,4,FALSE)</f>
        <v>224028</v>
      </c>
      <c r="K169" s="5">
        <f>VLOOKUP($B169,'251010_0시'!$A$1:$M$200,5,FALSE)</f>
        <v>451</v>
      </c>
      <c r="L169" s="5">
        <f t="shared" si="154"/>
        <v>51983</v>
      </c>
      <c r="M169" s="5">
        <f t="shared" si="155"/>
        <v>-473</v>
      </c>
      <c r="N169" s="5">
        <f t="shared" si="156"/>
        <v>0</v>
      </c>
      <c r="O169" s="5">
        <f>VLOOKUP($B169,'251011_0시'!$A$1:$M$200,4,FALSE)</f>
        <v>278664</v>
      </c>
      <c r="P169" s="5">
        <f>VLOOKUP($B169,'251011_0시'!$A$1:$M$200,5,FALSE)</f>
        <v>801</v>
      </c>
      <c r="Q169" s="5">
        <f t="shared" si="157"/>
        <v>54636</v>
      </c>
      <c r="R169" s="5">
        <f t="shared" si="158"/>
        <v>2653</v>
      </c>
      <c r="S169" s="5">
        <f t="shared" si="159"/>
        <v>350</v>
      </c>
      <c r="T169" s="5">
        <f>VLOOKUP($B169,'251012_0시'!$A$1:$M$200,4,FALSE)</f>
        <v>342784</v>
      </c>
      <c r="U169" s="5">
        <f>VLOOKUP($B169,'251012_0시'!$A$1:$M$200,5,FALSE)</f>
        <v>851</v>
      </c>
      <c r="V169" s="5">
        <f t="shared" si="160"/>
        <v>64120</v>
      </c>
      <c r="W169" s="5">
        <f t="shared" si="161"/>
        <v>9484</v>
      </c>
      <c r="X169" s="5">
        <f t="shared" si="162"/>
        <v>50</v>
      </c>
      <c r="Y169" s="5">
        <f>VLOOKUP($B169,'251013_0시'!$A$1:$M$200,4,FALSE)</f>
        <v>391447</v>
      </c>
      <c r="Z169" s="5">
        <f>VLOOKUP($B169,'251013_0시'!$A$1:$M$200,5,FALSE)</f>
        <v>851</v>
      </c>
      <c r="AA169" s="5">
        <f t="shared" si="163"/>
        <v>48663</v>
      </c>
      <c r="AB169" s="5">
        <f t="shared" si="164"/>
        <v>-15457</v>
      </c>
      <c r="AC169" s="5">
        <f t="shared" si="165"/>
        <v>0</v>
      </c>
      <c r="AD169" s="5">
        <f>VLOOKUP($B169,'251013_0시'!$A$1:$M$200,4,FALSE)</f>
        <v>391447</v>
      </c>
      <c r="AF169" s="5" t="s">
        <v>832</v>
      </c>
      <c r="AG169" s="5">
        <f>VLOOKUP($AF169,'251013'!$A$1:$M$200,4,FALSE)</f>
        <v>45463</v>
      </c>
      <c r="AH169" s="5">
        <f>VLOOKUP($AF169,'251013'!$A$1:$M$200,5,FALSE)</f>
        <v>450</v>
      </c>
      <c r="AI169" s="5">
        <f>VLOOKUP($AF169,'251014'!$A$1:$M$200,4,FALSE)</f>
        <v>98246</v>
      </c>
      <c r="AJ169" s="5">
        <f>VLOOKUP($AF169,'251014'!$A$1:$M$200,5,FALSE)</f>
        <v>2700</v>
      </c>
      <c r="AK169" s="5">
        <f t="shared" si="166"/>
        <v>52783</v>
      </c>
      <c r="AL169" s="5">
        <f t="shared" si="167"/>
        <v>7320</v>
      </c>
      <c r="AM169" s="5">
        <f t="shared" si="168"/>
        <v>2250</v>
      </c>
      <c r="AN169" s="5">
        <f>VLOOKUP($AF169,'251015'!$A$1:$M$200,4,FALSE)</f>
        <v>198552</v>
      </c>
      <c r="AO169" s="5">
        <f>VLOOKUP($AF169,'251015'!$A$1:$M$200,5,FALSE)</f>
        <v>5400</v>
      </c>
      <c r="AP169" s="5">
        <f t="shared" si="169"/>
        <v>100306</v>
      </c>
      <c r="AQ169" s="5">
        <f t="shared" si="170"/>
        <v>47523</v>
      </c>
      <c r="AR169" s="5">
        <f t="shared" si="171"/>
        <v>2700</v>
      </c>
      <c r="AS169" s="5">
        <f>VLOOKUP($AF169,'251016'!$A$1:$M$200,4,FALSE)</f>
        <v>247180</v>
      </c>
      <c r="AT169" s="5">
        <f>VLOOKUP($AF169,'251016'!$A$1:$M$200,5,FALSE)</f>
        <v>6300</v>
      </c>
      <c r="AU169" s="5">
        <f t="shared" si="172"/>
        <v>48628</v>
      </c>
      <c r="AV169" s="5">
        <f t="shared" si="173"/>
        <v>-51678</v>
      </c>
      <c r="AW169" s="5">
        <f t="shared" si="174"/>
        <v>900</v>
      </c>
      <c r="AX169" s="5">
        <f>VLOOKUP($AF169,'251017'!$A$1:$M$200,4,FALSE)</f>
        <v>256160</v>
      </c>
      <c r="AY169" s="5">
        <f>VLOOKUP($AF169,'251017'!$A$1:$M$200,5,FALSE)</f>
        <v>7200</v>
      </c>
      <c r="AZ169" s="5">
        <f t="shared" si="175"/>
        <v>8980</v>
      </c>
      <c r="BA169" s="5">
        <f t="shared" si="176"/>
        <v>-39648</v>
      </c>
      <c r="BB169" s="5">
        <f t="shared" si="177"/>
        <v>900</v>
      </c>
      <c r="BC169" s="5">
        <f>VLOOKUP($AF169,'251018'!$A$1:$M$200,4,FALSE)</f>
        <v>333923</v>
      </c>
      <c r="BD169" s="5">
        <f>VLOOKUP($AF169,'251018'!$A$1:$M$200,5,FALSE)</f>
        <v>9000</v>
      </c>
      <c r="BE169" s="5">
        <f t="shared" si="178"/>
        <v>77763</v>
      </c>
      <c r="BF169" s="5">
        <f t="shared" si="179"/>
        <v>68783</v>
      </c>
      <c r="BG169" s="5">
        <f t="shared" si="180"/>
        <v>1800</v>
      </c>
      <c r="BH169" s="5">
        <f>VLOOKUP($AF169,'251018'!$A$1:$M$200,4,FALSE)</f>
        <v>333923</v>
      </c>
    </row>
    <row r="170" spans="2:60" x14ac:dyDescent="0.3">
      <c r="B170" s="5" t="s">
        <v>875</v>
      </c>
      <c r="C170" s="5">
        <f>VLOOKUP($B170,'251008_0시'!$A$1:$M$200,4,FALSE)</f>
        <v>58626</v>
      </c>
      <c r="D170" s="5">
        <f>VLOOKUP($B170,'251008_0시'!$A$1:$M$200,5,FALSE)</f>
        <v>350</v>
      </c>
      <c r="E170" s="5">
        <f>VLOOKUP($B170,'251009_0시'!$A$1:$M$200,4,FALSE)</f>
        <v>125227</v>
      </c>
      <c r="F170" s="5">
        <f>VLOOKUP($B170,'251009_0시'!$A$1:$M$200,5,FALSE)</f>
        <v>350</v>
      </c>
      <c r="G170" s="5">
        <f t="shared" si="151"/>
        <v>66601</v>
      </c>
      <c r="H170" s="5">
        <f t="shared" si="152"/>
        <v>37288</v>
      </c>
      <c r="I170" s="5">
        <f t="shared" si="153"/>
        <v>0</v>
      </c>
      <c r="J170" s="5">
        <f>VLOOKUP($B170,'251010_0시'!$A$1:$M$200,4,FALSE)</f>
        <v>178875</v>
      </c>
      <c r="K170" s="5">
        <f>VLOOKUP($B170,'251010_0시'!$A$1:$M$200,5,FALSE)</f>
        <v>350</v>
      </c>
      <c r="L170" s="5">
        <f t="shared" si="154"/>
        <v>53648</v>
      </c>
      <c r="M170" s="5">
        <f t="shared" si="155"/>
        <v>-12953</v>
      </c>
      <c r="N170" s="5">
        <f t="shared" si="156"/>
        <v>0</v>
      </c>
      <c r="O170" s="5">
        <f>VLOOKUP($B170,'251011_0시'!$A$1:$M$200,4,FALSE)</f>
        <v>240717</v>
      </c>
      <c r="P170" s="5">
        <f>VLOOKUP($B170,'251011_0시'!$A$1:$M$200,5,FALSE)</f>
        <v>350</v>
      </c>
      <c r="Q170" s="5">
        <f t="shared" si="157"/>
        <v>61842</v>
      </c>
      <c r="R170" s="5">
        <f t="shared" si="158"/>
        <v>8194</v>
      </c>
      <c r="S170" s="5">
        <f t="shared" si="159"/>
        <v>0</v>
      </c>
      <c r="T170" s="5">
        <f>VLOOKUP($B170,'251012_0시'!$A$1:$M$200,4,FALSE)</f>
        <v>309275</v>
      </c>
      <c r="U170" s="5">
        <f>VLOOKUP($B170,'251012_0시'!$A$1:$M$200,5,FALSE)</f>
        <v>450</v>
      </c>
      <c r="V170" s="5">
        <f t="shared" si="160"/>
        <v>68558</v>
      </c>
      <c r="W170" s="5">
        <f t="shared" si="161"/>
        <v>6716</v>
      </c>
      <c r="X170" s="5">
        <f t="shared" si="162"/>
        <v>100</v>
      </c>
      <c r="Y170" s="5">
        <f>VLOOKUP($B170,'251013_0시'!$A$1:$M$200,4,FALSE)</f>
        <v>385591</v>
      </c>
      <c r="Z170" s="5">
        <f>VLOOKUP($B170,'251013_0시'!$A$1:$M$200,5,FALSE)</f>
        <v>1850</v>
      </c>
      <c r="AA170" s="5">
        <f t="shared" si="163"/>
        <v>76316</v>
      </c>
      <c r="AB170" s="5">
        <f t="shared" si="164"/>
        <v>7758</v>
      </c>
      <c r="AC170" s="5">
        <f t="shared" si="165"/>
        <v>1400</v>
      </c>
      <c r="AD170" s="5">
        <f>VLOOKUP($B170,'251013_0시'!$A$1:$M$200,4,FALSE)</f>
        <v>385591</v>
      </c>
      <c r="AF170" s="5" t="s">
        <v>879</v>
      </c>
      <c r="AG170" s="5">
        <f>VLOOKUP($AF170,'251013'!$A$1:$M$200,4,FALSE)</f>
        <v>71387</v>
      </c>
      <c r="AH170" s="5">
        <f>VLOOKUP($AF170,'251013'!$A$1:$M$200,5,FALSE)</f>
        <v>0</v>
      </c>
      <c r="AI170" s="5">
        <f>VLOOKUP($AF170,'251014'!$A$1:$M$200,4,FALSE)</f>
        <v>116823</v>
      </c>
      <c r="AJ170" s="5">
        <f>VLOOKUP($AF170,'251014'!$A$1:$M$200,5,FALSE)</f>
        <v>0</v>
      </c>
      <c r="AK170" s="5">
        <f t="shared" si="166"/>
        <v>45436</v>
      </c>
      <c r="AL170" s="5">
        <f t="shared" si="167"/>
        <v>-25951</v>
      </c>
      <c r="AM170" s="5">
        <f t="shared" si="168"/>
        <v>0</v>
      </c>
      <c r="AN170" s="5">
        <f>VLOOKUP($AF170,'251015'!$A$1:$M$200,4,FALSE)</f>
        <v>157353</v>
      </c>
      <c r="AO170" s="5">
        <f>VLOOKUP($AF170,'251015'!$A$1:$M$200,5,FALSE)</f>
        <v>0</v>
      </c>
      <c r="AP170" s="5">
        <f t="shared" si="169"/>
        <v>40530</v>
      </c>
      <c r="AQ170" s="5">
        <f t="shared" si="170"/>
        <v>-4906</v>
      </c>
      <c r="AR170" s="5">
        <f t="shared" si="171"/>
        <v>0</v>
      </c>
      <c r="AS170" s="5">
        <f>VLOOKUP($AF170,'251016'!$A$1:$M$200,4,FALSE)</f>
        <v>178684</v>
      </c>
      <c r="AT170" s="5">
        <f>VLOOKUP($AF170,'251016'!$A$1:$M$200,5,FALSE)</f>
        <v>0</v>
      </c>
      <c r="AU170" s="5">
        <f t="shared" si="172"/>
        <v>21331</v>
      </c>
      <c r="AV170" s="5">
        <f t="shared" si="173"/>
        <v>-19199</v>
      </c>
      <c r="AW170" s="5">
        <f t="shared" si="174"/>
        <v>0</v>
      </c>
      <c r="AX170" s="5">
        <f>VLOOKUP($AF170,'251017'!$A$1:$M$200,4,FALSE)</f>
        <v>236796</v>
      </c>
      <c r="AY170" s="5">
        <f>VLOOKUP($AF170,'251017'!$A$1:$M$200,5,FALSE)</f>
        <v>0</v>
      </c>
      <c r="AZ170" s="5">
        <f t="shared" si="175"/>
        <v>58112</v>
      </c>
      <c r="BA170" s="5">
        <f t="shared" si="176"/>
        <v>36781</v>
      </c>
      <c r="BB170" s="5">
        <f t="shared" si="177"/>
        <v>0</v>
      </c>
      <c r="BC170" s="5">
        <f>VLOOKUP($AF170,'251018'!$A$1:$M$200,4,FALSE)</f>
        <v>332928</v>
      </c>
      <c r="BD170" s="5">
        <f>VLOOKUP($AF170,'251018'!$A$1:$M$200,5,FALSE)</f>
        <v>0</v>
      </c>
      <c r="BE170" s="5">
        <f t="shared" si="178"/>
        <v>96132</v>
      </c>
      <c r="BF170" s="5">
        <f t="shared" si="179"/>
        <v>38020</v>
      </c>
      <c r="BG170" s="5">
        <f t="shared" si="180"/>
        <v>0</v>
      </c>
      <c r="BH170" s="5">
        <f>VLOOKUP($AF170,'251018'!$A$1:$M$200,4,FALSE)</f>
        <v>332928</v>
      </c>
    </row>
    <row r="171" spans="2:60" x14ac:dyDescent="0.3">
      <c r="B171" s="5" t="s">
        <v>851</v>
      </c>
      <c r="C171" s="5">
        <f>VLOOKUP($B171,'251008_0시'!$A$1:$M$200,4,FALSE)</f>
        <v>119337</v>
      </c>
      <c r="D171" s="5">
        <f>VLOOKUP($B171,'251008_0시'!$A$1:$M$200,5,FALSE)</f>
        <v>4600</v>
      </c>
      <c r="E171" s="5">
        <f>VLOOKUP($B171,'251009_0시'!$A$1:$M$200,4,FALSE)</f>
        <v>167359</v>
      </c>
      <c r="F171" s="5">
        <f>VLOOKUP($B171,'251009_0시'!$A$1:$M$200,5,FALSE)</f>
        <v>6850</v>
      </c>
      <c r="G171" s="5">
        <f t="shared" si="151"/>
        <v>48022</v>
      </c>
      <c r="H171" s="5">
        <f t="shared" si="152"/>
        <v>-11646.5</v>
      </c>
      <c r="I171" s="5">
        <f t="shared" si="153"/>
        <v>2250</v>
      </c>
      <c r="J171" s="5">
        <f>VLOOKUP($B171,'251010_0시'!$A$1:$M$200,4,FALSE)</f>
        <v>229023</v>
      </c>
      <c r="K171" s="5">
        <f>VLOOKUP($B171,'251010_0시'!$A$1:$M$200,5,FALSE)</f>
        <v>7750</v>
      </c>
      <c r="L171" s="5">
        <f t="shared" si="154"/>
        <v>61664</v>
      </c>
      <c r="M171" s="5">
        <f t="shared" si="155"/>
        <v>13642</v>
      </c>
      <c r="N171" s="5">
        <f t="shared" si="156"/>
        <v>900</v>
      </c>
      <c r="O171" s="5">
        <f>VLOOKUP($B171,'251011_0시'!$A$1:$M$200,4,FALSE)</f>
        <v>271296</v>
      </c>
      <c r="P171" s="5">
        <f>VLOOKUP($B171,'251011_0시'!$A$1:$M$200,5,FALSE)</f>
        <v>9100</v>
      </c>
      <c r="Q171" s="5">
        <f t="shared" si="157"/>
        <v>42273</v>
      </c>
      <c r="R171" s="5">
        <f t="shared" si="158"/>
        <v>-19391</v>
      </c>
      <c r="S171" s="5">
        <f t="shared" si="159"/>
        <v>1350</v>
      </c>
      <c r="T171" s="5">
        <f>VLOOKUP($B171,'251012_0시'!$A$1:$M$200,4,FALSE)</f>
        <v>344869</v>
      </c>
      <c r="U171" s="5">
        <f>VLOOKUP($B171,'251012_0시'!$A$1:$M$200,5,FALSE)</f>
        <v>10800</v>
      </c>
      <c r="V171" s="5">
        <f t="shared" si="160"/>
        <v>73573</v>
      </c>
      <c r="W171" s="5">
        <f t="shared" si="161"/>
        <v>31300</v>
      </c>
      <c r="X171" s="5">
        <f t="shared" si="162"/>
        <v>1700</v>
      </c>
      <c r="Y171" s="5">
        <f>VLOOKUP($B171,'251013_0시'!$A$1:$M$200,4,FALSE)</f>
        <v>378591</v>
      </c>
      <c r="Z171" s="5">
        <f>VLOOKUP($B171,'251013_0시'!$A$1:$M$200,5,FALSE)</f>
        <v>12600</v>
      </c>
      <c r="AA171" s="5">
        <f t="shared" si="163"/>
        <v>33722</v>
      </c>
      <c r="AB171" s="5">
        <f t="shared" si="164"/>
        <v>-39851</v>
      </c>
      <c r="AC171" s="5">
        <f t="shared" si="165"/>
        <v>1800</v>
      </c>
      <c r="AD171" s="5">
        <f>VLOOKUP($B171,'251013_0시'!$A$1:$M$200,4,FALSE)</f>
        <v>378591</v>
      </c>
      <c r="AF171" s="5" t="s">
        <v>873</v>
      </c>
      <c r="AG171" s="5">
        <f>VLOOKUP($AF171,'251013'!$A$1:$M$200,4,FALSE)</f>
        <v>60396</v>
      </c>
      <c r="AH171" s="5">
        <f>VLOOKUP($AF171,'251013'!$A$1:$M$200,5,FALSE)</f>
        <v>0</v>
      </c>
      <c r="AI171" s="5">
        <f>VLOOKUP($AF171,'251014'!$A$1:$M$200,4,FALSE)</f>
        <v>109693</v>
      </c>
      <c r="AJ171" s="5">
        <f>VLOOKUP($AF171,'251014'!$A$1:$M$200,5,FALSE)</f>
        <v>0</v>
      </c>
      <c r="AK171" s="5">
        <f t="shared" si="166"/>
        <v>49297</v>
      </c>
      <c r="AL171" s="5">
        <f t="shared" si="167"/>
        <v>-11099</v>
      </c>
      <c r="AM171" s="5">
        <f t="shared" si="168"/>
        <v>0</v>
      </c>
      <c r="AN171" s="5">
        <f>VLOOKUP($AF171,'251015'!$A$1:$M$200,4,FALSE)</f>
        <v>145341</v>
      </c>
      <c r="AO171" s="5">
        <f>VLOOKUP($AF171,'251015'!$A$1:$M$200,5,FALSE)</f>
        <v>0</v>
      </c>
      <c r="AP171" s="5">
        <f t="shared" si="169"/>
        <v>35648</v>
      </c>
      <c r="AQ171" s="5">
        <f t="shared" si="170"/>
        <v>-13649</v>
      </c>
      <c r="AR171" s="5">
        <f t="shared" si="171"/>
        <v>0</v>
      </c>
      <c r="AS171" s="5">
        <f>VLOOKUP($AF171,'251016'!$A$1:$M$200,4,FALSE)</f>
        <v>213510</v>
      </c>
      <c r="AT171" s="5">
        <f>VLOOKUP($AF171,'251016'!$A$1:$M$200,5,FALSE)</f>
        <v>0</v>
      </c>
      <c r="AU171" s="5">
        <f t="shared" si="172"/>
        <v>68169</v>
      </c>
      <c r="AV171" s="5">
        <f t="shared" si="173"/>
        <v>32521</v>
      </c>
      <c r="AW171" s="5">
        <f t="shared" si="174"/>
        <v>0</v>
      </c>
      <c r="AX171" s="5">
        <f>VLOOKUP($AF171,'251017'!$A$1:$M$200,4,FALSE)</f>
        <v>272891</v>
      </c>
      <c r="AY171" s="5">
        <f>VLOOKUP($AF171,'251017'!$A$1:$M$200,5,FALSE)</f>
        <v>0</v>
      </c>
      <c r="AZ171" s="5">
        <f t="shared" si="175"/>
        <v>59381</v>
      </c>
      <c r="BA171" s="5">
        <f t="shared" si="176"/>
        <v>-8788</v>
      </c>
      <c r="BB171" s="5">
        <f t="shared" si="177"/>
        <v>0</v>
      </c>
      <c r="BC171" s="5">
        <f>VLOOKUP($AF171,'251018'!$A$1:$M$200,4,FALSE)</f>
        <v>327379</v>
      </c>
      <c r="BD171" s="5">
        <f>VLOOKUP($AF171,'251018'!$A$1:$M$200,5,FALSE)</f>
        <v>0</v>
      </c>
      <c r="BE171" s="5">
        <f t="shared" si="178"/>
        <v>54488</v>
      </c>
      <c r="BF171" s="5">
        <f t="shared" si="179"/>
        <v>-4893</v>
      </c>
      <c r="BG171" s="5">
        <f t="shared" si="180"/>
        <v>0</v>
      </c>
      <c r="BH171" s="5">
        <f>VLOOKUP($AF171,'251018'!$A$1:$M$200,4,FALSE)</f>
        <v>327379</v>
      </c>
    </row>
    <row r="172" spans="2:60" x14ac:dyDescent="0.3">
      <c r="B172" s="5" t="s">
        <v>831</v>
      </c>
      <c r="C172" s="5">
        <f>VLOOKUP($B172,'251008_0시'!$A$1:$M$200,4,FALSE)</f>
        <v>197091</v>
      </c>
      <c r="D172" s="5">
        <f>VLOOKUP($B172,'251008_0시'!$A$1:$M$200,5,FALSE)</f>
        <v>3050</v>
      </c>
      <c r="E172" s="5">
        <f>VLOOKUP($B172,'251009_0시'!$A$1:$M$200,4,FALSE)</f>
        <v>227235</v>
      </c>
      <c r="F172" s="5">
        <f>VLOOKUP($B172,'251009_0시'!$A$1:$M$200,5,FALSE)</f>
        <v>3050</v>
      </c>
      <c r="G172" s="5">
        <f t="shared" si="151"/>
        <v>30144</v>
      </c>
      <c r="H172" s="5">
        <f t="shared" si="152"/>
        <v>-68401.5</v>
      </c>
      <c r="I172" s="5">
        <f t="shared" si="153"/>
        <v>0</v>
      </c>
      <c r="J172" s="5">
        <f>VLOOKUP($B172,'251010_0시'!$A$1:$M$200,4,FALSE)</f>
        <v>261644</v>
      </c>
      <c r="K172" s="5">
        <f>VLOOKUP($B172,'251010_0시'!$A$1:$M$200,5,FALSE)</f>
        <v>3050</v>
      </c>
      <c r="L172" s="5">
        <f t="shared" si="154"/>
        <v>34409</v>
      </c>
      <c r="M172" s="5">
        <f t="shared" si="155"/>
        <v>4265</v>
      </c>
      <c r="N172" s="5">
        <f t="shared" si="156"/>
        <v>0</v>
      </c>
      <c r="O172" s="5">
        <f>VLOOKUP($B172,'251011_0시'!$A$1:$M$200,4,FALSE)</f>
        <v>268900</v>
      </c>
      <c r="P172" s="5">
        <f>VLOOKUP($B172,'251011_0시'!$A$1:$M$200,5,FALSE)</f>
        <v>3050</v>
      </c>
      <c r="Q172" s="5">
        <f t="shared" si="157"/>
        <v>7256</v>
      </c>
      <c r="R172" s="5">
        <f t="shared" si="158"/>
        <v>-27153</v>
      </c>
      <c r="S172" s="5">
        <f t="shared" si="159"/>
        <v>0</v>
      </c>
      <c r="T172" s="5">
        <f>VLOOKUP($B172,'251012_0시'!$A$1:$M$200,4,FALSE)</f>
        <v>337380</v>
      </c>
      <c r="U172" s="5">
        <f>VLOOKUP($B172,'251012_0시'!$A$1:$M$200,5,FALSE)</f>
        <v>3050</v>
      </c>
      <c r="V172" s="5">
        <f t="shared" si="160"/>
        <v>68480</v>
      </c>
      <c r="W172" s="5">
        <f t="shared" si="161"/>
        <v>61224</v>
      </c>
      <c r="X172" s="5">
        <f t="shared" si="162"/>
        <v>0</v>
      </c>
      <c r="Y172" s="5">
        <f>VLOOKUP($B172,'251013_0시'!$A$1:$M$200,4,FALSE)</f>
        <v>374580</v>
      </c>
      <c r="Z172" s="5">
        <f>VLOOKUP($B172,'251013_0시'!$A$1:$M$200,5,FALSE)</f>
        <v>3050</v>
      </c>
      <c r="AA172" s="5">
        <f t="shared" si="163"/>
        <v>37200</v>
      </c>
      <c r="AB172" s="5">
        <f t="shared" si="164"/>
        <v>-31280</v>
      </c>
      <c r="AC172" s="5">
        <f t="shared" si="165"/>
        <v>0</v>
      </c>
      <c r="AD172" s="5">
        <f>VLOOKUP($B172,'251013_0시'!$A$1:$M$200,4,FALSE)</f>
        <v>374580</v>
      </c>
      <c r="AF172" s="5" t="s">
        <v>860</v>
      </c>
      <c r="AG172" s="5">
        <f>VLOOKUP($AF172,'251013'!$A$1:$M$200,4,FALSE)</f>
        <v>37632</v>
      </c>
      <c r="AH172" s="5">
        <f>VLOOKUP($AF172,'251013'!$A$1:$M$200,5,FALSE)</f>
        <v>0</v>
      </c>
      <c r="AI172" s="5">
        <f>VLOOKUP($AF172,'251014'!$A$1:$M$200,4,FALSE)</f>
        <v>82067</v>
      </c>
      <c r="AJ172" s="5">
        <f>VLOOKUP($AF172,'251014'!$A$1:$M$200,5,FALSE)</f>
        <v>0</v>
      </c>
      <c r="AK172" s="5">
        <f t="shared" si="166"/>
        <v>44435</v>
      </c>
      <c r="AL172" s="5">
        <f t="shared" si="167"/>
        <v>6803</v>
      </c>
      <c r="AM172" s="5">
        <f t="shared" si="168"/>
        <v>0</v>
      </c>
      <c r="AN172" s="5">
        <f>VLOOKUP($AF172,'251015'!$A$1:$M$200,4,FALSE)</f>
        <v>108529</v>
      </c>
      <c r="AO172" s="5">
        <f>VLOOKUP($AF172,'251015'!$A$1:$M$200,5,FALSE)</f>
        <v>0</v>
      </c>
      <c r="AP172" s="5">
        <f t="shared" si="169"/>
        <v>26462</v>
      </c>
      <c r="AQ172" s="5">
        <f t="shared" si="170"/>
        <v>-17973</v>
      </c>
      <c r="AR172" s="5">
        <f t="shared" si="171"/>
        <v>0</v>
      </c>
      <c r="AS172" s="5">
        <f>VLOOKUP($AF172,'251016'!$A$1:$M$200,4,FALSE)</f>
        <v>108529</v>
      </c>
      <c r="AT172" s="5">
        <f>VLOOKUP($AF172,'251016'!$A$1:$M$200,5,FALSE)</f>
        <v>0</v>
      </c>
      <c r="AU172" s="5">
        <f t="shared" si="172"/>
        <v>0</v>
      </c>
      <c r="AV172" s="5">
        <f t="shared" si="173"/>
        <v>-26462</v>
      </c>
      <c r="AW172" s="5">
        <f t="shared" si="174"/>
        <v>0</v>
      </c>
      <c r="AX172" s="5">
        <f>VLOOKUP($AF172,'251017'!$A$1:$M$200,4,FALSE)</f>
        <v>203297</v>
      </c>
      <c r="AY172" s="5">
        <f>VLOOKUP($AF172,'251017'!$A$1:$M$200,5,FALSE)</f>
        <v>450</v>
      </c>
      <c r="AZ172" s="5">
        <f t="shared" si="175"/>
        <v>94768</v>
      </c>
      <c r="BA172" s="5">
        <f t="shared" si="176"/>
        <v>94768</v>
      </c>
      <c r="BB172" s="5">
        <f t="shared" si="177"/>
        <v>450</v>
      </c>
      <c r="BC172" s="5">
        <f>VLOOKUP($AF172,'251018'!$A$1:$M$200,4,FALSE)</f>
        <v>315060</v>
      </c>
      <c r="BD172" s="5">
        <f>VLOOKUP($AF172,'251018'!$A$1:$M$200,5,FALSE)</f>
        <v>1150</v>
      </c>
      <c r="BE172" s="5">
        <f t="shared" si="178"/>
        <v>111763</v>
      </c>
      <c r="BF172" s="5">
        <f t="shared" si="179"/>
        <v>16995</v>
      </c>
      <c r="BG172" s="5">
        <f t="shared" si="180"/>
        <v>700</v>
      </c>
      <c r="BH172" s="5">
        <f>VLOOKUP($AF172,'251018'!$A$1:$M$200,4,FALSE)</f>
        <v>315060</v>
      </c>
    </row>
    <row r="173" spans="2:60" x14ac:dyDescent="0.3">
      <c r="B173" s="5" t="s">
        <v>868</v>
      </c>
      <c r="C173" s="5">
        <f>VLOOKUP($B173,'251008_0시'!$A$1:$M$200,4,FALSE)</f>
        <v>66405</v>
      </c>
      <c r="D173" s="5">
        <f>VLOOKUP($B173,'251008_0시'!$A$1:$M$200,5,FALSE)</f>
        <v>350</v>
      </c>
      <c r="E173" s="5">
        <f>VLOOKUP($B173,'251009_0시'!$A$1:$M$200,4,FALSE)</f>
        <v>148571</v>
      </c>
      <c r="F173" s="5">
        <f>VLOOKUP($B173,'251009_0시'!$A$1:$M$200,5,FALSE)</f>
        <v>350</v>
      </c>
      <c r="G173" s="5">
        <f t="shared" si="151"/>
        <v>82166</v>
      </c>
      <c r="H173" s="5">
        <f t="shared" si="152"/>
        <v>48963.5</v>
      </c>
      <c r="I173" s="5">
        <f t="shared" si="153"/>
        <v>0</v>
      </c>
      <c r="J173" s="5">
        <f>VLOOKUP($B173,'251010_0시'!$A$1:$M$200,4,FALSE)</f>
        <v>241676</v>
      </c>
      <c r="K173" s="5">
        <f>VLOOKUP($B173,'251010_0시'!$A$1:$M$200,5,FALSE)</f>
        <v>350</v>
      </c>
      <c r="L173" s="5">
        <f t="shared" si="154"/>
        <v>93105</v>
      </c>
      <c r="M173" s="5">
        <f t="shared" si="155"/>
        <v>10939</v>
      </c>
      <c r="N173" s="5">
        <f t="shared" si="156"/>
        <v>0</v>
      </c>
      <c r="O173" s="5">
        <f>VLOOKUP($B173,'251011_0시'!$A$1:$M$200,4,FALSE)</f>
        <v>303683</v>
      </c>
      <c r="P173" s="5">
        <f>VLOOKUP($B173,'251011_0시'!$A$1:$M$200,5,FALSE)</f>
        <v>350</v>
      </c>
      <c r="Q173" s="5">
        <f t="shared" si="157"/>
        <v>62007</v>
      </c>
      <c r="R173" s="5">
        <f t="shared" si="158"/>
        <v>-31098</v>
      </c>
      <c r="S173" s="5">
        <f t="shared" si="159"/>
        <v>0</v>
      </c>
      <c r="T173" s="5">
        <f>VLOOKUP($B173,'251012_0시'!$A$1:$M$200,4,FALSE)</f>
        <v>318738</v>
      </c>
      <c r="U173" s="5">
        <f>VLOOKUP($B173,'251012_0시'!$A$1:$M$200,5,FALSE)</f>
        <v>350</v>
      </c>
      <c r="V173" s="5">
        <f t="shared" si="160"/>
        <v>15055</v>
      </c>
      <c r="W173" s="5">
        <f t="shared" si="161"/>
        <v>-46952</v>
      </c>
      <c r="X173" s="5">
        <f t="shared" si="162"/>
        <v>0</v>
      </c>
      <c r="Y173" s="5">
        <f>VLOOKUP($B173,'251013_0시'!$A$1:$M$200,4,FALSE)</f>
        <v>352702</v>
      </c>
      <c r="Z173" s="5">
        <f>VLOOKUP($B173,'251013_0시'!$A$1:$M$200,5,FALSE)</f>
        <v>350</v>
      </c>
      <c r="AA173" s="5">
        <f t="shared" si="163"/>
        <v>33964</v>
      </c>
      <c r="AB173" s="5">
        <f t="shared" si="164"/>
        <v>18909</v>
      </c>
      <c r="AC173" s="5">
        <f t="shared" si="165"/>
        <v>0</v>
      </c>
      <c r="AD173" s="5">
        <f>VLOOKUP($B173,'251013_0시'!$A$1:$M$200,4,FALSE)</f>
        <v>352702</v>
      </c>
      <c r="AF173" s="5" t="s">
        <v>858</v>
      </c>
      <c r="AG173" s="5">
        <f>VLOOKUP($AF173,'251013'!$A$1:$M$200,4,FALSE)</f>
        <v>62762</v>
      </c>
      <c r="AH173" s="5">
        <f>VLOOKUP($AF173,'251013'!$A$1:$M$200,5,FALSE)</f>
        <v>450</v>
      </c>
      <c r="AI173" s="5">
        <f>VLOOKUP($AF173,'251014'!$A$1:$M$200,4,FALSE)</f>
        <v>97913</v>
      </c>
      <c r="AJ173" s="5">
        <f>VLOOKUP($AF173,'251014'!$A$1:$M$200,5,FALSE)</f>
        <v>900</v>
      </c>
      <c r="AK173" s="5">
        <f t="shared" si="166"/>
        <v>35151</v>
      </c>
      <c r="AL173" s="5">
        <f t="shared" si="167"/>
        <v>-27611</v>
      </c>
      <c r="AM173" s="5">
        <f t="shared" si="168"/>
        <v>450</v>
      </c>
      <c r="AN173" s="5">
        <f>VLOOKUP($AF173,'251015'!$A$1:$M$200,4,FALSE)</f>
        <v>148576</v>
      </c>
      <c r="AO173" s="5">
        <f>VLOOKUP($AF173,'251015'!$A$1:$M$200,5,FALSE)</f>
        <v>900</v>
      </c>
      <c r="AP173" s="5">
        <f t="shared" si="169"/>
        <v>50663</v>
      </c>
      <c r="AQ173" s="5">
        <f t="shared" si="170"/>
        <v>15512</v>
      </c>
      <c r="AR173" s="5">
        <f t="shared" si="171"/>
        <v>0</v>
      </c>
      <c r="AS173" s="5">
        <f>VLOOKUP($AF173,'251016'!$A$1:$M$200,4,FALSE)</f>
        <v>191311</v>
      </c>
      <c r="AT173" s="5">
        <f>VLOOKUP($AF173,'251016'!$A$1:$M$200,5,FALSE)</f>
        <v>1350</v>
      </c>
      <c r="AU173" s="5">
        <f t="shared" si="172"/>
        <v>42735</v>
      </c>
      <c r="AV173" s="5">
        <f t="shared" si="173"/>
        <v>-7928</v>
      </c>
      <c r="AW173" s="5">
        <f t="shared" si="174"/>
        <v>450</v>
      </c>
      <c r="AX173" s="5">
        <f>VLOOKUP($AF173,'251017'!$A$1:$M$200,4,FALSE)</f>
        <v>253171</v>
      </c>
      <c r="AY173" s="5">
        <f>VLOOKUP($AF173,'251017'!$A$1:$M$200,5,FALSE)</f>
        <v>4950</v>
      </c>
      <c r="AZ173" s="5">
        <f t="shared" si="175"/>
        <v>61860</v>
      </c>
      <c r="BA173" s="5">
        <f t="shared" si="176"/>
        <v>19125</v>
      </c>
      <c r="BB173" s="5">
        <f t="shared" si="177"/>
        <v>3600</v>
      </c>
      <c r="BC173" s="5">
        <f>VLOOKUP($AF173,'251018'!$A$1:$M$200,4,FALSE)</f>
        <v>312347</v>
      </c>
      <c r="BD173" s="5">
        <f>VLOOKUP($AF173,'251018'!$A$1:$M$200,5,FALSE)</f>
        <v>4950</v>
      </c>
      <c r="BE173" s="5">
        <f t="shared" si="178"/>
        <v>59176</v>
      </c>
      <c r="BF173" s="5">
        <f t="shared" si="179"/>
        <v>-2684</v>
      </c>
      <c r="BG173" s="5">
        <f t="shared" si="180"/>
        <v>0</v>
      </c>
      <c r="BH173" s="5">
        <f>VLOOKUP($AF173,'251018'!$A$1:$M$200,4,FALSE)</f>
        <v>312347</v>
      </c>
    </row>
    <row r="174" spans="2:60" x14ac:dyDescent="0.3">
      <c r="B174" s="5" t="s">
        <v>850</v>
      </c>
      <c r="C174" s="5">
        <f>VLOOKUP($B174,'251008_0시'!$A$1:$M$200,4,FALSE)</f>
        <v>66234</v>
      </c>
      <c r="D174" s="5">
        <f>VLOOKUP($B174,'251008_0시'!$A$1:$M$200,5,FALSE)</f>
        <v>350</v>
      </c>
      <c r="E174" s="5">
        <f>VLOOKUP($B174,'251009_0시'!$A$1:$M$200,4,FALSE)</f>
        <v>101567</v>
      </c>
      <c r="F174" s="5">
        <f>VLOOKUP($B174,'251009_0시'!$A$1:$M$200,5,FALSE)</f>
        <v>350</v>
      </c>
      <c r="G174" s="5">
        <f t="shared" si="151"/>
        <v>35333</v>
      </c>
      <c r="H174" s="5">
        <f t="shared" si="152"/>
        <v>2216</v>
      </c>
      <c r="I174" s="5">
        <f t="shared" si="153"/>
        <v>0</v>
      </c>
      <c r="J174" s="5">
        <f>VLOOKUP($B174,'251010_0시'!$A$1:$M$200,4,FALSE)</f>
        <v>159026</v>
      </c>
      <c r="K174" s="5">
        <f>VLOOKUP($B174,'251010_0시'!$A$1:$M$200,5,FALSE)</f>
        <v>700</v>
      </c>
      <c r="L174" s="5">
        <f t="shared" si="154"/>
        <v>57459</v>
      </c>
      <c r="M174" s="5">
        <f t="shared" si="155"/>
        <v>22126</v>
      </c>
      <c r="N174" s="5">
        <f t="shared" si="156"/>
        <v>350</v>
      </c>
      <c r="O174" s="5">
        <f>VLOOKUP($B174,'251011_0시'!$A$1:$M$200,4,FALSE)</f>
        <v>214581</v>
      </c>
      <c r="P174" s="5">
        <f>VLOOKUP($B174,'251011_0시'!$A$1:$M$200,5,FALSE)</f>
        <v>700</v>
      </c>
      <c r="Q174" s="5">
        <f t="shared" si="157"/>
        <v>55555</v>
      </c>
      <c r="R174" s="5">
        <f t="shared" si="158"/>
        <v>-1904</v>
      </c>
      <c r="S174" s="5">
        <f t="shared" si="159"/>
        <v>0</v>
      </c>
      <c r="T174" s="5">
        <f>VLOOKUP($B174,'251012_0시'!$A$1:$M$200,4,FALSE)</f>
        <v>277631</v>
      </c>
      <c r="U174" s="5">
        <f>VLOOKUP($B174,'251012_0시'!$A$1:$M$200,5,FALSE)</f>
        <v>700</v>
      </c>
      <c r="V174" s="5">
        <f t="shared" si="160"/>
        <v>63050</v>
      </c>
      <c r="W174" s="5">
        <f t="shared" si="161"/>
        <v>7495</v>
      </c>
      <c r="X174" s="5">
        <f t="shared" si="162"/>
        <v>0</v>
      </c>
      <c r="Y174" s="5">
        <f>VLOOKUP($B174,'251013_0시'!$A$1:$M$200,4,FALSE)</f>
        <v>346443</v>
      </c>
      <c r="Z174" s="5">
        <f>VLOOKUP($B174,'251013_0시'!$A$1:$M$200,5,FALSE)</f>
        <v>700</v>
      </c>
      <c r="AA174" s="5">
        <f t="shared" si="163"/>
        <v>68812</v>
      </c>
      <c r="AB174" s="5">
        <f t="shared" si="164"/>
        <v>5762</v>
      </c>
      <c r="AC174" s="5">
        <f t="shared" si="165"/>
        <v>0</v>
      </c>
      <c r="AD174" s="5">
        <f>VLOOKUP($B174,'251013_0시'!$A$1:$M$200,4,FALSE)</f>
        <v>346443</v>
      </c>
      <c r="AF174" s="5" t="s">
        <v>835</v>
      </c>
      <c r="AG174" s="5">
        <f>VLOOKUP($AF174,'251013'!$A$1:$M$200,4,FALSE)</f>
        <v>50818</v>
      </c>
      <c r="AH174" s="5">
        <f>VLOOKUP($AF174,'251013'!$A$1:$M$200,5,FALSE)</f>
        <v>0</v>
      </c>
      <c r="AI174" s="5">
        <f>VLOOKUP($AF174,'251014'!$A$1:$M$200,4,FALSE)</f>
        <v>91530</v>
      </c>
      <c r="AJ174" s="5">
        <f>VLOOKUP($AF174,'251014'!$A$1:$M$200,5,FALSE)</f>
        <v>0</v>
      </c>
      <c r="AK174" s="5">
        <f t="shared" si="166"/>
        <v>40712</v>
      </c>
      <c r="AL174" s="5">
        <f t="shared" si="167"/>
        <v>-10106</v>
      </c>
      <c r="AM174" s="5">
        <f t="shared" si="168"/>
        <v>0</v>
      </c>
      <c r="AN174" s="5">
        <f>VLOOKUP($AF174,'251015'!$A$1:$M$200,4,FALSE)</f>
        <v>139272</v>
      </c>
      <c r="AO174" s="5">
        <f>VLOOKUP($AF174,'251015'!$A$1:$M$200,5,FALSE)</f>
        <v>0</v>
      </c>
      <c r="AP174" s="5">
        <f t="shared" si="169"/>
        <v>47742</v>
      </c>
      <c r="AQ174" s="5">
        <f t="shared" si="170"/>
        <v>7030</v>
      </c>
      <c r="AR174" s="5">
        <f t="shared" si="171"/>
        <v>0</v>
      </c>
      <c r="AS174" s="5">
        <f>VLOOKUP($AF174,'251016'!$A$1:$M$200,4,FALSE)</f>
        <v>180116</v>
      </c>
      <c r="AT174" s="5">
        <f>VLOOKUP($AF174,'251016'!$A$1:$M$200,5,FALSE)</f>
        <v>0</v>
      </c>
      <c r="AU174" s="5">
        <f t="shared" si="172"/>
        <v>40844</v>
      </c>
      <c r="AV174" s="5">
        <f t="shared" si="173"/>
        <v>-6898</v>
      </c>
      <c r="AW174" s="5">
        <f t="shared" si="174"/>
        <v>0</v>
      </c>
      <c r="AX174" s="5">
        <f>VLOOKUP($AF174,'251017'!$A$1:$M$200,4,FALSE)</f>
        <v>262022</v>
      </c>
      <c r="AY174" s="5">
        <f>VLOOKUP($AF174,'251017'!$A$1:$M$200,5,FALSE)</f>
        <v>101</v>
      </c>
      <c r="AZ174" s="5">
        <f t="shared" si="175"/>
        <v>81906</v>
      </c>
      <c r="BA174" s="5">
        <f t="shared" si="176"/>
        <v>41062</v>
      </c>
      <c r="BB174" s="5">
        <f t="shared" si="177"/>
        <v>101</v>
      </c>
      <c r="BC174" s="5">
        <f>VLOOKUP($AF174,'251018'!$A$1:$M$200,4,FALSE)</f>
        <v>299736</v>
      </c>
      <c r="BD174" s="5">
        <f>VLOOKUP($AF174,'251018'!$A$1:$M$200,5,FALSE)</f>
        <v>101</v>
      </c>
      <c r="BE174" s="5">
        <f t="shared" si="178"/>
        <v>37714</v>
      </c>
      <c r="BF174" s="5">
        <f t="shared" si="179"/>
        <v>-44192</v>
      </c>
      <c r="BG174" s="5">
        <f t="shared" si="180"/>
        <v>0</v>
      </c>
      <c r="BH174" s="5">
        <f>VLOOKUP($AF174,'251018'!$A$1:$M$200,4,FALSE)</f>
        <v>299736</v>
      </c>
    </row>
    <row r="175" spans="2:60" x14ac:dyDescent="0.3">
      <c r="B175" s="5" t="s">
        <v>835</v>
      </c>
      <c r="C175" s="5">
        <f>VLOOKUP($B175,'251008_0시'!$A$1:$M$200,4,FALSE)</f>
        <v>149114</v>
      </c>
      <c r="D175" s="5">
        <f>VLOOKUP($B175,'251008_0시'!$A$1:$M$200,5,FALSE)</f>
        <v>0</v>
      </c>
      <c r="E175" s="5">
        <f>VLOOKUP($B175,'251009_0시'!$A$1:$M$200,4,FALSE)</f>
        <v>158608</v>
      </c>
      <c r="F175" s="5">
        <f>VLOOKUP($B175,'251009_0시'!$A$1:$M$200,5,FALSE)</f>
        <v>0</v>
      </c>
      <c r="G175" s="5">
        <f t="shared" si="151"/>
        <v>9494</v>
      </c>
      <c r="H175" s="5">
        <f t="shared" si="152"/>
        <v>-65063</v>
      </c>
      <c r="I175" s="5">
        <f t="shared" si="153"/>
        <v>0</v>
      </c>
      <c r="J175" s="5">
        <f>VLOOKUP($B175,'251010_0시'!$A$1:$M$200,4,FALSE)</f>
        <v>173452</v>
      </c>
      <c r="K175" s="5">
        <f>VLOOKUP($B175,'251010_0시'!$A$1:$M$200,5,FALSE)</f>
        <v>0</v>
      </c>
      <c r="L175" s="5">
        <f t="shared" si="154"/>
        <v>14844</v>
      </c>
      <c r="M175" s="5">
        <f t="shared" si="155"/>
        <v>5350</v>
      </c>
      <c r="N175" s="5">
        <f t="shared" si="156"/>
        <v>0</v>
      </c>
      <c r="O175" s="5">
        <f>VLOOKUP($B175,'251011_0시'!$A$1:$M$200,4,FALSE)</f>
        <v>264687</v>
      </c>
      <c r="P175" s="5">
        <f>VLOOKUP($B175,'251011_0시'!$A$1:$M$200,5,FALSE)</f>
        <v>0</v>
      </c>
      <c r="Q175" s="5">
        <f t="shared" si="157"/>
        <v>91235</v>
      </c>
      <c r="R175" s="5">
        <f t="shared" si="158"/>
        <v>76391</v>
      </c>
      <c r="S175" s="5">
        <f t="shared" si="159"/>
        <v>0</v>
      </c>
      <c r="T175" s="5">
        <f>VLOOKUP($B175,'251012_0시'!$A$1:$M$200,4,FALSE)</f>
        <v>296012</v>
      </c>
      <c r="U175" s="5">
        <f>VLOOKUP($B175,'251012_0시'!$A$1:$M$200,5,FALSE)</f>
        <v>0</v>
      </c>
      <c r="V175" s="5">
        <f t="shared" si="160"/>
        <v>31325</v>
      </c>
      <c r="W175" s="5">
        <f t="shared" si="161"/>
        <v>-59910</v>
      </c>
      <c r="X175" s="5">
        <f t="shared" si="162"/>
        <v>0</v>
      </c>
      <c r="Y175" s="5">
        <f>VLOOKUP($B175,'251013_0시'!$A$1:$M$200,4,FALSE)</f>
        <v>338010</v>
      </c>
      <c r="Z175" s="5">
        <f>VLOOKUP($B175,'251013_0시'!$A$1:$M$200,5,FALSE)</f>
        <v>0</v>
      </c>
      <c r="AA175" s="5">
        <f t="shared" si="163"/>
        <v>41998</v>
      </c>
      <c r="AB175" s="5">
        <f t="shared" si="164"/>
        <v>10673</v>
      </c>
      <c r="AC175" s="5">
        <f t="shared" si="165"/>
        <v>0</v>
      </c>
      <c r="AD175" s="5">
        <f>VLOOKUP($B175,'251013_0시'!$A$1:$M$200,4,FALSE)</f>
        <v>338010</v>
      </c>
      <c r="AF175" s="5" t="s">
        <v>854</v>
      </c>
      <c r="AG175" s="5">
        <f>VLOOKUP($AF175,'251013'!$A$1:$M$200,4,FALSE)</f>
        <v>29591</v>
      </c>
      <c r="AH175" s="5">
        <f>VLOOKUP($AF175,'251013'!$A$1:$M$200,5,FALSE)</f>
        <v>0</v>
      </c>
      <c r="AI175" s="5">
        <f>VLOOKUP($AF175,'251014'!$A$1:$M$200,4,FALSE)</f>
        <v>89913</v>
      </c>
      <c r="AJ175" s="5">
        <f>VLOOKUP($AF175,'251014'!$A$1:$M$200,5,FALSE)</f>
        <v>0</v>
      </c>
      <c r="AK175" s="5">
        <f t="shared" si="166"/>
        <v>60322</v>
      </c>
      <c r="AL175" s="5">
        <f t="shared" si="167"/>
        <v>30731</v>
      </c>
      <c r="AM175" s="5">
        <f t="shared" si="168"/>
        <v>0</v>
      </c>
      <c r="AN175" s="5">
        <f>VLOOKUP($AF175,'251015'!$A$1:$M$200,4,FALSE)</f>
        <v>116707</v>
      </c>
      <c r="AO175" s="5">
        <f>VLOOKUP($AF175,'251015'!$A$1:$M$200,5,FALSE)</f>
        <v>0</v>
      </c>
      <c r="AP175" s="5">
        <f t="shared" si="169"/>
        <v>26794</v>
      </c>
      <c r="AQ175" s="5">
        <f t="shared" si="170"/>
        <v>-33528</v>
      </c>
      <c r="AR175" s="5">
        <f t="shared" si="171"/>
        <v>0</v>
      </c>
      <c r="AS175" s="5">
        <f>VLOOKUP($AF175,'251016'!$A$1:$M$200,4,FALSE)</f>
        <v>187873</v>
      </c>
      <c r="AT175" s="5">
        <f>VLOOKUP($AF175,'251016'!$A$1:$M$200,5,FALSE)</f>
        <v>0</v>
      </c>
      <c r="AU175" s="5">
        <f t="shared" si="172"/>
        <v>71166</v>
      </c>
      <c r="AV175" s="5">
        <f t="shared" si="173"/>
        <v>44372</v>
      </c>
      <c r="AW175" s="5">
        <f t="shared" si="174"/>
        <v>0</v>
      </c>
      <c r="AX175" s="5">
        <f>VLOOKUP($AF175,'251017'!$A$1:$M$200,4,FALSE)</f>
        <v>234654</v>
      </c>
      <c r="AY175" s="5">
        <f>VLOOKUP($AF175,'251017'!$A$1:$M$200,5,FALSE)</f>
        <v>0</v>
      </c>
      <c r="AZ175" s="5">
        <f t="shared" si="175"/>
        <v>46781</v>
      </c>
      <c r="BA175" s="5">
        <f t="shared" si="176"/>
        <v>-24385</v>
      </c>
      <c r="BB175" s="5">
        <f t="shared" si="177"/>
        <v>0</v>
      </c>
      <c r="BC175" s="5">
        <f>VLOOKUP($AF175,'251018'!$A$1:$M$200,4,FALSE)</f>
        <v>288328</v>
      </c>
      <c r="BD175" s="5">
        <f>VLOOKUP($AF175,'251018'!$A$1:$M$200,5,FALSE)</f>
        <v>0</v>
      </c>
      <c r="BE175" s="5">
        <f t="shared" si="178"/>
        <v>53674</v>
      </c>
      <c r="BF175" s="5">
        <f t="shared" si="179"/>
        <v>6893</v>
      </c>
      <c r="BG175" s="5">
        <f t="shared" si="180"/>
        <v>0</v>
      </c>
      <c r="BH175" s="5">
        <f>VLOOKUP($AF175,'251018'!$A$1:$M$200,4,FALSE)</f>
        <v>288328</v>
      </c>
    </row>
    <row r="176" spans="2:60" x14ac:dyDescent="0.3">
      <c r="B176" s="5" t="s">
        <v>860</v>
      </c>
      <c r="C176" s="5">
        <f>VLOOKUP($B176,'251008_0시'!$A$1:$M$200,4,FALSE)</f>
        <v>74955</v>
      </c>
      <c r="D176" s="5">
        <f>VLOOKUP($B176,'251008_0시'!$A$1:$M$200,5,FALSE)</f>
        <v>900</v>
      </c>
      <c r="E176" s="5">
        <f>VLOOKUP($B176,'251009_0시'!$A$1:$M$200,4,FALSE)</f>
        <v>132292</v>
      </c>
      <c r="F176" s="5">
        <f>VLOOKUP($B176,'251009_0시'!$A$1:$M$200,5,FALSE)</f>
        <v>2250</v>
      </c>
      <c r="G176" s="5">
        <f t="shared" si="151"/>
        <v>57337</v>
      </c>
      <c r="H176" s="5">
        <f t="shared" si="152"/>
        <v>19859.5</v>
      </c>
      <c r="I176" s="5">
        <f t="shared" si="153"/>
        <v>1350</v>
      </c>
      <c r="J176" s="5">
        <f>VLOOKUP($B176,'251010_0시'!$A$1:$M$200,4,FALSE)</f>
        <v>188981</v>
      </c>
      <c r="K176" s="5">
        <f>VLOOKUP($B176,'251010_0시'!$A$1:$M$200,5,FALSE)</f>
        <v>3150</v>
      </c>
      <c r="L176" s="5">
        <f t="shared" si="154"/>
        <v>56689</v>
      </c>
      <c r="M176" s="5">
        <f t="shared" si="155"/>
        <v>-648</v>
      </c>
      <c r="N176" s="5">
        <f t="shared" si="156"/>
        <v>900</v>
      </c>
      <c r="O176" s="5">
        <f>VLOOKUP($B176,'251011_0시'!$A$1:$M$200,4,FALSE)</f>
        <v>235722</v>
      </c>
      <c r="P176" s="5">
        <f>VLOOKUP($B176,'251011_0시'!$A$1:$M$200,5,FALSE)</f>
        <v>4950</v>
      </c>
      <c r="Q176" s="5">
        <f t="shared" si="157"/>
        <v>46741</v>
      </c>
      <c r="R176" s="5">
        <f t="shared" si="158"/>
        <v>-9948</v>
      </c>
      <c r="S176" s="5">
        <f t="shared" si="159"/>
        <v>1800</v>
      </c>
      <c r="T176" s="5">
        <f>VLOOKUP($B176,'251012_0시'!$A$1:$M$200,4,FALSE)</f>
        <v>284751</v>
      </c>
      <c r="U176" s="5">
        <f>VLOOKUP($B176,'251012_0시'!$A$1:$M$200,5,FALSE)</f>
        <v>5400</v>
      </c>
      <c r="V176" s="5">
        <f t="shared" si="160"/>
        <v>49029</v>
      </c>
      <c r="W176" s="5">
        <f t="shared" si="161"/>
        <v>2288</v>
      </c>
      <c r="X176" s="5">
        <f t="shared" si="162"/>
        <v>450</v>
      </c>
      <c r="Y176" s="5">
        <f>VLOOKUP($B176,'251013_0시'!$A$1:$M$200,4,FALSE)</f>
        <v>326552</v>
      </c>
      <c r="Z176" s="5">
        <f>VLOOKUP($B176,'251013_0시'!$A$1:$M$200,5,FALSE)</f>
        <v>5400</v>
      </c>
      <c r="AA176" s="5">
        <f t="shared" si="163"/>
        <v>41801</v>
      </c>
      <c r="AB176" s="5">
        <f t="shared" si="164"/>
        <v>-7228</v>
      </c>
      <c r="AC176" s="5">
        <f t="shared" si="165"/>
        <v>0</v>
      </c>
      <c r="AD176" s="5">
        <f>VLOOKUP($B176,'251013_0시'!$A$1:$M$200,4,FALSE)</f>
        <v>326552</v>
      </c>
      <c r="AF176" s="5" t="s">
        <v>881</v>
      </c>
      <c r="AG176" s="5">
        <f>VLOOKUP($AF176,'251013'!$A$1:$M$200,4,FALSE)</f>
        <v>52702</v>
      </c>
      <c r="AH176" s="5">
        <f>VLOOKUP($AF176,'251013'!$A$1:$M$200,5,FALSE)</f>
        <v>0</v>
      </c>
      <c r="AI176" s="5">
        <f>VLOOKUP($AF176,'251014'!$A$1:$M$200,4,FALSE)</f>
        <v>96572</v>
      </c>
      <c r="AJ176" s="5">
        <f>VLOOKUP($AF176,'251014'!$A$1:$M$200,5,FALSE)</f>
        <v>0</v>
      </c>
      <c r="AK176" s="5">
        <f t="shared" si="166"/>
        <v>43870</v>
      </c>
      <c r="AL176" s="5">
        <f t="shared" si="167"/>
        <v>-8832</v>
      </c>
      <c r="AM176" s="5">
        <f t="shared" si="168"/>
        <v>0</v>
      </c>
      <c r="AN176" s="5">
        <f>VLOOKUP($AF176,'251015'!$A$1:$M$200,4,FALSE)</f>
        <v>157702</v>
      </c>
      <c r="AO176" s="5">
        <f>VLOOKUP($AF176,'251015'!$A$1:$M$200,5,FALSE)</f>
        <v>0</v>
      </c>
      <c r="AP176" s="5">
        <f t="shared" si="169"/>
        <v>61130</v>
      </c>
      <c r="AQ176" s="5">
        <f t="shared" si="170"/>
        <v>17260</v>
      </c>
      <c r="AR176" s="5">
        <f t="shared" si="171"/>
        <v>0</v>
      </c>
      <c r="AS176" s="5">
        <f>VLOOKUP($AF176,'251016'!$A$1:$M$200,4,FALSE)</f>
        <v>210060</v>
      </c>
      <c r="AT176" s="5">
        <f>VLOOKUP($AF176,'251016'!$A$1:$M$200,5,FALSE)</f>
        <v>0</v>
      </c>
      <c r="AU176" s="5">
        <f t="shared" si="172"/>
        <v>52358</v>
      </c>
      <c r="AV176" s="5">
        <f t="shared" si="173"/>
        <v>-8772</v>
      </c>
      <c r="AW176" s="5">
        <f t="shared" si="174"/>
        <v>0</v>
      </c>
      <c r="AX176" s="5">
        <f>VLOOKUP($AF176,'251017'!$A$1:$M$200,4,FALSE)</f>
        <v>271576</v>
      </c>
      <c r="AY176" s="5">
        <f>VLOOKUP($AF176,'251017'!$A$1:$M$200,5,FALSE)</f>
        <v>0</v>
      </c>
      <c r="AZ176" s="5">
        <f t="shared" si="175"/>
        <v>61516</v>
      </c>
      <c r="BA176" s="5">
        <f t="shared" si="176"/>
        <v>9158</v>
      </c>
      <c r="BB176" s="5">
        <f t="shared" si="177"/>
        <v>0</v>
      </c>
      <c r="BC176" s="5">
        <f>VLOOKUP($AF176,'251018'!$A$1:$M$200,4,FALSE)</f>
        <v>287252</v>
      </c>
      <c r="BD176" s="5">
        <f>VLOOKUP($AF176,'251018'!$A$1:$M$200,5,FALSE)</f>
        <v>0</v>
      </c>
      <c r="BE176" s="5">
        <f t="shared" si="178"/>
        <v>15676</v>
      </c>
      <c r="BF176" s="5">
        <f t="shared" si="179"/>
        <v>-45840</v>
      </c>
      <c r="BG176" s="5">
        <f t="shared" si="180"/>
        <v>0</v>
      </c>
      <c r="BH176" s="5">
        <f>VLOOKUP($AF176,'251018'!$A$1:$M$200,4,FALSE)</f>
        <v>287252</v>
      </c>
    </row>
    <row r="177" spans="2:60" x14ac:dyDescent="0.3">
      <c r="B177" s="5" t="s">
        <v>878</v>
      </c>
      <c r="C177" s="5">
        <f>VLOOKUP($B177,'251008_0시'!$A$1:$M$200,4,FALSE)</f>
        <v>83745</v>
      </c>
      <c r="D177" s="5">
        <f>VLOOKUP($B177,'251008_0시'!$A$1:$M$200,5,FALSE)</f>
        <v>0</v>
      </c>
      <c r="E177" s="5">
        <f>VLOOKUP($B177,'251009_0시'!$A$1:$M$200,4,FALSE)</f>
        <v>125733</v>
      </c>
      <c r="F177" s="5">
        <f>VLOOKUP($B177,'251009_0시'!$A$1:$M$200,5,FALSE)</f>
        <v>0</v>
      </c>
      <c r="G177" s="5">
        <f t="shared" si="151"/>
        <v>41988</v>
      </c>
      <c r="H177" s="5">
        <f t="shared" si="152"/>
        <v>115.5</v>
      </c>
      <c r="I177" s="5">
        <f t="shared" si="153"/>
        <v>0</v>
      </c>
      <c r="J177" s="5">
        <f>VLOOKUP($B177,'251010_0시'!$A$1:$M$200,4,FALSE)</f>
        <v>167053</v>
      </c>
      <c r="K177" s="5">
        <f>VLOOKUP($B177,'251010_0시'!$A$1:$M$200,5,FALSE)</f>
        <v>202</v>
      </c>
      <c r="L177" s="5">
        <f t="shared" si="154"/>
        <v>41320</v>
      </c>
      <c r="M177" s="5">
        <f t="shared" si="155"/>
        <v>-668</v>
      </c>
      <c r="N177" s="5">
        <f t="shared" si="156"/>
        <v>202</v>
      </c>
      <c r="O177" s="5">
        <f>VLOOKUP($B177,'251011_0시'!$A$1:$M$200,4,FALSE)</f>
        <v>231038</v>
      </c>
      <c r="P177" s="5">
        <f>VLOOKUP($B177,'251011_0시'!$A$1:$M$200,5,FALSE)</f>
        <v>202</v>
      </c>
      <c r="Q177" s="5">
        <f t="shared" si="157"/>
        <v>63985</v>
      </c>
      <c r="R177" s="5">
        <f t="shared" si="158"/>
        <v>22665</v>
      </c>
      <c r="S177" s="5">
        <f t="shared" si="159"/>
        <v>0</v>
      </c>
      <c r="T177" s="5">
        <f>VLOOKUP($B177,'251012_0시'!$A$1:$M$200,4,FALSE)</f>
        <v>282479</v>
      </c>
      <c r="U177" s="5">
        <f>VLOOKUP($B177,'251012_0시'!$A$1:$M$200,5,FALSE)</f>
        <v>202</v>
      </c>
      <c r="V177" s="5">
        <f t="shared" si="160"/>
        <v>51441</v>
      </c>
      <c r="W177" s="5">
        <f t="shared" si="161"/>
        <v>-12544</v>
      </c>
      <c r="X177" s="5">
        <f t="shared" si="162"/>
        <v>0</v>
      </c>
      <c r="Y177" s="5">
        <f>VLOOKUP($B177,'251013_0시'!$A$1:$M$200,4,FALSE)</f>
        <v>319381</v>
      </c>
      <c r="Z177" s="5">
        <f>VLOOKUP($B177,'251013_0시'!$A$1:$M$200,5,FALSE)</f>
        <v>202</v>
      </c>
      <c r="AA177" s="5">
        <f t="shared" si="163"/>
        <v>36902</v>
      </c>
      <c r="AB177" s="5">
        <f t="shared" si="164"/>
        <v>-14539</v>
      </c>
      <c r="AC177" s="5">
        <f t="shared" si="165"/>
        <v>0</v>
      </c>
      <c r="AD177" s="5">
        <f>VLOOKUP($B177,'251013_0시'!$A$1:$M$200,4,FALSE)</f>
        <v>319381</v>
      </c>
      <c r="AF177" s="5" t="s">
        <v>876</v>
      </c>
      <c r="AG177" s="5">
        <f>VLOOKUP($AF177,'251013'!$A$1:$M$200,4,FALSE)</f>
        <v>69227</v>
      </c>
      <c r="AH177" s="5">
        <f>VLOOKUP($AF177,'251013'!$A$1:$M$200,5,FALSE)</f>
        <v>0</v>
      </c>
      <c r="AI177" s="5">
        <f>VLOOKUP($AF177,'251014'!$A$1:$M$200,4,FALSE)</f>
        <v>125521</v>
      </c>
      <c r="AJ177" s="5">
        <f>VLOOKUP($AF177,'251014'!$A$1:$M$200,5,FALSE)</f>
        <v>0</v>
      </c>
      <c r="AK177" s="5">
        <f t="shared" si="166"/>
        <v>56294</v>
      </c>
      <c r="AL177" s="5">
        <f t="shared" si="167"/>
        <v>-12933</v>
      </c>
      <c r="AM177" s="5">
        <f t="shared" si="168"/>
        <v>0</v>
      </c>
      <c r="AN177" s="5">
        <f>VLOOKUP($AF177,'251015'!$A$1:$M$200,4,FALSE)</f>
        <v>173634</v>
      </c>
      <c r="AO177" s="5">
        <f>VLOOKUP($AF177,'251015'!$A$1:$M$200,5,FALSE)</f>
        <v>0</v>
      </c>
      <c r="AP177" s="5">
        <f t="shared" si="169"/>
        <v>48113</v>
      </c>
      <c r="AQ177" s="5">
        <f t="shared" si="170"/>
        <v>-8181</v>
      </c>
      <c r="AR177" s="5">
        <f t="shared" si="171"/>
        <v>0</v>
      </c>
      <c r="AS177" s="5">
        <f>VLOOKUP($AF177,'251016'!$A$1:$M$200,4,FALSE)</f>
        <v>183166</v>
      </c>
      <c r="AT177" s="5">
        <f>VLOOKUP($AF177,'251016'!$A$1:$M$200,5,FALSE)</f>
        <v>0</v>
      </c>
      <c r="AU177" s="5">
        <f t="shared" si="172"/>
        <v>9532</v>
      </c>
      <c r="AV177" s="5">
        <f t="shared" si="173"/>
        <v>-38581</v>
      </c>
      <c r="AW177" s="5">
        <f t="shared" si="174"/>
        <v>0</v>
      </c>
      <c r="AX177" s="5">
        <f>VLOOKUP($AF177,'251017'!$A$1:$M$200,4,FALSE)</f>
        <v>239286</v>
      </c>
      <c r="AY177" s="5">
        <f>VLOOKUP($AF177,'251017'!$A$1:$M$200,5,FALSE)</f>
        <v>0</v>
      </c>
      <c r="AZ177" s="5">
        <f t="shared" si="175"/>
        <v>56120</v>
      </c>
      <c r="BA177" s="5">
        <f t="shared" si="176"/>
        <v>46588</v>
      </c>
      <c r="BB177" s="5">
        <f t="shared" si="177"/>
        <v>0</v>
      </c>
      <c r="BC177" s="5">
        <f>VLOOKUP($AF177,'251018'!$A$1:$M$200,4,FALSE)</f>
        <v>285977</v>
      </c>
      <c r="BD177" s="5">
        <f>VLOOKUP($AF177,'251018'!$A$1:$M$200,5,FALSE)</f>
        <v>0</v>
      </c>
      <c r="BE177" s="5">
        <f t="shared" si="178"/>
        <v>46691</v>
      </c>
      <c r="BF177" s="5">
        <f t="shared" si="179"/>
        <v>-9429</v>
      </c>
      <c r="BG177" s="5">
        <f t="shared" si="180"/>
        <v>0</v>
      </c>
      <c r="BH177" s="5">
        <f>VLOOKUP($AF177,'251018'!$A$1:$M$200,4,FALSE)</f>
        <v>285977</v>
      </c>
    </row>
    <row r="178" spans="2:60" x14ac:dyDescent="0.3">
      <c r="B178" s="5" t="s">
        <v>854</v>
      </c>
      <c r="C178" s="5">
        <f>VLOOKUP($B178,'251008_0시'!$A$1:$M$200,4,FALSE)</f>
        <v>99421</v>
      </c>
      <c r="D178" s="5">
        <f>VLOOKUP($B178,'251008_0시'!$A$1:$M$200,5,FALSE)</f>
        <v>0</v>
      </c>
      <c r="E178" s="5">
        <f>VLOOKUP($B178,'251009_0시'!$A$1:$M$200,4,FALSE)</f>
        <v>153573</v>
      </c>
      <c r="F178" s="5">
        <f>VLOOKUP($B178,'251009_0시'!$A$1:$M$200,5,FALSE)</f>
        <v>0</v>
      </c>
      <c r="G178" s="5">
        <f t="shared" si="151"/>
        <v>54152</v>
      </c>
      <c r="H178" s="5">
        <f t="shared" si="152"/>
        <v>4441.5</v>
      </c>
      <c r="I178" s="5">
        <f t="shared" si="153"/>
        <v>0</v>
      </c>
      <c r="J178" s="5">
        <f>VLOOKUP($B178,'251010_0시'!$A$1:$M$200,4,FALSE)</f>
        <v>197734</v>
      </c>
      <c r="K178" s="5">
        <f>VLOOKUP($B178,'251010_0시'!$A$1:$M$200,5,FALSE)</f>
        <v>202</v>
      </c>
      <c r="L178" s="5">
        <f t="shared" si="154"/>
        <v>44161</v>
      </c>
      <c r="M178" s="5">
        <f t="shared" si="155"/>
        <v>-9991</v>
      </c>
      <c r="N178" s="5">
        <f t="shared" si="156"/>
        <v>202</v>
      </c>
      <c r="O178" s="5">
        <f>VLOOKUP($B178,'251011_0시'!$A$1:$M$200,4,FALSE)</f>
        <v>250691</v>
      </c>
      <c r="P178" s="5">
        <f>VLOOKUP($B178,'251011_0시'!$A$1:$M$200,5,FALSE)</f>
        <v>252</v>
      </c>
      <c r="Q178" s="5">
        <f t="shared" si="157"/>
        <v>52957</v>
      </c>
      <c r="R178" s="5">
        <f t="shared" si="158"/>
        <v>8796</v>
      </c>
      <c r="S178" s="5">
        <f t="shared" si="159"/>
        <v>50</v>
      </c>
      <c r="T178" s="5">
        <f>VLOOKUP($B178,'251012_0시'!$A$1:$M$200,4,FALSE)</f>
        <v>291825</v>
      </c>
      <c r="U178" s="5">
        <f>VLOOKUP($B178,'251012_0시'!$A$1:$M$200,5,FALSE)</f>
        <v>252</v>
      </c>
      <c r="V178" s="5">
        <f t="shared" si="160"/>
        <v>41134</v>
      </c>
      <c r="W178" s="5">
        <f t="shared" si="161"/>
        <v>-11823</v>
      </c>
      <c r="X178" s="5">
        <f t="shared" si="162"/>
        <v>0</v>
      </c>
      <c r="Y178" s="5">
        <f>VLOOKUP($B178,'251013_0시'!$A$1:$M$200,4,FALSE)</f>
        <v>305750</v>
      </c>
      <c r="Z178" s="5">
        <f>VLOOKUP($B178,'251013_0시'!$A$1:$M$200,5,FALSE)</f>
        <v>252</v>
      </c>
      <c r="AA178" s="5">
        <f t="shared" si="163"/>
        <v>13925</v>
      </c>
      <c r="AB178" s="5">
        <f t="shared" si="164"/>
        <v>-27209</v>
      </c>
      <c r="AC178" s="5">
        <f t="shared" si="165"/>
        <v>0</v>
      </c>
      <c r="AD178" s="5">
        <f>VLOOKUP($B178,'251013_0시'!$A$1:$M$200,4,FALSE)</f>
        <v>305750</v>
      </c>
      <c r="AF178" s="5" t="s">
        <v>842</v>
      </c>
      <c r="AG178" s="5">
        <f>VLOOKUP($AF178,'251013'!$A$1:$M$200,4,FALSE)</f>
        <v>78937</v>
      </c>
      <c r="AH178" s="5">
        <f>VLOOKUP($AF178,'251013'!$A$1:$M$200,5,FALSE)</f>
        <v>1700</v>
      </c>
      <c r="AI178" s="5">
        <f>VLOOKUP($AF178,'251014'!$A$1:$M$200,4,FALSE)</f>
        <v>123955</v>
      </c>
      <c r="AJ178" s="5">
        <f>VLOOKUP($AF178,'251014'!$A$1:$M$200,5,FALSE)</f>
        <v>1700</v>
      </c>
      <c r="AK178" s="5">
        <f t="shared" si="166"/>
        <v>45018</v>
      </c>
      <c r="AL178" s="5">
        <f t="shared" si="167"/>
        <v>-33919</v>
      </c>
      <c r="AM178" s="5">
        <f t="shared" si="168"/>
        <v>0</v>
      </c>
      <c r="AN178" s="5">
        <f>VLOOKUP($AF178,'251015'!$A$1:$M$200,4,FALSE)</f>
        <v>171206</v>
      </c>
      <c r="AO178" s="5">
        <f>VLOOKUP($AF178,'251015'!$A$1:$M$200,5,FALSE)</f>
        <v>3050</v>
      </c>
      <c r="AP178" s="5">
        <f t="shared" si="169"/>
        <v>47251</v>
      </c>
      <c r="AQ178" s="5">
        <f t="shared" si="170"/>
        <v>2233</v>
      </c>
      <c r="AR178" s="5">
        <f t="shared" si="171"/>
        <v>1350</v>
      </c>
      <c r="AS178" s="5">
        <f>VLOOKUP($AF178,'251016'!$A$1:$M$200,4,FALSE)</f>
        <v>233601</v>
      </c>
      <c r="AT178" s="5">
        <f>VLOOKUP($AF178,'251016'!$A$1:$M$200,5,FALSE)</f>
        <v>3950</v>
      </c>
      <c r="AU178" s="5">
        <f t="shared" si="172"/>
        <v>62395</v>
      </c>
      <c r="AV178" s="5">
        <f t="shared" si="173"/>
        <v>15144</v>
      </c>
      <c r="AW178" s="5">
        <f t="shared" si="174"/>
        <v>900</v>
      </c>
      <c r="AX178" s="5">
        <f>VLOOKUP($AF178,'251017'!$A$1:$M$200,4,FALSE)</f>
        <v>258082</v>
      </c>
      <c r="AY178" s="5">
        <f>VLOOKUP($AF178,'251017'!$A$1:$M$200,5,FALSE)</f>
        <v>3950</v>
      </c>
      <c r="AZ178" s="5">
        <f t="shared" si="175"/>
        <v>24481</v>
      </c>
      <c r="BA178" s="5">
        <f t="shared" si="176"/>
        <v>-37914</v>
      </c>
      <c r="BB178" s="5">
        <f t="shared" si="177"/>
        <v>0</v>
      </c>
      <c r="BC178" s="5">
        <f>VLOOKUP($AF178,'251018'!$A$1:$M$200,4,FALSE)</f>
        <v>281427</v>
      </c>
      <c r="BD178" s="5">
        <f>VLOOKUP($AF178,'251018'!$A$1:$M$200,5,FALSE)</f>
        <v>3950</v>
      </c>
      <c r="BE178" s="5">
        <f t="shared" si="178"/>
        <v>23345</v>
      </c>
      <c r="BF178" s="5">
        <f t="shared" si="179"/>
        <v>-1136</v>
      </c>
      <c r="BG178" s="5">
        <f t="shared" si="180"/>
        <v>0</v>
      </c>
      <c r="BH178" s="5">
        <f>VLOOKUP($AF178,'251018'!$A$1:$M$200,4,FALSE)</f>
        <v>281427</v>
      </c>
    </row>
    <row r="179" spans="2:60" x14ac:dyDescent="0.3">
      <c r="B179" s="5" t="s">
        <v>881</v>
      </c>
      <c r="C179" s="5">
        <f>VLOOKUP($B179,'251008_0시'!$A$1:$M$200,4,FALSE)</f>
        <v>35197</v>
      </c>
      <c r="D179" s="5">
        <f>VLOOKUP($B179,'251008_0시'!$A$1:$M$200,5,FALSE)</f>
        <v>0</v>
      </c>
      <c r="E179" s="5">
        <f>VLOOKUP($B179,'251009_0시'!$A$1:$M$200,4,FALSE)</f>
        <v>47191</v>
      </c>
      <c r="F179" s="5">
        <f>VLOOKUP($B179,'251009_0시'!$A$1:$M$200,5,FALSE)</f>
        <v>0</v>
      </c>
      <c r="G179" s="5">
        <f t="shared" si="151"/>
        <v>11994</v>
      </c>
      <c r="H179" s="5">
        <f t="shared" si="152"/>
        <v>-5604.5</v>
      </c>
      <c r="I179" s="5">
        <f t="shared" si="153"/>
        <v>0</v>
      </c>
      <c r="J179" s="5">
        <f>VLOOKUP($B179,'251010_0시'!$A$1:$M$200,4,FALSE)</f>
        <v>100699</v>
      </c>
      <c r="K179" s="5">
        <f>VLOOKUP($B179,'251010_0시'!$A$1:$M$200,5,FALSE)</f>
        <v>0</v>
      </c>
      <c r="L179" s="5">
        <f t="shared" si="154"/>
        <v>53508</v>
      </c>
      <c r="M179" s="5">
        <f t="shared" si="155"/>
        <v>41514</v>
      </c>
      <c r="N179" s="5">
        <f t="shared" si="156"/>
        <v>0</v>
      </c>
      <c r="O179" s="5">
        <f>VLOOKUP($B179,'251011_0시'!$A$1:$M$200,4,FALSE)</f>
        <v>144670</v>
      </c>
      <c r="P179" s="5">
        <f>VLOOKUP($B179,'251011_0시'!$A$1:$M$200,5,FALSE)</f>
        <v>0</v>
      </c>
      <c r="Q179" s="5">
        <f t="shared" si="157"/>
        <v>43971</v>
      </c>
      <c r="R179" s="5">
        <f t="shared" si="158"/>
        <v>-9537</v>
      </c>
      <c r="S179" s="5">
        <f t="shared" si="159"/>
        <v>0</v>
      </c>
      <c r="T179" s="5">
        <f>VLOOKUP($B179,'251012_0시'!$A$1:$M$200,4,FALSE)</f>
        <v>220391</v>
      </c>
      <c r="U179" s="5">
        <f>VLOOKUP($B179,'251012_0시'!$A$1:$M$200,5,FALSE)</f>
        <v>0</v>
      </c>
      <c r="V179" s="5">
        <f t="shared" si="160"/>
        <v>75721</v>
      </c>
      <c r="W179" s="5">
        <f t="shared" si="161"/>
        <v>31750</v>
      </c>
      <c r="X179" s="5">
        <f t="shared" si="162"/>
        <v>0</v>
      </c>
      <c r="Y179" s="5">
        <f>VLOOKUP($B179,'251013_0시'!$A$1:$M$200,4,FALSE)</f>
        <v>251188</v>
      </c>
      <c r="Z179" s="5">
        <f>VLOOKUP($B179,'251013_0시'!$A$1:$M$200,5,FALSE)</f>
        <v>0</v>
      </c>
      <c r="AA179" s="5">
        <f t="shared" si="163"/>
        <v>30797</v>
      </c>
      <c r="AB179" s="5">
        <f t="shared" si="164"/>
        <v>-44924</v>
      </c>
      <c r="AC179" s="5">
        <f t="shared" si="165"/>
        <v>0</v>
      </c>
      <c r="AD179" s="5">
        <f>VLOOKUP($B179,'251013_0시'!$A$1:$M$200,4,FALSE)</f>
        <v>251188</v>
      </c>
      <c r="AF179" s="5" t="s">
        <v>896</v>
      </c>
      <c r="AG179" s="5">
        <f>VLOOKUP($AF179,'251013'!$A$1:$M$200,4,FALSE)</f>
        <v>44873</v>
      </c>
      <c r="AH179" s="5">
        <f>VLOOKUP($AF179,'251013'!$A$1:$M$200,5,FALSE)</f>
        <v>0</v>
      </c>
      <c r="AI179" s="5">
        <f>VLOOKUP($AF179,'251014'!$A$1:$M$200,4,FALSE)</f>
        <v>89167</v>
      </c>
      <c r="AJ179" s="5">
        <f>VLOOKUP($AF179,'251014'!$A$1:$M$200,5,FALSE)</f>
        <v>350</v>
      </c>
      <c r="AK179" s="5">
        <f t="shared" si="166"/>
        <v>44294</v>
      </c>
      <c r="AL179" s="5">
        <f t="shared" si="167"/>
        <v>-579</v>
      </c>
      <c r="AM179" s="5">
        <f t="shared" si="168"/>
        <v>350</v>
      </c>
      <c r="AN179" s="5">
        <f>VLOOKUP($AF179,'251015'!$A$1:$M$200,4,FALSE)</f>
        <v>135410</v>
      </c>
      <c r="AO179" s="5">
        <f>VLOOKUP($AF179,'251015'!$A$1:$M$200,5,FALSE)</f>
        <v>350</v>
      </c>
      <c r="AP179" s="5">
        <f t="shared" si="169"/>
        <v>46243</v>
      </c>
      <c r="AQ179" s="5">
        <f t="shared" si="170"/>
        <v>1949</v>
      </c>
      <c r="AR179" s="5">
        <f t="shared" si="171"/>
        <v>0</v>
      </c>
      <c r="AS179" s="5">
        <f>VLOOKUP($AF179,'251016'!$A$1:$M$200,4,FALSE)</f>
        <v>191161</v>
      </c>
      <c r="AT179" s="5">
        <f>VLOOKUP($AF179,'251016'!$A$1:$M$200,5,FALSE)</f>
        <v>786</v>
      </c>
      <c r="AU179" s="5">
        <f t="shared" si="172"/>
        <v>55751</v>
      </c>
      <c r="AV179" s="5">
        <f t="shared" si="173"/>
        <v>9508</v>
      </c>
      <c r="AW179" s="5">
        <f t="shared" si="174"/>
        <v>436</v>
      </c>
      <c r="AX179" s="5">
        <f>VLOOKUP($AF179,'251017'!$A$1:$M$200,4,FALSE)</f>
        <v>207427</v>
      </c>
      <c r="AY179" s="5">
        <f>VLOOKUP($AF179,'251017'!$A$1:$M$200,5,FALSE)</f>
        <v>786</v>
      </c>
      <c r="AZ179" s="5">
        <f t="shared" si="175"/>
        <v>16266</v>
      </c>
      <c r="BA179" s="5">
        <f t="shared" si="176"/>
        <v>-39485</v>
      </c>
      <c r="BB179" s="5">
        <f t="shared" si="177"/>
        <v>0</v>
      </c>
      <c r="BC179" s="5">
        <f>VLOOKUP($AF179,'251018'!$A$1:$M$200,4,FALSE)</f>
        <v>266782</v>
      </c>
      <c r="BD179" s="5">
        <f>VLOOKUP($AF179,'251018'!$A$1:$M$200,5,FALSE)</f>
        <v>836</v>
      </c>
      <c r="BE179" s="5">
        <f t="shared" si="178"/>
        <v>59355</v>
      </c>
      <c r="BF179" s="5">
        <f t="shared" si="179"/>
        <v>43089</v>
      </c>
      <c r="BG179" s="5">
        <f t="shared" si="180"/>
        <v>50</v>
      </c>
      <c r="BH179" s="5">
        <f>VLOOKUP($AF179,'251018'!$A$1:$M$200,4,FALSE)</f>
        <v>266782</v>
      </c>
    </row>
    <row r="180" spans="2:60" x14ac:dyDescent="0.3">
      <c r="B180" s="5" t="s">
        <v>883</v>
      </c>
      <c r="C180" s="5">
        <f>VLOOKUP($B180,'251008_0시'!$A$1:$M$200,4,FALSE)</f>
        <v>68674</v>
      </c>
      <c r="D180" s="5">
        <f>VLOOKUP($B180,'251008_0시'!$A$1:$M$200,5,FALSE)</f>
        <v>400</v>
      </c>
      <c r="E180" s="5">
        <f>VLOOKUP($B180,'251009_0시'!$A$1:$M$200,4,FALSE)</f>
        <v>91387</v>
      </c>
      <c r="F180" s="5">
        <f>VLOOKUP($B180,'251009_0시'!$A$1:$M$200,5,FALSE)</f>
        <v>400</v>
      </c>
      <c r="G180" s="5">
        <f t="shared" si="151"/>
        <v>22713</v>
      </c>
      <c r="H180" s="5">
        <f t="shared" si="152"/>
        <v>-11624</v>
      </c>
      <c r="I180" s="5">
        <f t="shared" si="153"/>
        <v>0</v>
      </c>
      <c r="J180" s="5">
        <f>VLOOKUP($B180,'251010_0시'!$A$1:$M$200,4,FALSE)</f>
        <v>141296</v>
      </c>
      <c r="K180" s="5">
        <f>VLOOKUP($B180,'251010_0시'!$A$1:$M$200,5,FALSE)</f>
        <v>400</v>
      </c>
      <c r="L180" s="5">
        <f t="shared" si="154"/>
        <v>49909</v>
      </c>
      <c r="M180" s="5">
        <f t="shared" si="155"/>
        <v>27196</v>
      </c>
      <c r="N180" s="5">
        <f t="shared" si="156"/>
        <v>0</v>
      </c>
      <c r="O180" s="5">
        <f>VLOOKUP($B180,'251011_0시'!$A$1:$M$200,4,FALSE)</f>
        <v>191403</v>
      </c>
      <c r="P180" s="5">
        <f>VLOOKUP($B180,'251011_0시'!$A$1:$M$200,5,FALSE)</f>
        <v>800</v>
      </c>
      <c r="Q180" s="5">
        <f t="shared" si="157"/>
        <v>50107</v>
      </c>
      <c r="R180" s="5">
        <f t="shared" si="158"/>
        <v>198</v>
      </c>
      <c r="S180" s="5">
        <f t="shared" si="159"/>
        <v>400</v>
      </c>
      <c r="T180" s="5">
        <f>VLOOKUP($B180,'251012_0시'!$A$1:$M$200,4,FALSE)</f>
        <v>222238</v>
      </c>
      <c r="U180" s="5">
        <f>VLOOKUP($B180,'251012_0시'!$A$1:$M$200,5,FALSE)</f>
        <v>3250</v>
      </c>
      <c r="V180" s="5">
        <f t="shared" si="160"/>
        <v>30835</v>
      </c>
      <c r="W180" s="5">
        <f t="shared" si="161"/>
        <v>-19272</v>
      </c>
      <c r="X180" s="5">
        <f t="shared" si="162"/>
        <v>2450</v>
      </c>
      <c r="Y180" s="5">
        <f>VLOOKUP($B180,'251013_0시'!$A$1:$M$200,4,FALSE)</f>
        <v>247920</v>
      </c>
      <c r="Z180" s="5">
        <f>VLOOKUP($B180,'251013_0시'!$A$1:$M$200,5,FALSE)</f>
        <v>5350</v>
      </c>
      <c r="AA180" s="5">
        <f t="shared" si="163"/>
        <v>25682</v>
      </c>
      <c r="AB180" s="5">
        <f t="shared" si="164"/>
        <v>-5153</v>
      </c>
      <c r="AC180" s="5">
        <f t="shared" si="165"/>
        <v>2100</v>
      </c>
      <c r="AD180" s="5">
        <f>VLOOKUP($B180,'251013_0시'!$A$1:$M$200,4,FALSE)</f>
        <v>247920</v>
      </c>
      <c r="AF180" s="5" t="s">
        <v>819</v>
      </c>
      <c r="AG180" s="5">
        <f>VLOOKUP($AF180,'251013'!$A$1:$M$200,4,FALSE)</f>
        <v>51288</v>
      </c>
      <c r="AH180" s="5">
        <f>VLOOKUP($AF180,'251013'!$A$1:$M$200,5,FALSE)</f>
        <v>0</v>
      </c>
      <c r="AI180" s="5">
        <f>VLOOKUP($AF180,'251014'!$A$1:$M$200,4,FALSE)</f>
        <v>90060</v>
      </c>
      <c r="AJ180" s="5">
        <f>VLOOKUP($AF180,'251014'!$A$1:$M$200,5,FALSE)</f>
        <v>0</v>
      </c>
      <c r="AK180" s="5">
        <f t="shared" si="166"/>
        <v>38772</v>
      </c>
      <c r="AL180" s="5">
        <f t="shared" si="167"/>
        <v>-12516</v>
      </c>
      <c r="AM180" s="5">
        <f t="shared" si="168"/>
        <v>0</v>
      </c>
      <c r="AN180" s="5">
        <f>VLOOKUP($AF180,'251015'!$A$1:$M$200,4,FALSE)</f>
        <v>156020</v>
      </c>
      <c r="AO180" s="5">
        <f>VLOOKUP($AF180,'251015'!$A$1:$M$200,5,FALSE)</f>
        <v>0</v>
      </c>
      <c r="AP180" s="5">
        <f t="shared" si="169"/>
        <v>65960</v>
      </c>
      <c r="AQ180" s="5">
        <f t="shared" si="170"/>
        <v>27188</v>
      </c>
      <c r="AR180" s="5">
        <f t="shared" si="171"/>
        <v>0</v>
      </c>
      <c r="AS180" s="5">
        <f>VLOOKUP($AF180,'251016'!$A$1:$M$200,4,FALSE)</f>
        <v>212682</v>
      </c>
      <c r="AT180" s="5">
        <f>VLOOKUP($AF180,'251016'!$A$1:$M$200,5,FALSE)</f>
        <v>800</v>
      </c>
      <c r="AU180" s="5">
        <f t="shared" si="172"/>
        <v>56662</v>
      </c>
      <c r="AV180" s="5">
        <f t="shared" si="173"/>
        <v>-9298</v>
      </c>
      <c r="AW180" s="5">
        <f t="shared" si="174"/>
        <v>800</v>
      </c>
      <c r="AX180" s="5">
        <f>VLOOKUP($AF180,'251017'!$A$1:$M$200,4,FALSE)</f>
        <v>231774</v>
      </c>
      <c r="AY180" s="5">
        <f>VLOOKUP($AF180,'251017'!$A$1:$M$200,5,FALSE)</f>
        <v>800</v>
      </c>
      <c r="AZ180" s="5">
        <f t="shared" si="175"/>
        <v>19092</v>
      </c>
      <c r="BA180" s="5">
        <f t="shared" si="176"/>
        <v>-37570</v>
      </c>
      <c r="BB180" s="5">
        <f t="shared" si="177"/>
        <v>0</v>
      </c>
      <c r="BC180" s="5">
        <f>VLOOKUP($AF180,'251018'!$A$1:$M$200,4,FALSE)</f>
        <v>264507</v>
      </c>
      <c r="BD180" s="5">
        <f>VLOOKUP($AF180,'251018'!$A$1:$M$200,5,FALSE)</f>
        <v>800</v>
      </c>
      <c r="BE180" s="5">
        <f t="shared" si="178"/>
        <v>32733</v>
      </c>
      <c r="BF180" s="5">
        <f t="shared" si="179"/>
        <v>13641</v>
      </c>
      <c r="BG180" s="5">
        <f t="shared" si="180"/>
        <v>0</v>
      </c>
      <c r="BH180" s="5">
        <f>VLOOKUP($AF180,'251018'!$A$1:$M$200,4,FALSE)</f>
        <v>264507</v>
      </c>
    </row>
    <row r="181" spans="2:60" x14ac:dyDescent="0.3">
      <c r="B181" s="5" t="s">
        <v>899</v>
      </c>
      <c r="C181" s="5">
        <f>VLOOKUP($B181,'251008_0시'!$A$1:$M$200,4,FALSE)</f>
        <v>29579</v>
      </c>
      <c r="D181" s="5">
        <f>VLOOKUP($B181,'251008_0시'!$A$1:$M$200,5,FALSE)</f>
        <v>450</v>
      </c>
      <c r="E181" s="5">
        <f>VLOOKUP($B181,'251009_0시'!$A$1:$M$200,4,FALSE)</f>
        <v>77949</v>
      </c>
      <c r="F181" s="5">
        <f>VLOOKUP($B181,'251009_0시'!$A$1:$M$200,5,FALSE)</f>
        <v>1800</v>
      </c>
      <c r="G181" s="5">
        <f t="shared" si="151"/>
        <v>48370</v>
      </c>
      <c r="H181" s="5">
        <f t="shared" si="152"/>
        <v>33580.5</v>
      </c>
      <c r="I181" s="5">
        <f t="shared" si="153"/>
        <v>1350</v>
      </c>
      <c r="J181" s="5">
        <f>VLOOKUP($B181,'251010_0시'!$A$1:$M$200,4,FALSE)</f>
        <v>113652</v>
      </c>
      <c r="K181" s="5">
        <f>VLOOKUP($B181,'251010_0시'!$A$1:$M$200,5,FALSE)</f>
        <v>4950</v>
      </c>
      <c r="L181" s="5">
        <f t="shared" si="154"/>
        <v>35703</v>
      </c>
      <c r="M181" s="5">
        <f t="shared" si="155"/>
        <v>-12667</v>
      </c>
      <c r="N181" s="5">
        <f t="shared" si="156"/>
        <v>3150</v>
      </c>
      <c r="O181" s="5">
        <f>VLOOKUP($B181,'251011_0시'!$A$1:$M$200,4,FALSE)</f>
        <v>131437</v>
      </c>
      <c r="P181" s="5">
        <f>VLOOKUP($B181,'251011_0시'!$A$1:$M$200,5,FALSE)</f>
        <v>4950</v>
      </c>
      <c r="Q181" s="5">
        <f t="shared" si="157"/>
        <v>17785</v>
      </c>
      <c r="R181" s="5">
        <f t="shared" si="158"/>
        <v>-17918</v>
      </c>
      <c r="S181" s="5">
        <f t="shared" si="159"/>
        <v>0</v>
      </c>
      <c r="T181" s="5">
        <f>VLOOKUP($B181,'251012_0시'!$A$1:$M$200,4,FALSE)</f>
        <v>171965</v>
      </c>
      <c r="U181" s="5">
        <f>VLOOKUP($B181,'251012_0시'!$A$1:$M$200,5,FALSE)</f>
        <v>6750</v>
      </c>
      <c r="V181" s="5">
        <f t="shared" si="160"/>
        <v>40528</v>
      </c>
      <c r="W181" s="5">
        <f t="shared" si="161"/>
        <v>22743</v>
      </c>
      <c r="X181" s="5">
        <f t="shared" si="162"/>
        <v>1800</v>
      </c>
      <c r="Y181" s="5">
        <f>VLOOKUP($B181,'251013_0시'!$A$1:$M$200,4,FALSE)</f>
        <v>229662</v>
      </c>
      <c r="Z181" s="5">
        <f>VLOOKUP($B181,'251013_0시'!$A$1:$M$200,5,FALSE)</f>
        <v>9000</v>
      </c>
      <c r="AA181" s="5">
        <f t="shared" si="163"/>
        <v>57697</v>
      </c>
      <c r="AB181" s="5">
        <f t="shared" si="164"/>
        <v>17169</v>
      </c>
      <c r="AC181" s="5">
        <f t="shared" si="165"/>
        <v>2250</v>
      </c>
      <c r="AD181" s="5">
        <f>VLOOKUP($B181,'251013_0시'!$A$1:$M$200,4,FALSE)</f>
        <v>229662</v>
      </c>
      <c r="AF181" s="5" t="s">
        <v>877</v>
      </c>
      <c r="AG181" s="5">
        <f>VLOOKUP($AF181,'251013'!$A$1:$M$200,4,FALSE)</f>
        <v>39534</v>
      </c>
      <c r="AH181" s="5">
        <f>VLOOKUP($AF181,'251013'!$A$1:$M$200,5,FALSE)</f>
        <v>0</v>
      </c>
      <c r="AI181" s="5">
        <f>VLOOKUP($AF181,'251014'!$A$1:$M$200,4,FALSE)</f>
        <v>105341</v>
      </c>
      <c r="AJ181" s="5">
        <f>VLOOKUP($AF181,'251014'!$A$1:$M$200,5,FALSE)</f>
        <v>0</v>
      </c>
      <c r="AK181" s="5">
        <f t="shared" si="166"/>
        <v>65807</v>
      </c>
      <c r="AL181" s="5">
        <f t="shared" si="167"/>
        <v>26273</v>
      </c>
      <c r="AM181" s="5">
        <f t="shared" si="168"/>
        <v>0</v>
      </c>
      <c r="AN181" s="5">
        <f>VLOOKUP($AF181,'251015'!$A$1:$M$200,4,FALSE)</f>
        <v>182211</v>
      </c>
      <c r="AO181" s="5">
        <f>VLOOKUP($AF181,'251015'!$A$1:$M$200,5,FALSE)</f>
        <v>0</v>
      </c>
      <c r="AP181" s="5">
        <f t="shared" si="169"/>
        <v>76870</v>
      </c>
      <c r="AQ181" s="5">
        <f t="shared" si="170"/>
        <v>11063</v>
      </c>
      <c r="AR181" s="5">
        <f t="shared" si="171"/>
        <v>0</v>
      </c>
      <c r="AS181" s="5">
        <f>VLOOKUP($AF181,'251016'!$A$1:$M$200,4,FALSE)</f>
        <v>193116</v>
      </c>
      <c r="AT181" s="5">
        <f>VLOOKUP($AF181,'251016'!$A$1:$M$200,5,FALSE)</f>
        <v>0</v>
      </c>
      <c r="AU181" s="5">
        <f t="shared" si="172"/>
        <v>10905</v>
      </c>
      <c r="AV181" s="5">
        <f t="shared" si="173"/>
        <v>-65965</v>
      </c>
      <c r="AW181" s="5">
        <f t="shared" si="174"/>
        <v>0</v>
      </c>
      <c r="AX181" s="5">
        <f>VLOOKUP($AF181,'251017'!$A$1:$M$200,4,FALSE)</f>
        <v>232825</v>
      </c>
      <c r="AY181" s="5">
        <f>VLOOKUP($AF181,'251017'!$A$1:$M$200,5,FALSE)</f>
        <v>0</v>
      </c>
      <c r="AZ181" s="5">
        <f t="shared" si="175"/>
        <v>39709</v>
      </c>
      <c r="BA181" s="5">
        <f t="shared" si="176"/>
        <v>28804</v>
      </c>
      <c r="BB181" s="5">
        <f t="shared" si="177"/>
        <v>0</v>
      </c>
      <c r="BC181" s="5">
        <f>VLOOKUP($AF181,'251018'!$A$1:$M$200,4,FALSE)</f>
        <v>242786</v>
      </c>
      <c r="BD181" s="5">
        <f>VLOOKUP($AF181,'251018'!$A$1:$M$200,5,FALSE)</f>
        <v>0</v>
      </c>
      <c r="BE181" s="5">
        <f t="shared" si="178"/>
        <v>9961</v>
      </c>
      <c r="BF181" s="5">
        <f t="shared" si="179"/>
        <v>-29748</v>
      </c>
      <c r="BG181" s="5">
        <f t="shared" si="180"/>
        <v>0</v>
      </c>
      <c r="BH181" s="5">
        <f>VLOOKUP($AF181,'251018'!$A$1:$M$200,4,FALSE)</f>
        <v>242786</v>
      </c>
    </row>
    <row r="182" spans="2:60" x14ac:dyDescent="0.3">
      <c r="B182" s="5" t="s">
        <v>890</v>
      </c>
      <c r="C182" s="5">
        <f>VLOOKUP($B182,'251008_0시'!$A$1:$M$200,4,FALSE)</f>
        <v>52972</v>
      </c>
      <c r="D182" s="5">
        <f>VLOOKUP($B182,'251008_0시'!$A$1:$M$200,5,FALSE)</f>
        <v>0</v>
      </c>
      <c r="E182" s="5">
        <f>VLOOKUP($B182,'251009_0시'!$A$1:$M$200,4,FALSE)</f>
        <v>96314</v>
      </c>
      <c r="F182" s="5">
        <f>VLOOKUP($B182,'251009_0시'!$A$1:$M$200,5,FALSE)</f>
        <v>0</v>
      </c>
      <c r="G182" s="5">
        <f t="shared" si="151"/>
        <v>43342</v>
      </c>
      <c r="H182" s="5">
        <f t="shared" si="152"/>
        <v>16856</v>
      </c>
      <c r="I182" s="5">
        <f t="shared" si="153"/>
        <v>0</v>
      </c>
      <c r="J182" s="5">
        <f>VLOOKUP($B182,'251010_0시'!$A$1:$M$200,4,FALSE)</f>
        <v>123604</v>
      </c>
      <c r="K182" s="5">
        <f>VLOOKUP($B182,'251010_0시'!$A$1:$M$200,5,FALSE)</f>
        <v>303</v>
      </c>
      <c r="L182" s="5">
        <f t="shared" si="154"/>
        <v>27290</v>
      </c>
      <c r="M182" s="5">
        <f t="shared" si="155"/>
        <v>-16052</v>
      </c>
      <c r="N182" s="5">
        <f t="shared" si="156"/>
        <v>303</v>
      </c>
      <c r="O182" s="5">
        <f>VLOOKUP($B182,'251011_0시'!$A$1:$M$200,4,FALSE)</f>
        <v>176322</v>
      </c>
      <c r="P182" s="5">
        <f>VLOOKUP($B182,'251011_0시'!$A$1:$M$200,5,FALSE)</f>
        <v>303</v>
      </c>
      <c r="Q182" s="5">
        <f t="shared" si="157"/>
        <v>52718</v>
      </c>
      <c r="R182" s="5">
        <f t="shared" si="158"/>
        <v>25428</v>
      </c>
      <c r="S182" s="5">
        <f t="shared" si="159"/>
        <v>0</v>
      </c>
      <c r="T182" s="5">
        <f>VLOOKUP($B182,'251012_0시'!$A$1:$M$200,4,FALSE)</f>
        <v>210252</v>
      </c>
      <c r="U182" s="5">
        <f>VLOOKUP($B182,'251012_0시'!$A$1:$M$200,5,FALSE)</f>
        <v>353</v>
      </c>
      <c r="V182" s="5">
        <f t="shared" si="160"/>
        <v>33930</v>
      </c>
      <c r="W182" s="5">
        <f t="shared" si="161"/>
        <v>-18788</v>
      </c>
      <c r="X182" s="5">
        <f t="shared" si="162"/>
        <v>50</v>
      </c>
      <c r="Y182" s="5">
        <f>VLOOKUP($B182,'251013_0시'!$A$1:$M$200,4,FALSE)</f>
        <v>227120</v>
      </c>
      <c r="Z182" s="5">
        <f>VLOOKUP($B182,'251013_0시'!$A$1:$M$200,5,FALSE)</f>
        <v>353</v>
      </c>
      <c r="AA182" s="5">
        <f t="shared" si="163"/>
        <v>16868</v>
      </c>
      <c r="AB182" s="5">
        <f t="shared" si="164"/>
        <v>-17062</v>
      </c>
      <c r="AC182" s="5">
        <f t="shared" si="165"/>
        <v>0</v>
      </c>
      <c r="AD182" s="5">
        <f>VLOOKUP($B182,'251013_0시'!$A$1:$M$200,4,FALSE)</f>
        <v>227120</v>
      </c>
      <c r="AF182" s="5" t="s">
        <v>868</v>
      </c>
      <c r="AG182" s="5">
        <f>VLOOKUP($AF182,'251013'!$A$1:$M$200,4,FALSE)</f>
        <v>53896</v>
      </c>
      <c r="AH182" s="5">
        <f>VLOOKUP($AF182,'251013'!$A$1:$M$200,5,FALSE)</f>
        <v>0</v>
      </c>
      <c r="AI182" s="5">
        <f>VLOOKUP($AF182,'251014'!$A$1:$M$200,4,FALSE)</f>
        <v>83857</v>
      </c>
      <c r="AJ182" s="5">
        <f>VLOOKUP($AF182,'251014'!$A$1:$M$200,5,FALSE)</f>
        <v>0</v>
      </c>
      <c r="AK182" s="5">
        <f t="shared" si="166"/>
        <v>29961</v>
      </c>
      <c r="AL182" s="5">
        <f t="shared" si="167"/>
        <v>-23935</v>
      </c>
      <c r="AM182" s="5">
        <f t="shared" si="168"/>
        <v>0</v>
      </c>
      <c r="AN182" s="5">
        <f>VLOOKUP($AF182,'251015'!$A$1:$M$200,4,FALSE)</f>
        <v>113237</v>
      </c>
      <c r="AO182" s="5">
        <f>VLOOKUP($AF182,'251015'!$A$1:$M$200,5,FALSE)</f>
        <v>0</v>
      </c>
      <c r="AP182" s="5">
        <f t="shared" si="169"/>
        <v>29380</v>
      </c>
      <c r="AQ182" s="5">
        <f t="shared" si="170"/>
        <v>-581</v>
      </c>
      <c r="AR182" s="5">
        <f t="shared" si="171"/>
        <v>0</v>
      </c>
      <c r="AS182" s="5">
        <f>VLOOKUP($AF182,'251016'!$A$1:$M$200,4,FALSE)</f>
        <v>135491</v>
      </c>
      <c r="AT182" s="5">
        <f>VLOOKUP($AF182,'251016'!$A$1:$M$200,5,FALSE)</f>
        <v>0</v>
      </c>
      <c r="AU182" s="5">
        <f t="shared" si="172"/>
        <v>22254</v>
      </c>
      <c r="AV182" s="5">
        <f t="shared" si="173"/>
        <v>-7126</v>
      </c>
      <c r="AW182" s="5">
        <f t="shared" si="174"/>
        <v>0</v>
      </c>
      <c r="AX182" s="5">
        <f>VLOOKUP($AF182,'251017'!$A$1:$M$200,4,FALSE)</f>
        <v>141868</v>
      </c>
      <c r="AY182" s="5">
        <f>VLOOKUP($AF182,'251017'!$A$1:$M$200,5,FALSE)</f>
        <v>0</v>
      </c>
      <c r="AZ182" s="5">
        <f t="shared" si="175"/>
        <v>6377</v>
      </c>
      <c r="BA182" s="5">
        <f t="shared" si="176"/>
        <v>-15877</v>
      </c>
      <c r="BB182" s="5">
        <f t="shared" si="177"/>
        <v>0</v>
      </c>
      <c r="BC182" s="5">
        <f>VLOOKUP($AF182,'251018'!$A$1:$M$200,4,FALSE)</f>
        <v>218624</v>
      </c>
      <c r="BD182" s="5">
        <f>VLOOKUP($AF182,'251018'!$A$1:$M$200,5,FALSE)</f>
        <v>0</v>
      </c>
      <c r="BE182" s="5">
        <f t="shared" si="178"/>
        <v>76756</v>
      </c>
      <c r="BF182" s="5">
        <f t="shared" si="179"/>
        <v>70379</v>
      </c>
      <c r="BG182" s="5">
        <f t="shared" si="180"/>
        <v>0</v>
      </c>
      <c r="BH182" s="5">
        <f>VLOOKUP($AF182,'251018'!$A$1:$M$200,4,FALSE)</f>
        <v>218624</v>
      </c>
    </row>
    <row r="183" spans="2:60" x14ac:dyDescent="0.3">
      <c r="B183" s="5" t="s">
        <v>975</v>
      </c>
      <c r="C183" s="5">
        <f>VLOOKUP($B183,'251008_0시'!$A$1:$M$200,4,FALSE)</f>
        <v>87795</v>
      </c>
      <c r="D183" s="5">
        <f>VLOOKUP($B183,'251008_0시'!$A$1:$M$200,5,FALSE)</f>
        <v>2150</v>
      </c>
      <c r="E183" s="5">
        <f>VLOOKUP($B183,'251009_0시'!$A$1:$M$200,4,FALSE)</f>
        <v>89556</v>
      </c>
      <c r="F183" s="5">
        <f>VLOOKUP($B183,'251009_0시'!$A$1:$M$200,5,FALSE)</f>
        <v>2150</v>
      </c>
      <c r="G183" s="5">
        <f t="shared" si="151"/>
        <v>1761</v>
      </c>
      <c r="H183" s="5">
        <f t="shared" si="152"/>
        <v>-42136.5</v>
      </c>
      <c r="I183" s="5">
        <f t="shared" si="153"/>
        <v>0</v>
      </c>
      <c r="J183" s="5">
        <f>VLOOKUP($B183,'251010_0시'!$A$1:$M$200,4,FALSE)</f>
        <v>152391</v>
      </c>
      <c r="K183" s="5">
        <f>VLOOKUP($B183,'251010_0시'!$A$1:$M$200,5,FALSE)</f>
        <v>2352</v>
      </c>
      <c r="L183" s="5">
        <f t="shared" si="154"/>
        <v>62835</v>
      </c>
      <c r="M183" s="5">
        <f t="shared" si="155"/>
        <v>61074</v>
      </c>
      <c r="N183" s="5">
        <f t="shared" si="156"/>
        <v>202</v>
      </c>
      <c r="O183" s="5">
        <f>VLOOKUP($B183,'251011_0시'!$A$1:$M$200,4,FALSE)</f>
        <v>173561</v>
      </c>
      <c r="P183" s="5">
        <f>VLOOKUP($B183,'251011_0시'!$A$1:$M$200,5,FALSE)</f>
        <v>2352</v>
      </c>
      <c r="Q183" s="5">
        <f t="shared" si="157"/>
        <v>21170</v>
      </c>
      <c r="R183" s="5">
        <f t="shared" si="158"/>
        <v>-41665</v>
      </c>
      <c r="S183" s="5">
        <f t="shared" si="159"/>
        <v>0</v>
      </c>
      <c r="T183" s="5">
        <f>VLOOKUP($B183,'251012_0시'!$A$1:$M$200,4,FALSE)</f>
        <v>205206</v>
      </c>
      <c r="U183" s="5">
        <f>VLOOKUP($B183,'251012_0시'!$A$1:$M$200,5,FALSE)</f>
        <v>2352</v>
      </c>
      <c r="V183" s="5">
        <f t="shared" si="160"/>
        <v>31645</v>
      </c>
      <c r="W183" s="5">
        <f t="shared" si="161"/>
        <v>10475</v>
      </c>
      <c r="X183" s="5">
        <f t="shared" si="162"/>
        <v>0</v>
      </c>
      <c r="Y183" s="5">
        <f>VLOOKUP($B183,'251013_0시'!$A$1:$M$200,4,FALSE)</f>
        <v>216825</v>
      </c>
      <c r="Z183" s="5">
        <f>VLOOKUP($B183,'251013_0시'!$A$1:$M$200,5,FALSE)</f>
        <v>6402</v>
      </c>
      <c r="AA183" s="5">
        <f t="shared" si="163"/>
        <v>11619</v>
      </c>
      <c r="AB183" s="5">
        <f t="shared" si="164"/>
        <v>-20026</v>
      </c>
      <c r="AC183" s="5">
        <f t="shared" si="165"/>
        <v>4050</v>
      </c>
      <c r="AD183" s="5">
        <f>VLOOKUP($B183,'251013_0시'!$A$1:$M$200,4,FALSE)</f>
        <v>216825</v>
      </c>
      <c r="AF183" s="5" t="s">
        <v>891</v>
      </c>
      <c r="AG183" s="5">
        <f>VLOOKUP($AF183,'251013'!$A$1:$M$200,4,FALSE)</f>
        <v>29554</v>
      </c>
      <c r="AH183" s="5">
        <f>VLOOKUP($AF183,'251013'!$A$1:$M$200,5,FALSE)</f>
        <v>1100</v>
      </c>
      <c r="AI183" s="5">
        <f>VLOOKUP($AF183,'251014'!$A$1:$M$200,4,FALSE)</f>
        <v>83751</v>
      </c>
      <c r="AJ183" s="5">
        <f>VLOOKUP($AF183,'251014'!$A$1:$M$200,5,FALSE)</f>
        <v>10800</v>
      </c>
      <c r="AK183" s="5">
        <f t="shared" si="166"/>
        <v>54197</v>
      </c>
      <c r="AL183" s="5">
        <f t="shared" si="167"/>
        <v>24643</v>
      </c>
      <c r="AM183" s="5">
        <f t="shared" si="168"/>
        <v>9700</v>
      </c>
      <c r="AN183" s="5">
        <f>VLOOKUP($AF183,'251015'!$A$1:$M$200,4,FALSE)</f>
        <v>16400</v>
      </c>
      <c r="AO183" s="5">
        <f>VLOOKUP($AF183,'251015'!$A$1:$M$200,5,FALSE)</f>
        <v>0</v>
      </c>
      <c r="AP183" s="5">
        <f t="shared" si="169"/>
        <v>-67351</v>
      </c>
      <c r="AQ183" s="5">
        <f t="shared" si="170"/>
        <v>-121548</v>
      </c>
      <c r="AR183" s="5">
        <f t="shared" si="171"/>
        <v>-10800</v>
      </c>
      <c r="AS183" s="5">
        <f>VLOOKUP($AF183,'251016'!$A$1:$M$200,4,FALSE)</f>
        <v>71177</v>
      </c>
      <c r="AT183" s="5">
        <f>VLOOKUP($AF183,'251016'!$A$1:$M$200,5,FALSE)</f>
        <v>11700</v>
      </c>
      <c r="AU183" s="5">
        <f t="shared" si="172"/>
        <v>54777</v>
      </c>
      <c r="AV183" s="5">
        <f t="shared" si="173"/>
        <v>122128</v>
      </c>
      <c r="AW183" s="5">
        <f t="shared" si="174"/>
        <v>11700</v>
      </c>
      <c r="AX183" s="5">
        <f>VLOOKUP($AF183,'251017'!$A$1:$M$200,4,FALSE)</f>
        <v>131201</v>
      </c>
      <c r="AY183" s="5">
        <f>VLOOKUP($AF183,'251017'!$A$1:$M$200,5,FALSE)</f>
        <v>18900</v>
      </c>
      <c r="AZ183" s="5">
        <f t="shared" si="175"/>
        <v>60024</v>
      </c>
      <c r="BA183" s="5">
        <f t="shared" si="176"/>
        <v>5247</v>
      </c>
      <c r="BB183" s="5">
        <f t="shared" si="177"/>
        <v>7200</v>
      </c>
      <c r="BC183" s="5">
        <f>VLOOKUP($AF183,'251018'!$A$1:$M$200,4,FALSE)</f>
        <v>210458</v>
      </c>
      <c r="BD183" s="5">
        <f>VLOOKUP($AF183,'251018'!$A$1:$M$200,5,FALSE)</f>
        <v>23850</v>
      </c>
      <c r="BE183" s="5">
        <f t="shared" si="178"/>
        <v>79257</v>
      </c>
      <c r="BF183" s="5">
        <f t="shared" si="179"/>
        <v>19233</v>
      </c>
      <c r="BG183" s="5">
        <f t="shared" si="180"/>
        <v>4950</v>
      </c>
      <c r="BH183" s="5">
        <f>VLOOKUP($AF183,'251018'!$A$1:$M$200,4,FALSE)</f>
        <v>210458</v>
      </c>
    </row>
    <row r="184" spans="2:60" x14ac:dyDescent="0.3">
      <c r="B184" s="5" t="s">
        <v>888</v>
      </c>
      <c r="C184" s="5">
        <f>VLOOKUP($B184,'251008_0시'!$A$1:$M$200,4,FALSE)</f>
        <v>37844</v>
      </c>
      <c r="D184" s="5">
        <f>VLOOKUP($B184,'251008_0시'!$A$1:$M$200,5,FALSE)</f>
        <v>0</v>
      </c>
      <c r="E184" s="5">
        <f>VLOOKUP($B184,'251009_0시'!$A$1:$M$200,4,FALSE)</f>
        <v>68366</v>
      </c>
      <c r="F184" s="5">
        <f>VLOOKUP($B184,'251009_0시'!$A$1:$M$200,5,FALSE)</f>
        <v>0</v>
      </c>
      <c r="G184" s="5">
        <f t="shared" si="151"/>
        <v>30522</v>
      </c>
      <c r="H184" s="5">
        <f t="shared" si="152"/>
        <v>11600</v>
      </c>
      <c r="I184" s="5">
        <f t="shared" si="153"/>
        <v>0</v>
      </c>
      <c r="J184" s="5">
        <f>VLOOKUP($B184,'251010_0시'!$A$1:$M$200,4,FALSE)</f>
        <v>126079</v>
      </c>
      <c r="K184" s="5">
        <f>VLOOKUP($B184,'251010_0시'!$A$1:$M$200,5,FALSE)</f>
        <v>101</v>
      </c>
      <c r="L184" s="5">
        <f t="shared" si="154"/>
        <v>57713</v>
      </c>
      <c r="M184" s="5">
        <f t="shared" si="155"/>
        <v>27191</v>
      </c>
      <c r="N184" s="5">
        <f t="shared" si="156"/>
        <v>101</v>
      </c>
      <c r="O184" s="5">
        <f>VLOOKUP($B184,'251011_0시'!$A$1:$M$200,4,FALSE)</f>
        <v>140462</v>
      </c>
      <c r="P184" s="5">
        <f>VLOOKUP($B184,'251011_0시'!$A$1:$M$200,5,FALSE)</f>
        <v>101</v>
      </c>
      <c r="Q184" s="5">
        <f t="shared" si="157"/>
        <v>14383</v>
      </c>
      <c r="R184" s="5">
        <f t="shared" si="158"/>
        <v>-43330</v>
      </c>
      <c r="S184" s="5">
        <f t="shared" si="159"/>
        <v>0</v>
      </c>
      <c r="T184" s="5">
        <f>VLOOKUP($B184,'251012_0시'!$A$1:$M$200,4,FALSE)</f>
        <v>181816</v>
      </c>
      <c r="U184" s="5">
        <f>VLOOKUP($B184,'251012_0시'!$A$1:$M$200,5,FALSE)</f>
        <v>101</v>
      </c>
      <c r="V184" s="5">
        <f t="shared" si="160"/>
        <v>41354</v>
      </c>
      <c r="W184" s="5">
        <f t="shared" si="161"/>
        <v>26971</v>
      </c>
      <c r="X184" s="5">
        <f t="shared" si="162"/>
        <v>0</v>
      </c>
      <c r="Y184" s="5">
        <f>VLOOKUP($B184,'251013_0시'!$A$1:$M$200,4,FALSE)</f>
        <v>211148</v>
      </c>
      <c r="Z184" s="5">
        <f>VLOOKUP($B184,'251013_0시'!$A$1:$M$200,5,FALSE)</f>
        <v>101</v>
      </c>
      <c r="AA184" s="5">
        <f t="shared" si="163"/>
        <v>29332</v>
      </c>
      <c r="AB184" s="5">
        <f t="shared" si="164"/>
        <v>-12022</v>
      </c>
      <c r="AC184" s="5">
        <f t="shared" si="165"/>
        <v>0</v>
      </c>
      <c r="AD184" s="5">
        <f>VLOOKUP($B184,'251013_0시'!$A$1:$M$200,4,FALSE)</f>
        <v>211148</v>
      </c>
      <c r="AF184" s="5" t="s">
        <v>975</v>
      </c>
      <c r="AG184" s="5">
        <f>VLOOKUP($AF184,'251013'!$A$1:$M$200,4,FALSE)</f>
        <v>0</v>
      </c>
      <c r="AH184" s="5">
        <f>VLOOKUP($AF184,'251013'!$A$1:$M$200,5,FALSE)</f>
        <v>0</v>
      </c>
      <c r="AI184" s="5">
        <f>VLOOKUP($AF184,'251014'!$A$1:$M$200,4,FALSE)</f>
        <v>37783</v>
      </c>
      <c r="AJ184" s="5">
        <f>VLOOKUP($AF184,'251014'!$A$1:$M$200,5,FALSE)</f>
        <v>0</v>
      </c>
      <c r="AK184" s="5">
        <f t="shared" si="166"/>
        <v>37783</v>
      </c>
      <c r="AL184" s="5">
        <f t="shared" si="167"/>
        <v>37783</v>
      </c>
      <c r="AM184" s="5">
        <f t="shared" si="168"/>
        <v>0</v>
      </c>
      <c r="AN184" s="5">
        <f>VLOOKUP($AF184,'251015'!$A$1:$M$200,4,FALSE)</f>
        <v>80723</v>
      </c>
      <c r="AO184" s="5">
        <f>VLOOKUP($AF184,'251015'!$A$1:$M$200,5,FALSE)</f>
        <v>0</v>
      </c>
      <c r="AP184" s="5">
        <f t="shared" si="169"/>
        <v>42940</v>
      </c>
      <c r="AQ184" s="5">
        <f t="shared" si="170"/>
        <v>5157</v>
      </c>
      <c r="AR184" s="5">
        <f t="shared" si="171"/>
        <v>0</v>
      </c>
      <c r="AS184" s="5">
        <f>VLOOKUP($AF184,'251016'!$A$1:$M$200,4,FALSE)</f>
        <v>80723</v>
      </c>
      <c r="AT184" s="5">
        <f>VLOOKUP($AF184,'251016'!$A$1:$M$200,5,FALSE)</f>
        <v>0</v>
      </c>
      <c r="AU184" s="5">
        <f t="shared" si="172"/>
        <v>0</v>
      </c>
      <c r="AV184" s="5">
        <f t="shared" si="173"/>
        <v>-42940</v>
      </c>
      <c r="AW184" s="5">
        <f t="shared" si="174"/>
        <v>0</v>
      </c>
      <c r="AX184" s="5">
        <f>VLOOKUP($AF184,'251017'!$A$1:$M$200,4,FALSE)</f>
        <v>146036</v>
      </c>
      <c r="AY184" s="5">
        <f>VLOOKUP($AF184,'251017'!$A$1:$M$200,5,FALSE)</f>
        <v>0</v>
      </c>
      <c r="AZ184" s="5">
        <f t="shared" si="175"/>
        <v>65313</v>
      </c>
      <c r="BA184" s="5">
        <f t="shared" si="176"/>
        <v>65313</v>
      </c>
      <c r="BB184" s="5">
        <f t="shared" si="177"/>
        <v>0</v>
      </c>
      <c r="BC184" s="5">
        <f>VLOOKUP($AF184,'251018'!$A$1:$M$200,4,FALSE)</f>
        <v>208950</v>
      </c>
      <c r="BD184" s="5">
        <f>VLOOKUP($AF184,'251018'!$A$1:$M$200,5,FALSE)</f>
        <v>0</v>
      </c>
      <c r="BE184" s="5">
        <f t="shared" si="178"/>
        <v>62914</v>
      </c>
      <c r="BF184" s="5">
        <f t="shared" si="179"/>
        <v>-2399</v>
      </c>
      <c r="BG184" s="5">
        <f t="shared" si="180"/>
        <v>0</v>
      </c>
      <c r="BH184" s="5">
        <f>VLOOKUP($AF184,'251018'!$A$1:$M$200,4,FALSE)</f>
        <v>208950</v>
      </c>
    </row>
    <row r="185" spans="2:60" x14ac:dyDescent="0.3">
      <c r="B185" s="5" t="s">
        <v>842</v>
      </c>
      <c r="C185" s="5">
        <f>VLOOKUP($B185,'251008_0시'!$A$1:$M$200,4,FALSE)</f>
        <v>52846</v>
      </c>
      <c r="D185" s="5">
        <f>VLOOKUP($B185,'251008_0시'!$A$1:$M$200,5,FALSE)</f>
        <v>350</v>
      </c>
      <c r="E185" s="5">
        <f>VLOOKUP($B185,'251009_0시'!$A$1:$M$200,4,FALSE)</f>
        <v>52846</v>
      </c>
      <c r="F185" s="5">
        <f>VLOOKUP($B185,'251009_0시'!$A$1:$M$200,5,FALSE)</f>
        <v>350</v>
      </c>
      <c r="G185" s="5">
        <f t="shared" si="151"/>
        <v>0</v>
      </c>
      <c r="H185" s="5">
        <f t="shared" si="152"/>
        <v>-26423</v>
      </c>
      <c r="I185" s="5">
        <f t="shared" si="153"/>
        <v>0</v>
      </c>
      <c r="J185" s="5">
        <f>VLOOKUP($B185,'251010_0시'!$A$1:$M$200,4,FALSE)</f>
        <v>79578</v>
      </c>
      <c r="K185" s="5">
        <f>VLOOKUP($B185,'251010_0시'!$A$1:$M$200,5,FALSE)</f>
        <v>350</v>
      </c>
      <c r="L185" s="5">
        <f t="shared" si="154"/>
        <v>26732</v>
      </c>
      <c r="M185" s="5">
        <f t="shared" si="155"/>
        <v>26732</v>
      </c>
      <c r="N185" s="5">
        <f t="shared" si="156"/>
        <v>0</v>
      </c>
      <c r="O185" s="5">
        <f>VLOOKUP($B185,'251011_0시'!$A$1:$M$200,4,FALSE)</f>
        <v>111072</v>
      </c>
      <c r="P185" s="5">
        <f>VLOOKUP($B185,'251011_0시'!$A$1:$M$200,5,FALSE)</f>
        <v>3050</v>
      </c>
      <c r="Q185" s="5">
        <f t="shared" si="157"/>
        <v>31494</v>
      </c>
      <c r="R185" s="5">
        <f t="shared" si="158"/>
        <v>4762</v>
      </c>
      <c r="S185" s="5">
        <f t="shared" si="159"/>
        <v>2700</v>
      </c>
      <c r="T185" s="5">
        <f>VLOOKUP($B185,'251012_0시'!$A$1:$M$200,4,FALSE)</f>
        <v>168850</v>
      </c>
      <c r="U185" s="5">
        <f>VLOOKUP($B185,'251012_0시'!$A$1:$M$200,5,FALSE)</f>
        <v>3500</v>
      </c>
      <c r="V185" s="5">
        <f t="shared" si="160"/>
        <v>57778</v>
      </c>
      <c r="W185" s="5">
        <f t="shared" si="161"/>
        <v>26284</v>
      </c>
      <c r="X185" s="5">
        <f t="shared" si="162"/>
        <v>450</v>
      </c>
      <c r="Y185" s="5">
        <f>VLOOKUP($B185,'251013_0시'!$A$1:$M$200,4,FALSE)</f>
        <v>186685</v>
      </c>
      <c r="Z185" s="5">
        <f>VLOOKUP($B185,'251013_0시'!$A$1:$M$200,5,FALSE)</f>
        <v>3950</v>
      </c>
      <c r="AA185" s="5">
        <f t="shared" si="163"/>
        <v>17835</v>
      </c>
      <c r="AB185" s="5">
        <f t="shared" si="164"/>
        <v>-39943</v>
      </c>
      <c r="AC185" s="5">
        <f t="shared" si="165"/>
        <v>450</v>
      </c>
      <c r="AD185" s="5">
        <f>VLOOKUP($B185,'251013_0시'!$A$1:$M$200,4,FALSE)</f>
        <v>186685</v>
      </c>
      <c r="AF185" s="5" t="s">
        <v>888</v>
      </c>
      <c r="AG185" s="5">
        <f>VLOOKUP($AF185,'251013'!$A$1:$M$200,4,FALSE)</f>
        <v>49530</v>
      </c>
      <c r="AH185" s="5">
        <f>VLOOKUP($AF185,'251013'!$A$1:$M$200,5,FALSE)</f>
        <v>357</v>
      </c>
      <c r="AI185" s="5">
        <f>VLOOKUP($AF185,'251014'!$A$1:$M$200,4,FALSE)</f>
        <v>84031</v>
      </c>
      <c r="AJ185" s="5">
        <f>VLOOKUP($AF185,'251014'!$A$1:$M$200,5,FALSE)</f>
        <v>357</v>
      </c>
      <c r="AK185" s="5">
        <f t="shared" si="166"/>
        <v>34501</v>
      </c>
      <c r="AL185" s="5">
        <f t="shared" si="167"/>
        <v>-15029</v>
      </c>
      <c r="AM185" s="5">
        <f t="shared" si="168"/>
        <v>0</v>
      </c>
      <c r="AN185" s="5">
        <f>VLOOKUP($AF185,'251015'!$A$1:$M$200,4,FALSE)</f>
        <v>111694</v>
      </c>
      <c r="AO185" s="5">
        <f>VLOOKUP($AF185,'251015'!$A$1:$M$200,5,FALSE)</f>
        <v>357</v>
      </c>
      <c r="AP185" s="5">
        <f t="shared" si="169"/>
        <v>27663</v>
      </c>
      <c r="AQ185" s="5">
        <f t="shared" si="170"/>
        <v>-6838</v>
      </c>
      <c r="AR185" s="5">
        <f t="shared" si="171"/>
        <v>0</v>
      </c>
      <c r="AS185" s="5">
        <f>VLOOKUP($AF185,'251016'!$A$1:$M$200,4,FALSE)</f>
        <v>123674</v>
      </c>
      <c r="AT185" s="5">
        <f>VLOOKUP($AF185,'251016'!$A$1:$M$200,5,FALSE)</f>
        <v>357</v>
      </c>
      <c r="AU185" s="5">
        <f t="shared" si="172"/>
        <v>11980</v>
      </c>
      <c r="AV185" s="5">
        <f t="shared" si="173"/>
        <v>-15683</v>
      </c>
      <c r="AW185" s="5">
        <f t="shared" si="174"/>
        <v>0</v>
      </c>
      <c r="AX185" s="5">
        <f>VLOOKUP($AF185,'251017'!$A$1:$M$200,4,FALSE)</f>
        <v>151292</v>
      </c>
      <c r="AY185" s="5">
        <f>VLOOKUP($AF185,'251017'!$A$1:$M$200,5,FALSE)</f>
        <v>357</v>
      </c>
      <c r="AZ185" s="5">
        <f t="shared" si="175"/>
        <v>27618</v>
      </c>
      <c r="BA185" s="5">
        <f t="shared" si="176"/>
        <v>15638</v>
      </c>
      <c r="BB185" s="5">
        <f t="shared" si="177"/>
        <v>0</v>
      </c>
      <c r="BC185" s="5">
        <f>VLOOKUP($AF185,'251018'!$A$1:$M$200,4,FALSE)</f>
        <v>184023</v>
      </c>
      <c r="BD185" s="5">
        <f>VLOOKUP($AF185,'251018'!$A$1:$M$200,5,FALSE)</f>
        <v>357</v>
      </c>
      <c r="BE185" s="5">
        <f t="shared" si="178"/>
        <v>32731</v>
      </c>
      <c r="BF185" s="5">
        <f t="shared" si="179"/>
        <v>5113</v>
      </c>
      <c r="BG185" s="5">
        <f t="shared" si="180"/>
        <v>0</v>
      </c>
      <c r="BH185" s="5">
        <f>VLOOKUP($AF185,'251018'!$A$1:$M$200,4,FALSE)</f>
        <v>184023</v>
      </c>
    </row>
    <row r="186" spans="2:60" x14ac:dyDescent="0.3">
      <c r="B186" s="5" t="s">
        <v>896</v>
      </c>
      <c r="C186" s="5">
        <f>VLOOKUP($B186,'251008_0시'!$A$1:$M$200,4,FALSE)</f>
        <v>35397</v>
      </c>
      <c r="D186" s="5">
        <f>VLOOKUP($B186,'251008_0시'!$A$1:$M$200,5,FALSE)</f>
        <v>0</v>
      </c>
      <c r="E186" s="5">
        <f>VLOOKUP($B186,'251009_0시'!$A$1:$M$200,4,FALSE)</f>
        <v>56929</v>
      </c>
      <c r="F186" s="5">
        <f>VLOOKUP($B186,'251009_0시'!$A$1:$M$200,5,FALSE)</f>
        <v>0</v>
      </c>
      <c r="G186" s="5">
        <f t="shared" si="151"/>
        <v>21532</v>
      </c>
      <c r="H186" s="5">
        <f t="shared" si="152"/>
        <v>3833.5</v>
      </c>
      <c r="I186" s="5">
        <f t="shared" si="153"/>
        <v>0</v>
      </c>
      <c r="J186" s="5">
        <f>VLOOKUP($B186,'251010_0시'!$A$1:$M$200,4,FALSE)</f>
        <v>85814</v>
      </c>
      <c r="K186" s="5">
        <f>VLOOKUP($B186,'251010_0시'!$A$1:$M$200,5,FALSE)</f>
        <v>2450</v>
      </c>
      <c r="L186" s="5">
        <f t="shared" si="154"/>
        <v>28885</v>
      </c>
      <c r="M186" s="5">
        <f t="shared" si="155"/>
        <v>7353</v>
      </c>
      <c r="N186" s="5">
        <f t="shared" si="156"/>
        <v>2450</v>
      </c>
      <c r="O186" s="5">
        <f>VLOOKUP($B186,'251011_0시'!$A$1:$M$200,4,FALSE)</f>
        <v>109222</v>
      </c>
      <c r="P186" s="5">
        <f>VLOOKUP($B186,'251011_0시'!$A$1:$M$200,5,FALSE)</f>
        <v>2450</v>
      </c>
      <c r="Q186" s="5">
        <f t="shared" si="157"/>
        <v>23408</v>
      </c>
      <c r="R186" s="5">
        <f t="shared" si="158"/>
        <v>-5477</v>
      </c>
      <c r="S186" s="5">
        <f t="shared" si="159"/>
        <v>0</v>
      </c>
      <c r="T186" s="5">
        <f>VLOOKUP($B186,'251012_0시'!$A$1:$M$200,4,FALSE)</f>
        <v>148274</v>
      </c>
      <c r="U186" s="5">
        <f>VLOOKUP($B186,'251012_0시'!$A$1:$M$200,5,FALSE)</f>
        <v>5769</v>
      </c>
      <c r="V186" s="5">
        <f t="shared" si="160"/>
        <v>39052</v>
      </c>
      <c r="W186" s="5">
        <f t="shared" si="161"/>
        <v>15644</v>
      </c>
      <c r="X186" s="5">
        <f t="shared" si="162"/>
        <v>3319</v>
      </c>
      <c r="Y186" s="5">
        <f>VLOOKUP($B186,'251013_0시'!$A$1:$M$200,4,FALSE)</f>
        <v>184168</v>
      </c>
      <c r="Z186" s="5">
        <f>VLOOKUP($B186,'251013_0시'!$A$1:$M$200,5,FALSE)</f>
        <v>7079</v>
      </c>
      <c r="AA186" s="5">
        <f t="shared" si="163"/>
        <v>35894</v>
      </c>
      <c r="AB186" s="5">
        <f t="shared" si="164"/>
        <v>-3158</v>
      </c>
      <c r="AC186" s="5">
        <f t="shared" si="165"/>
        <v>1310</v>
      </c>
      <c r="AD186" s="5">
        <f>VLOOKUP($B186,'251013_0시'!$A$1:$M$200,4,FALSE)</f>
        <v>184168</v>
      </c>
      <c r="AF186" s="5" t="s">
        <v>894</v>
      </c>
      <c r="AG186" s="5">
        <f>VLOOKUP($AF186,'251013'!$A$1:$M$200,4,FALSE)</f>
        <v>35693</v>
      </c>
      <c r="AH186" s="5">
        <f>VLOOKUP($AF186,'251013'!$A$1:$M$200,5,FALSE)</f>
        <v>0</v>
      </c>
      <c r="AI186" s="5">
        <f>VLOOKUP($AF186,'251014'!$A$1:$M$200,4,FALSE)</f>
        <v>64734</v>
      </c>
      <c r="AJ186" s="5">
        <f>VLOOKUP($AF186,'251014'!$A$1:$M$200,5,FALSE)</f>
        <v>0</v>
      </c>
      <c r="AK186" s="5">
        <f t="shared" si="166"/>
        <v>29041</v>
      </c>
      <c r="AL186" s="5">
        <f t="shared" si="167"/>
        <v>-6652</v>
      </c>
      <c r="AM186" s="5">
        <f t="shared" si="168"/>
        <v>0</v>
      </c>
      <c r="AN186" s="5">
        <f>VLOOKUP($AF186,'251015'!$A$1:$M$200,4,FALSE)</f>
        <v>96942</v>
      </c>
      <c r="AO186" s="5">
        <f>VLOOKUP($AF186,'251015'!$A$1:$M$200,5,FALSE)</f>
        <v>0</v>
      </c>
      <c r="AP186" s="5">
        <f t="shared" si="169"/>
        <v>32208</v>
      </c>
      <c r="AQ186" s="5">
        <f t="shared" si="170"/>
        <v>3167</v>
      </c>
      <c r="AR186" s="5">
        <f t="shared" si="171"/>
        <v>0</v>
      </c>
      <c r="AS186" s="5">
        <f>VLOOKUP($AF186,'251016'!$A$1:$M$200,4,FALSE)</f>
        <v>116616</v>
      </c>
      <c r="AT186" s="5">
        <f>VLOOKUP($AF186,'251016'!$A$1:$M$200,5,FALSE)</f>
        <v>0</v>
      </c>
      <c r="AU186" s="5">
        <f t="shared" si="172"/>
        <v>19674</v>
      </c>
      <c r="AV186" s="5">
        <f t="shared" si="173"/>
        <v>-12534</v>
      </c>
      <c r="AW186" s="5">
        <f t="shared" si="174"/>
        <v>0</v>
      </c>
      <c r="AX186" s="5">
        <f>VLOOKUP($AF186,'251017'!$A$1:$M$200,4,FALSE)</f>
        <v>146025</v>
      </c>
      <c r="AY186" s="5">
        <f>VLOOKUP($AF186,'251017'!$A$1:$M$200,5,FALSE)</f>
        <v>0</v>
      </c>
      <c r="AZ186" s="5">
        <f t="shared" si="175"/>
        <v>29409</v>
      </c>
      <c r="BA186" s="5">
        <f t="shared" si="176"/>
        <v>9735</v>
      </c>
      <c r="BB186" s="5">
        <f t="shared" si="177"/>
        <v>0</v>
      </c>
      <c r="BC186" s="5">
        <f>VLOOKUP($AF186,'251018'!$A$1:$M$200,4,FALSE)</f>
        <v>153431</v>
      </c>
      <c r="BD186" s="5">
        <f>VLOOKUP($AF186,'251018'!$A$1:$M$200,5,FALSE)</f>
        <v>0</v>
      </c>
      <c r="BE186" s="5">
        <f t="shared" si="178"/>
        <v>7406</v>
      </c>
      <c r="BF186" s="5">
        <f t="shared" si="179"/>
        <v>-22003</v>
      </c>
      <c r="BG186" s="5">
        <f t="shared" si="180"/>
        <v>0</v>
      </c>
      <c r="BH186" s="5">
        <f>VLOOKUP($AF186,'251018'!$A$1:$M$200,4,FALSE)</f>
        <v>153431</v>
      </c>
    </row>
    <row r="187" spans="2:60" x14ac:dyDescent="0.3">
      <c r="B187" s="5" t="s">
        <v>889</v>
      </c>
      <c r="C187" s="5">
        <f>VLOOKUP($B187,'251008_0시'!$A$1:$M$200,4,FALSE)</f>
        <v>54768</v>
      </c>
      <c r="D187" s="5">
        <f>VLOOKUP($B187,'251008_0시'!$A$1:$M$200,5,FALSE)</f>
        <v>0</v>
      </c>
      <c r="E187" s="5">
        <f>VLOOKUP($B187,'251009_0시'!$A$1:$M$200,4,FALSE)</f>
        <v>73080</v>
      </c>
      <c r="F187" s="5">
        <f>VLOOKUP($B187,'251009_0시'!$A$1:$M$200,5,FALSE)</f>
        <v>0</v>
      </c>
      <c r="G187" s="5">
        <f t="shared" si="151"/>
        <v>18312</v>
      </c>
      <c r="H187" s="5">
        <f t="shared" si="152"/>
        <v>-9072</v>
      </c>
      <c r="I187" s="5">
        <f t="shared" si="153"/>
        <v>0</v>
      </c>
      <c r="J187" s="5">
        <f>VLOOKUP($B187,'251010_0시'!$A$1:$M$200,4,FALSE)</f>
        <v>106556</v>
      </c>
      <c r="K187" s="5">
        <f>VLOOKUP($B187,'251010_0시'!$A$1:$M$200,5,FALSE)</f>
        <v>0</v>
      </c>
      <c r="L187" s="5">
        <f t="shared" si="154"/>
        <v>33476</v>
      </c>
      <c r="M187" s="5">
        <f t="shared" si="155"/>
        <v>15164</v>
      </c>
      <c r="N187" s="5">
        <f t="shared" si="156"/>
        <v>0</v>
      </c>
      <c r="O187" s="5">
        <f>VLOOKUP($B187,'251011_0시'!$A$1:$M$200,4,FALSE)</f>
        <v>131795</v>
      </c>
      <c r="P187" s="5">
        <f>VLOOKUP($B187,'251011_0시'!$A$1:$M$200,5,FALSE)</f>
        <v>0</v>
      </c>
      <c r="Q187" s="5">
        <f t="shared" si="157"/>
        <v>25239</v>
      </c>
      <c r="R187" s="5">
        <f t="shared" si="158"/>
        <v>-8237</v>
      </c>
      <c r="S187" s="5">
        <f t="shared" si="159"/>
        <v>0</v>
      </c>
      <c r="T187" s="5">
        <f>VLOOKUP($B187,'251012_0시'!$A$1:$M$200,4,FALSE)</f>
        <v>152303</v>
      </c>
      <c r="U187" s="5">
        <f>VLOOKUP($B187,'251012_0시'!$A$1:$M$200,5,FALSE)</f>
        <v>0</v>
      </c>
      <c r="V187" s="5">
        <f t="shared" si="160"/>
        <v>20508</v>
      </c>
      <c r="W187" s="5">
        <f t="shared" si="161"/>
        <v>-4731</v>
      </c>
      <c r="X187" s="5">
        <f t="shared" si="162"/>
        <v>0</v>
      </c>
      <c r="Y187" s="5">
        <f>VLOOKUP($B187,'251013_0시'!$A$1:$M$200,4,FALSE)</f>
        <v>172420</v>
      </c>
      <c r="Z187" s="5">
        <f>VLOOKUP($B187,'251013_0시'!$A$1:$M$200,5,FALSE)</f>
        <v>0</v>
      </c>
      <c r="AA187" s="5">
        <f t="shared" si="163"/>
        <v>20117</v>
      </c>
      <c r="AB187" s="5">
        <f t="shared" si="164"/>
        <v>-391</v>
      </c>
      <c r="AC187" s="5">
        <f t="shared" si="165"/>
        <v>0</v>
      </c>
      <c r="AD187" s="5">
        <f>VLOOKUP($B187,'251013_0시'!$A$1:$M$200,4,FALSE)</f>
        <v>172420</v>
      </c>
      <c r="AF187" s="5" t="s">
        <v>898</v>
      </c>
      <c r="AG187" s="5">
        <f>VLOOKUP($AF187,'251013'!$A$1:$M$200,4,FALSE)</f>
        <v>36851</v>
      </c>
      <c r="AH187" s="5">
        <f>VLOOKUP($AF187,'251013'!$A$1:$M$200,5,FALSE)</f>
        <v>178</v>
      </c>
      <c r="AI187" s="5">
        <f>VLOOKUP($AF187,'251014'!$A$1:$M$200,4,FALSE)</f>
        <v>62019</v>
      </c>
      <c r="AJ187" s="5">
        <f>VLOOKUP($AF187,'251014'!$A$1:$M$200,5,FALSE)</f>
        <v>178</v>
      </c>
      <c r="AK187" s="5">
        <f t="shared" si="166"/>
        <v>25168</v>
      </c>
      <c r="AL187" s="5">
        <f t="shared" si="167"/>
        <v>-11683</v>
      </c>
      <c r="AM187" s="5">
        <f t="shared" si="168"/>
        <v>0</v>
      </c>
      <c r="AN187" s="5">
        <f>VLOOKUP($AF187,'251015'!$A$1:$M$200,4,FALSE)</f>
        <v>86968</v>
      </c>
      <c r="AO187" s="5">
        <f>VLOOKUP($AF187,'251015'!$A$1:$M$200,5,FALSE)</f>
        <v>178</v>
      </c>
      <c r="AP187" s="5">
        <f t="shared" si="169"/>
        <v>24949</v>
      </c>
      <c r="AQ187" s="5">
        <f t="shared" si="170"/>
        <v>-219</v>
      </c>
      <c r="AR187" s="5">
        <f t="shared" si="171"/>
        <v>0</v>
      </c>
      <c r="AS187" s="5">
        <f>VLOOKUP($AF187,'251016'!$A$1:$M$200,4,FALSE)</f>
        <v>105252</v>
      </c>
      <c r="AT187" s="5">
        <f>VLOOKUP($AF187,'251016'!$A$1:$M$200,5,FALSE)</f>
        <v>178</v>
      </c>
      <c r="AU187" s="5">
        <f t="shared" si="172"/>
        <v>18284</v>
      </c>
      <c r="AV187" s="5">
        <f t="shared" si="173"/>
        <v>-6665</v>
      </c>
      <c r="AW187" s="5">
        <f t="shared" si="174"/>
        <v>0</v>
      </c>
      <c r="AX187" s="5">
        <f>VLOOKUP($AF187,'251017'!$A$1:$M$200,4,FALSE)</f>
        <v>117789</v>
      </c>
      <c r="AY187" s="5">
        <f>VLOOKUP($AF187,'251017'!$A$1:$M$200,5,FALSE)</f>
        <v>178</v>
      </c>
      <c r="AZ187" s="5">
        <f t="shared" si="175"/>
        <v>12537</v>
      </c>
      <c r="BA187" s="5">
        <f t="shared" si="176"/>
        <v>-5747</v>
      </c>
      <c r="BB187" s="5">
        <f t="shared" si="177"/>
        <v>0</v>
      </c>
      <c r="BC187" s="5">
        <f>VLOOKUP($AF187,'251018'!$A$1:$M$200,4,FALSE)</f>
        <v>126538</v>
      </c>
      <c r="BD187" s="5">
        <f>VLOOKUP($AF187,'251018'!$A$1:$M$200,5,FALSE)</f>
        <v>178</v>
      </c>
      <c r="BE187" s="5">
        <f t="shared" si="178"/>
        <v>8749</v>
      </c>
      <c r="BF187" s="5">
        <f t="shared" si="179"/>
        <v>-3788</v>
      </c>
      <c r="BG187" s="5">
        <f t="shared" si="180"/>
        <v>0</v>
      </c>
      <c r="BH187" s="5">
        <f>VLOOKUP($AF187,'251018'!$A$1:$M$200,4,FALSE)</f>
        <v>126538</v>
      </c>
    </row>
    <row r="188" spans="2:60" x14ac:dyDescent="0.3">
      <c r="B188" s="5" t="s">
        <v>861</v>
      </c>
      <c r="C188" s="5">
        <f>VLOOKUP($B188,'251008_0시'!$A$1:$M$200,4,FALSE)</f>
        <v>32119</v>
      </c>
      <c r="D188" s="5">
        <f>VLOOKUP($B188,'251008_0시'!$A$1:$M$200,5,FALSE)</f>
        <v>1400</v>
      </c>
      <c r="E188" s="5">
        <f>VLOOKUP($B188,'251009_0시'!$A$1:$M$200,4,FALSE)</f>
        <v>74087</v>
      </c>
      <c r="F188" s="5">
        <f>VLOOKUP($B188,'251009_0시'!$A$1:$M$200,5,FALSE)</f>
        <v>5750</v>
      </c>
      <c r="G188" s="5">
        <f t="shared" si="151"/>
        <v>41968</v>
      </c>
      <c r="H188" s="5">
        <f t="shared" si="152"/>
        <v>25908.5</v>
      </c>
      <c r="I188" s="5">
        <f t="shared" si="153"/>
        <v>4350</v>
      </c>
      <c r="J188" s="5">
        <f>VLOOKUP($B188,'251010_0시'!$A$1:$M$200,4,FALSE)</f>
        <v>125899</v>
      </c>
      <c r="K188" s="5">
        <f>VLOOKUP($B188,'251010_0시'!$A$1:$M$200,5,FALSE)</f>
        <v>6450</v>
      </c>
      <c r="L188" s="5">
        <f t="shared" si="154"/>
        <v>51812</v>
      </c>
      <c r="M188" s="5">
        <f t="shared" si="155"/>
        <v>9844</v>
      </c>
      <c r="N188" s="5">
        <f t="shared" si="156"/>
        <v>700</v>
      </c>
      <c r="O188" s="5">
        <f>VLOOKUP($B188,'251011_0시'!$A$1:$M$200,4,FALSE)</f>
        <v>125899</v>
      </c>
      <c r="P188" s="5">
        <f>VLOOKUP($B188,'251011_0시'!$A$1:$M$200,5,FALSE)</f>
        <v>6450</v>
      </c>
      <c r="Q188" s="5">
        <f t="shared" si="157"/>
        <v>0</v>
      </c>
      <c r="R188" s="5">
        <f t="shared" si="158"/>
        <v>-51812</v>
      </c>
      <c r="S188" s="5">
        <f t="shared" si="159"/>
        <v>0</v>
      </c>
      <c r="T188" s="5">
        <f>VLOOKUP($B188,'251012_0시'!$A$1:$M$200,4,FALSE)</f>
        <v>147807</v>
      </c>
      <c r="U188" s="5">
        <f>VLOOKUP($B188,'251012_0시'!$A$1:$M$200,5,FALSE)</f>
        <v>6450</v>
      </c>
      <c r="V188" s="5">
        <f t="shared" si="160"/>
        <v>21908</v>
      </c>
      <c r="W188" s="5">
        <f t="shared" si="161"/>
        <v>21908</v>
      </c>
      <c r="X188" s="5">
        <f t="shared" si="162"/>
        <v>0</v>
      </c>
      <c r="Y188" s="5">
        <f>VLOOKUP($B188,'251013_0시'!$A$1:$M$200,4,FALSE)</f>
        <v>170144</v>
      </c>
      <c r="Z188" s="5">
        <f>VLOOKUP($B188,'251013_0시'!$A$1:$M$200,5,FALSE)</f>
        <v>7150</v>
      </c>
      <c r="AA188" s="5">
        <f t="shared" si="163"/>
        <v>22337</v>
      </c>
      <c r="AB188" s="5">
        <f t="shared" si="164"/>
        <v>429</v>
      </c>
      <c r="AC188" s="5">
        <f t="shared" si="165"/>
        <v>700</v>
      </c>
      <c r="AD188" s="5">
        <f>VLOOKUP($B188,'251013_0시'!$A$1:$M$200,4,FALSE)</f>
        <v>170144</v>
      </c>
      <c r="AF188" s="5" t="s">
        <v>851</v>
      </c>
      <c r="AG188" s="5">
        <f>VLOOKUP($AF188,'251013'!$A$1:$M$200,4,FALSE)</f>
        <v>15352</v>
      </c>
      <c r="AH188" s="5">
        <f>VLOOKUP($AF188,'251013'!$A$1:$M$200,5,FALSE)</f>
        <v>1350</v>
      </c>
      <c r="AI188" s="5">
        <f>VLOOKUP($AF188,'251014'!$A$1:$M$200,4,FALSE)</f>
        <v>33607</v>
      </c>
      <c r="AJ188" s="5">
        <f>VLOOKUP($AF188,'251014'!$A$1:$M$200,5,FALSE)</f>
        <v>1350</v>
      </c>
      <c r="AK188" s="5">
        <f t="shared" si="166"/>
        <v>18255</v>
      </c>
      <c r="AL188" s="5">
        <f t="shared" si="167"/>
        <v>2903</v>
      </c>
      <c r="AM188" s="5">
        <f t="shared" si="168"/>
        <v>0</v>
      </c>
      <c r="AN188" s="5">
        <f>VLOOKUP($AF188,'251015'!$A$1:$M$200,4,FALSE)</f>
        <v>41781</v>
      </c>
      <c r="AO188" s="5">
        <f>VLOOKUP($AF188,'251015'!$A$1:$M$200,5,FALSE)</f>
        <v>1350</v>
      </c>
      <c r="AP188" s="5">
        <f t="shared" si="169"/>
        <v>8174</v>
      </c>
      <c r="AQ188" s="5">
        <f t="shared" si="170"/>
        <v>-10081</v>
      </c>
      <c r="AR188" s="5">
        <f t="shared" si="171"/>
        <v>0</v>
      </c>
      <c r="AS188" s="5">
        <f>VLOOKUP($AF188,'251016'!$A$1:$M$200,4,FALSE)</f>
        <v>57051</v>
      </c>
      <c r="AT188" s="5">
        <f>VLOOKUP($AF188,'251016'!$A$1:$M$200,5,FALSE)</f>
        <v>1350</v>
      </c>
      <c r="AU188" s="5">
        <f t="shared" si="172"/>
        <v>15270</v>
      </c>
      <c r="AV188" s="5">
        <f t="shared" si="173"/>
        <v>7096</v>
      </c>
      <c r="AW188" s="5">
        <f t="shared" si="174"/>
        <v>0</v>
      </c>
      <c r="AX188" s="5">
        <f>VLOOKUP($AF188,'251017'!$A$1:$M$200,4,FALSE)</f>
        <v>68230</v>
      </c>
      <c r="AY188" s="5">
        <f>VLOOKUP($AF188,'251017'!$A$1:$M$200,5,FALSE)</f>
        <v>1350</v>
      </c>
      <c r="AZ188" s="5">
        <f t="shared" si="175"/>
        <v>11179</v>
      </c>
      <c r="BA188" s="5">
        <f t="shared" si="176"/>
        <v>-4091</v>
      </c>
      <c r="BB188" s="5">
        <f t="shared" si="177"/>
        <v>0</v>
      </c>
      <c r="BC188" s="5">
        <f>VLOOKUP($AF188,'251018'!$A$1:$M$200,4,FALSE)</f>
        <v>68230</v>
      </c>
      <c r="BD188" s="5">
        <f>VLOOKUP($AF188,'251018'!$A$1:$M$200,5,FALSE)</f>
        <v>1350</v>
      </c>
      <c r="BE188" s="5">
        <f t="shared" si="178"/>
        <v>0</v>
      </c>
      <c r="BF188" s="5">
        <f t="shared" si="179"/>
        <v>-11179</v>
      </c>
      <c r="BG188" s="5">
        <f t="shared" si="180"/>
        <v>0</v>
      </c>
      <c r="BH188" s="5">
        <f>VLOOKUP($AF188,'251018'!$A$1:$M$200,4,FALSE)</f>
        <v>68230</v>
      </c>
    </row>
    <row r="189" spans="2:60" x14ac:dyDescent="0.3">
      <c r="B189" s="5" t="s">
        <v>866</v>
      </c>
      <c r="C189" s="5">
        <f>VLOOKUP($B189,'251008_0시'!$A$1:$M$200,4,FALSE)</f>
        <v>61008</v>
      </c>
      <c r="D189" s="5">
        <f>VLOOKUP($B189,'251008_0시'!$A$1:$M$200,5,FALSE)</f>
        <v>350</v>
      </c>
      <c r="E189" s="5">
        <f>VLOOKUP($B189,'251009_0시'!$A$1:$M$200,4,FALSE)</f>
        <v>61008</v>
      </c>
      <c r="F189" s="5">
        <f>VLOOKUP($B189,'251009_0시'!$A$1:$M$200,5,FALSE)</f>
        <v>350</v>
      </c>
      <c r="G189" s="5">
        <f t="shared" si="151"/>
        <v>0</v>
      </c>
      <c r="H189" s="5">
        <f t="shared" si="152"/>
        <v>-30504</v>
      </c>
      <c r="I189" s="5">
        <f t="shared" si="153"/>
        <v>0</v>
      </c>
      <c r="J189" s="5">
        <f>VLOOKUP($B189,'251010_0시'!$A$1:$M$200,4,FALSE)</f>
        <v>86849</v>
      </c>
      <c r="K189" s="5">
        <f>VLOOKUP($B189,'251010_0시'!$A$1:$M$200,5,FALSE)</f>
        <v>350</v>
      </c>
      <c r="L189" s="5">
        <f t="shared" si="154"/>
        <v>25841</v>
      </c>
      <c r="M189" s="5">
        <f t="shared" si="155"/>
        <v>25841</v>
      </c>
      <c r="N189" s="5">
        <f t="shared" si="156"/>
        <v>0</v>
      </c>
      <c r="O189" s="5">
        <f>VLOOKUP($B189,'251011_0시'!$A$1:$M$200,4,FALSE)</f>
        <v>126051</v>
      </c>
      <c r="P189" s="5">
        <f>VLOOKUP($B189,'251011_0시'!$A$1:$M$200,5,FALSE)</f>
        <v>3050</v>
      </c>
      <c r="Q189" s="5">
        <f t="shared" si="157"/>
        <v>39202</v>
      </c>
      <c r="R189" s="5">
        <f t="shared" si="158"/>
        <v>13361</v>
      </c>
      <c r="S189" s="5">
        <f t="shared" si="159"/>
        <v>2700</v>
      </c>
      <c r="T189" s="5">
        <f>VLOOKUP($B189,'251012_0시'!$A$1:$M$200,4,FALSE)</f>
        <v>145315</v>
      </c>
      <c r="U189" s="5">
        <f>VLOOKUP($B189,'251012_0시'!$A$1:$M$200,5,FALSE)</f>
        <v>3050</v>
      </c>
      <c r="V189" s="5">
        <f t="shared" si="160"/>
        <v>19264</v>
      </c>
      <c r="W189" s="5">
        <f t="shared" si="161"/>
        <v>-19938</v>
      </c>
      <c r="X189" s="5">
        <f t="shared" si="162"/>
        <v>0</v>
      </c>
      <c r="Y189" s="5">
        <f>VLOOKUP($B189,'251013_0시'!$A$1:$M$200,4,FALSE)</f>
        <v>164416</v>
      </c>
      <c r="Z189" s="5">
        <f>VLOOKUP($B189,'251013_0시'!$A$1:$M$200,5,FALSE)</f>
        <v>4750</v>
      </c>
      <c r="AA189" s="5">
        <f t="shared" si="163"/>
        <v>19101</v>
      </c>
      <c r="AB189" s="5">
        <f t="shared" si="164"/>
        <v>-163</v>
      </c>
      <c r="AC189" s="5">
        <f t="shared" si="165"/>
        <v>1700</v>
      </c>
      <c r="AD189" s="5">
        <f>VLOOKUP($B189,'251013_0시'!$A$1:$M$200,4,FALSE)</f>
        <v>164416</v>
      </c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</row>
    <row r="190" spans="2:60" x14ac:dyDescent="0.3">
      <c r="B190" s="5" t="s">
        <v>880</v>
      </c>
      <c r="C190" s="5">
        <f>VLOOKUP($B190,'251008_0시'!$A$1:$M$200,4,FALSE)</f>
        <v>50313</v>
      </c>
      <c r="D190" s="5">
        <f>VLOOKUP($B190,'251008_0시'!$A$1:$M$200,5,FALSE)</f>
        <v>900</v>
      </c>
      <c r="E190" s="5">
        <f>VLOOKUP($B190,'251009_0시'!$A$1:$M$200,4,FALSE)</f>
        <v>50313</v>
      </c>
      <c r="F190" s="5">
        <f>VLOOKUP($B190,'251009_0시'!$A$1:$M$200,5,FALSE)</f>
        <v>900</v>
      </c>
      <c r="G190" s="5">
        <f t="shared" si="151"/>
        <v>0</v>
      </c>
      <c r="H190" s="5">
        <f t="shared" si="152"/>
        <v>-25156.5</v>
      </c>
      <c r="I190" s="5">
        <f t="shared" si="153"/>
        <v>0</v>
      </c>
      <c r="J190" s="5">
        <f>VLOOKUP($B190,'251010_0시'!$A$1:$M$200,4,FALSE)</f>
        <v>79310</v>
      </c>
      <c r="K190" s="5">
        <f>VLOOKUP($B190,'251010_0시'!$A$1:$M$200,5,FALSE)</f>
        <v>900</v>
      </c>
      <c r="L190" s="5">
        <f t="shared" si="154"/>
        <v>28997</v>
      </c>
      <c r="M190" s="5">
        <f t="shared" si="155"/>
        <v>28997</v>
      </c>
      <c r="N190" s="5">
        <f t="shared" si="156"/>
        <v>0</v>
      </c>
      <c r="O190" s="5">
        <f>VLOOKUP($B190,'251011_0시'!$A$1:$M$200,4,FALSE)</f>
        <v>133488</v>
      </c>
      <c r="P190" s="5">
        <f>VLOOKUP($B190,'251011_0시'!$A$1:$M$200,5,FALSE)</f>
        <v>900</v>
      </c>
      <c r="Q190" s="5">
        <f t="shared" si="157"/>
        <v>54178</v>
      </c>
      <c r="R190" s="5">
        <f t="shared" si="158"/>
        <v>25181</v>
      </c>
      <c r="S190" s="5">
        <f t="shared" si="159"/>
        <v>0</v>
      </c>
      <c r="T190" s="5">
        <f>VLOOKUP($B190,'251012_0시'!$A$1:$M$200,4,FALSE)</f>
        <v>140158</v>
      </c>
      <c r="U190" s="5">
        <f>VLOOKUP($B190,'251012_0시'!$A$1:$M$200,5,FALSE)</f>
        <v>900</v>
      </c>
      <c r="V190" s="5">
        <f t="shared" si="160"/>
        <v>6670</v>
      </c>
      <c r="W190" s="5">
        <f t="shared" si="161"/>
        <v>-47508</v>
      </c>
      <c r="X190" s="5">
        <f t="shared" si="162"/>
        <v>0</v>
      </c>
      <c r="Y190" s="5">
        <f>VLOOKUP($B190,'251013_0시'!$A$1:$M$200,4,FALSE)</f>
        <v>157851</v>
      </c>
      <c r="Z190" s="5">
        <f>VLOOKUP($B190,'251013_0시'!$A$1:$M$200,5,FALSE)</f>
        <v>900</v>
      </c>
      <c r="AA190" s="5">
        <f t="shared" si="163"/>
        <v>17693</v>
      </c>
      <c r="AB190" s="5">
        <f t="shared" si="164"/>
        <v>11023</v>
      </c>
      <c r="AC190" s="5">
        <f t="shared" si="165"/>
        <v>0</v>
      </c>
      <c r="AD190" s="5">
        <f>VLOOKUP($B190,'251013_0시'!$A$1:$M$200,4,FALSE)</f>
        <v>157851</v>
      </c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</row>
    <row r="191" spans="2:60" x14ac:dyDescent="0.3">
      <c r="B191" s="5" t="s">
        <v>856</v>
      </c>
      <c r="C191" s="5">
        <f>VLOOKUP($B191,'251008_0시'!$A$1:$M$200,4,FALSE)</f>
        <v>0</v>
      </c>
      <c r="D191" s="5">
        <f>VLOOKUP($B191,'251008_0시'!$A$1:$M$200,5,FALSE)</f>
        <v>0</v>
      </c>
      <c r="E191" s="5">
        <f>VLOOKUP($B191,'251009_0시'!$A$1:$M$200,4,FALSE)</f>
        <v>0</v>
      </c>
      <c r="F191" s="5">
        <f>VLOOKUP($B191,'251009_0시'!$A$1:$M$200,5,FALSE)</f>
        <v>0</v>
      </c>
      <c r="G191" s="5">
        <f t="shared" si="151"/>
        <v>0</v>
      </c>
      <c r="H191" s="5">
        <f t="shared" si="152"/>
        <v>0</v>
      </c>
      <c r="I191" s="5">
        <f t="shared" si="153"/>
        <v>0</v>
      </c>
      <c r="J191" s="5">
        <f>VLOOKUP($B191,'251010_0시'!$A$1:$M$200,4,FALSE)</f>
        <v>13637</v>
      </c>
      <c r="K191" s="5">
        <f>VLOOKUP($B191,'251010_0시'!$A$1:$M$200,5,FALSE)</f>
        <v>0</v>
      </c>
      <c r="L191" s="5">
        <f t="shared" si="154"/>
        <v>13637</v>
      </c>
      <c r="M191" s="5">
        <f t="shared" si="155"/>
        <v>13637</v>
      </c>
      <c r="N191" s="5">
        <f t="shared" si="156"/>
        <v>0</v>
      </c>
      <c r="O191" s="5">
        <f>VLOOKUP($B191,'251011_0시'!$A$1:$M$200,4,FALSE)</f>
        <v>74787</v>
      </c>
      <c r="P191" s="5">
        <f>VLOOKUP($B191,'251011_0시'!$A$1:$M$200,5,FALSE)</f>
        <v>0</v>
      </c>
      <c r="Q191" s="5">
        <f t="shared" si="157"/>
        <v>61150</v>
      </c>
      <c r="R191" s="5">
        <f t="shared" si="158"/>
        <v>47513</v>
      </c>
      <c r="S191" s="5">
        <f t="shared" si="159"/>
        <v>0</v>
      </c>
      <c r="T191" s="5">
        <f>VLOOKUP($B191,'251012_0시'!$A$1:$M$200,4,FALSE)</f>
        <v>132965</v>
      </c>
      <c r="U191" s="5">
        <f>VLOOKUP($B191,'251012_0시'!$A$1:$M$200,5,FALSE)</f>
        <v>50</v>
      </c>
      <c r="V191" s="5">
        <f t="shared" si="160"/>
        <v>58178</v>
      </c>
      <c r="W191" s="5">
        <f t="shared" si="161"/>
        <v>-2972</v>
      </c>
      <c r="X191" s="5">
        <f t="shared" si="162"/>
        <v>50</v>
      </c>
      <c r="Y191" s="5">
        <f>VLOOKUP($B191,'251013_0시'!$A$1:$M$200,4,FALSE)</f>
        <v>153429</v>
      </c>
      <c r="Z191" s="5">
        <f>VLOOKUP($B191,'251013_0시'!$A$1:$M$200,5,FALSE)</f>
        <v>50</v>
      </c>
      <c r="AA191" s="5">
        <f t="shared" si="163"/>
        <v>20464</v>
      </c>
      <c r="AB191" s="5">
        <f t="shared" si="164"/>
        <v>-37714</v>
      </c>
      <c r="AC191" s="5">
        <f t="shared" si="165"/>
        <v>0</v>
      </c>
      <c r="AD191" s="5">
        <f>VLOOKUP($B191,'251013_0시'!$A$1:$M$200,4,FALSE)</f>
        <v>153429</v>
      </c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</row>
    <row r="192" spans="2:60" x14ac:dyDescent="0.3">
      <c r="B192" s="5" t="s">
        <v>894</v>
      </c>
      <c r="C192" s="5">
        <f>VLOOKUP($B192,'251008_0시'!$A$1:$M$200,4,FALSE)</f>
        <v>13940</v>
      </c>
      <c r="D192" s="5">
        <f>VLOOKUP($B192,'251008_0시'!$A$1:$M$200,5,FALSE)</f>
        <v>350</v>
      </c>
      <c r="E192" s="5">
        <f>VLOOKUP($B192,'251009_0시'!$A$1:$M$200,4,FALSE)</f>
        <v>13940</v>
      </c>
      <c r="F192" s="5">
        <f>VLOOKUP($B192,'251009_0시'!$A$1:$M$200,5,FALSE)</f>
        <v>350</v>
      </c>
      <c r="G192" s="5">
        <f t="shared" si="151"/>
        <v>0</v>
      </c>
      <c r="H192" s="5">
        <f t="shared" si="152"/>
        <v>-6970</v>
      </c>
      <c r="I192" s="5">
        <f t="shared" si="153"/>
        <v>0</v>
      </c>
      <c r="J192" s="5">
        <f>VLOOKUP($B192,'251010_0시'!$A$1:$M$200,4,FALSE)</f>
        <v>41580</v>
      </c>
      <c r="K192" s="5">
        <f>VLOOKUP($B192,'251010_0시'!$A$1:$M$200,5,FALSE)</f>
        <v>350</v>
      </c>
      <c r="L192" s="5">
        <f t="shared" si="154"/>
        <v>27640</v>
      </c>
      <c r="M192" s="5">
        <f t="shared" si="155"/>
        <v>27640</v>
      </c>
      <c r="N192" s="5">
        <f t="shared" si="156"/>
        <v>0</v>
      </c>
      <c r="O192" s="5">
        <f>VLOOKUP($B192,'251011_0시'!$A$1:$M$200,4,FALSE)</f>
        <v>64113</v>
      </c>
      <c r="P192" s="5">
        <f>VLOOKUP($B192,'251011_0시'!$A$1:$M$200,5,FALSE)</f>
        <v>350</v>
      </c>
      <c r="Q192" s="5">
        <f t="shared" si="157"/>
        <v>22533</v>
      </c>
      <c r="R192" s="5">
        <f t="shared" si="158"/>
        <v>-5107</v>
      </c>
      <c r="S192" s="5">
        <f t="shared" si="159"/>
        <v>0</v>
      </c>
      <c r="T192" s="5">
        <f>VLOOKUP($B192,'251012_0시'!$A$1:$M$200,4,FALSE)</f>
        <v>105489</v>
      </c>
      <c r="U192" s="5">
        <f>VLOOKUP($B192,'251012_0시'!$A$1:$M$200,5,FALSE)</f>
        <v>350</v>
      </c>
      <c r="V192" s="5">
        <f t="shared" si="160"/>
        <v>41376</v>
      </c>
      <c r="W192" s="5">
        <f t="shared" si="161"/>
        <v>18843</v>
      </c>
      <c r="X192" s="5">
        <f t="shared" si="162"/>
        <v>0</v>
      </c>
      <c r="Y192" s="5">
        <f>VLOOKUP($B192,'251013_0시'!$A$1:$M$200,4,FALSE)</f>
        <v>130859</v>
      </c>
      <c r="Z192" s="5">
        <f>VLOOKUP($B192,'251013_0시'!$A$1:$M$200,5,FALSE)</f>
        <v>350</v>
      </c>
      <c r="AA192" s="5">
        <f t="shared" si="163"/>
        <v>25370</v>
      </c>
      <c r="AB192" s="5">
        <f t="shared" si="164"/>
        <v>-16006</v>
      </c>
      <c r="AC192" s="5">
        <f t="shared" si="165"/>
        <v>0</v>
      </c>
      <c r="AD192" s="5">
        <f>VLOOKUP($B192,'251013_0시'!$A$1:$M$200,4,FALSE)</f>
        <v>130859</v>
      </c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</row>
    <row r="193" spans="2:60" x14ac:dyDescent="0.3">
      <c r="B193" s="5" t="s">
        <v>898</v>
      </c>
      <c r="C193" s="5">
        <f>VLOOKUP($B193,'251008_0시'!$A$1:$M$200,4,FALSE)</f>
        <v>29959</v>
      </c>
      <c r="D193" s="5">
        <f>VLOOKUP($B193,'251008_0시'!$A$1:$M$200,5,FALSE)</f>
        <v>350</v>
      </c>
      <c r="E193" s="5">
        <f>VLOOKUP($B193,'251009_0시'!$A$1:$M$200,4,FALSE)</f>
        <v>48433</v>
      </c>
      <c r="F193" s="5">
        <f>VLOOKUP($B193,'251009_0시'!$A$1:$M$200,5,FALSE)</f>
        <v>350</v>
      </c>
      <c r="G193" s="5">
        <f t="shared" si="151"/>
        <v>18474</v>
      </c>
      <c r="H193" s="5">
        <f t="shared" si="152"/>
        <v>3494.5</v>
      </c>
      <c r="I193" s="5">
        <f t="shared" si="153"/>
        <v>0</v>
      </c>
      <c r="J193" s="5">
        <f>VLOOKUP($B193,'251010_0시'!$A$1:$M$200,4,FALSE)</f>
        <v>65650</v>
      </c>
      <c r="K193" s="5">
        <f>VLOOKUP($B193,'251010_0시'!$A$1:$M$200,5,FALSE)</f>
        <v>350</v>
      </c>
      <c r="L193" s="5">
        <f t="shared" si="154"/>
        <v>17217</v>
      </c>
      <c r="M193" s="5">
        <f t="shared" si="155"/>
        <v>-1257</v>
      </c>
      <c r="N193" s="5">
        <f t="shared" si="156"/>
        <v>0</v>
      </c>
      <c r="O193" s="5">
        <f>VLOOKUP($B193,'251011_0시'!$A$1:$M$200,4,FALSE)</f>
        <v>71764</v>
      </c>
      <c r="P193" s="5">
        <f>VLOOKUP($B193,'251011_0시'!$A$1:$M$200,5,FALSE)</f>
        <v>350</v>
      </c>
      <c r="Q193" s="5">
        <f t="shared" si="157"/>
        <v>6114</v>
      </c>
      <c r="R193" s="5">
        <f t="shared" si="158"/>
        <v>-11103</v>
      </c>
      <c r="S193" s="5">
        <f t="shared" si="159"/>
        <v>0</v>
      </c>
      <c r="T193" s="5">
        <f>VLOOKUP($B193,'251012_0시'!$A$1:$M$200,4,FALSE)</f>
        <v>97285</v>
      </c>
      <c r="U193" s="5">
        <f>VLOOKUP($B193,'251012_0시'!$A$1:$M$200,5,FALSE)</f>
        <v>350</v>
      </c>
      <c r="V193" s="5">
        <f t="shared" si="160"/>
        <v>25521</v>
      </c>
      <c r="W193" s="5">
        <f t="shared" si="161"/>
        <v>19407</v>
      </c>
      <c r="X193" s="5">
        <f t="shared" si="162"/>
        <v>0</v>
      </c>
      <c r="Y193" s="5">
        <f>VLOOKUP($B193,'251013_0시'!$A$1:$M$200,4,FALSE)</f>
        <v>119442</v>
      </c>
      <c r="Z193" s="5">
        <f>VLOOKUP($B193,'251013_0시'!$A$1:$M$200,5,FALSE)</f>
        <v>350</v>
      </c>
      <c r="AA193" s="5">
        <f t="shared" si="163"/>
        <v>22157</v>
      </c>
      <c r="AB193" s="5">
        <f t="shared" si="164"/>
        <v>-3364</v>
      </c>
      <c r="AC193" s="5">
        <f t="shared" si="165"/>
        <v>0</v>
      </c>
      <c r="AD193" s="5">
        <f>VLOOKUP($B193,'251013_0시'!$A$1:$M$200,4,FALSE)</f>
        <v>119442</v>
      </c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</row>
    <row r="194" spans="2:60" x14ac:dyDescent="0.3">
      <c r="B194" s="5" t="s">
        <v>895</v>
      </c>
      <c r="C194" s="5">
        <f>VLOOKUP($B194,'251008_0시'!$A$1:$M$200,4,FALSE)</f>
        <v>4437</v>
      </c>
      <c r="D194" s="5">
        <f>VLOOKUP($B194,'251008_0시'!$A$1:$M$200,5,FALSE)</f>
        <v>0</v>
      </c>
      <c r="E194" s="5">
        <f>VLOOKUP($B194,'251009_0시'!$A$1:$M$200,4,FALSE)</f>
        <v>19100</v>
      </c>
      <c r="F194" s="5">
        <f>VLOOKUP($B194,'251009_0시'!$A$1:$M$200,5,FALSE)</f>
        <v>350</v>
      </c>
      <c r="G194" s="5">
        <f t="shared" si="151"/>
        <v>14663</v>
      </c>
      <c r="H194" s="5">
        <f t="shared" si="152"/>
        <v>12444.5</v>
      </c>
      <c r="I194" s="5">
        <f t="shared" si="153"/>
        <v>350</v>
      </c>
      <c r="J194" s="5">
        <f>VLOOKUP($B194,'251010_0시'!$A$1:$M$200,4,FALSE)</f>
        <v>39364</v>
      </c>
      <c r="K194" s="5">
        <f>VLOOKUP($B194,'251010_0시'!$A$1:$M$200,5,FALSE)</f>
        <v>350</v>
      </c>
      <c r="L194" s="5">
        <f t="shared" si="154"/>
        <v>20264</v>
      </c>
      <c r="M194" s="5">
        <f t="shared" si="155"/>
        <v>5601</v>
      </c>
      <c r="N194" s="5">
        <f t="shared" si="156"/>
        <v>0</v>
      </c>
      <c r="O194" s="5">
        <f>VLOOKUP($B194,'251011_0시'!$A$1:$M$200,4,FALSE)</f>
        <v>50722</v>
      </c>
      <c r="P194" s="5">
        <f>VLOOKUP($B194,'251011_0시'!$A$1:$M$200,5,FALSE)</f>
        <v>350</v>
      </c>
      <c r="Q194" s="5">
        <f t="shared" si="157"/>
        <v>11358</v>
      </c>
      <c r="R194" s="5">
        <f t="shared" si="158"/>
        <v>-8906</v>
      </c>
      <c r="S194" s="5">
        <f t="shared" si="159"/>
        <v>0</v>
      </c>
      <c r="T194" s="5">
        <f>VLOOKUP($B194,'251012_0시'!$A$1:$M$200,4,FALSE)</f>
        <v>91832</v>
      </c>
      <c r="U194" s="5">
        <f>VLOOKUP($B194,'251012_0시'!$A$1:$M$200,5,FALSE)</f>
        <v>350</v>
      </c>
      <c r="V194" s="5">
        <f t="shared" si="160"/>
        <v>41110</v>
      </c>
      <c r="W194" s="5">
        <f t="shared" si="161"/>
        <v>29752</v>
      </c>
      <c r="X194" s="5">
        <f t="shared" si="162"/>
        <v>0</v>
      </c>
      <c r="Y194" s="5">
        <f>VLOOKUP($B194,'251013_0시'!$A$1:$M$200,4,FALSE)</f>
        <v>101867</v>
      </c>
      <c r="Z194" s="5">
        <f>VLOOKUP($B194,'251013_0시'!$A$1:$M$200,5,FALSE)</f>
        <v>700</v>
      </c>
      <c r="AA194" s="5">
        <f t="shared" si="163"/>
        <v>10035</v>
      </c>
      <c r="AB194" s="5">
        <f t="shared" si="164"/>
        <v>-31075</v>
      </c>
      <c r="AC194" s="5">
        <f t="shared" si="165"/>
        <v>350</v>
      </c>
      <c r="AD194" s="5">
        <f>VLOOKUP($B194,'251013_0시'!$A$1:$M$200,4,FALSE)</f>
        <v>101867</v>
      </c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</row>
    <row r="195" spans="2:60" x14ac:dyDescent="0.3">
      <c r="B195" s="5" t="s">
        <v>892</v>
      </c>
      <c r="C195" s="5">
        <f>VLOOKUP($B195,'251008_0시'!$A$1:$M$200,4,FALSE)</f>
        <v>22971</v>
      </c>
      <c r="D195" s="5">
        <f>VLOOKUP($B195,'251008_0시'!$A$1:$M$200,5,FALSE)</f>
        <v>0</v>
      </c>
      <c r="E195" s="5">
        <f>VLOOKUP($B195,'251009_0시'!$A$1:$M$200,4,FALSE)</f>
        <v>36807</v>
      </c>
      <c r="F195" s="5">
        <f>VLOOKUP($B195,'251009_0시'!$A$1:$M$200,5,FALSE)</f>
        <v>0</v>
      </c>
      <c r="G195" s="5">
        <f t="shared" si="151"/>
        <v>13836</v>
      </c>
      <c r="H195" s="5">
        <f t="shared" si="152"/>
        <v>2350.5</v>
      </c>
      <c r="I195" s="5">
        <f t="shared" si="153"/>
        <v>0</v>
      </c>
      <c r="J195" s="5">
        <f>VLOOKUP($B195,'251010_0시'!$A$1:$M$200,4,FALSE)</f>
        <v>71157</v>
      </c>
      <c r="K195" s="5">
        <f>VLOOKUP($B195,'251010_0시'!$A$1:$M$200,5,FALSE)</f>
        <v>0</v>
      </c>
      <c r="L195" s="5">
        <f t="shared" si="154"/>
        <v>34350</v>
      </c>
      <c r="M195" s="5">
        <f t="shared" si="155"/>
        <v>20514</v>
      </c>
      <c r="N195" s="5">
        <f t="shared" si="156"/>
        <v>0</v>
      </c>
      <c r="O195" s="5">
        <f>VLOOKUP($B195,'251011_0시'!$A$1:$M$200,4,FALSE)</f>
        <v>87733</v>
      </c>
      <c r="P195" s="5">
        <f>VLOOKUP($B195,'251011_0시'!$A$1:$M$200,5,FALSE)</f>
        <v>0</v>
      </c>
      <c r="Q195" s="5">
        <f t="shared" si="157"/>
        <v>16576</v>
      </c>
      <c r="R195" s="5">
        <f t="shared" si="158"/>
        <v>-17774</v>
      </c>
      <c r="S195" s="5">
        <f t="shared" si="159"/>
        <v>0</v>
      </c>
      <c r="T195" s="5">
        <f>VLOOKUP($B195,'251012_0시'!$A$1:$M$200,4,FALSE)</f>
        <v>97915</v>
      </c>
      <c r="U195" s="5">
        <f>VLOOKUP($B195,'251012_0시'!$A$1:$M$200,5,FALSE)</f>
        <v>0</v>
      </c>
      <c r="V195" s="5">
        <f t="shared" si="160"/>
        <v>10182</v>
      </c>
      <c r="W195" s="5">
        <f t="shared" si="161"/>
        <v>-6394</v>
      </c>
      <c r="X195" s="5">
        <f t="shared" si="162"/>
        <v>0</v>
      </c>
      <c r="Y195" s="5">
        <f>VLOOKUP($B195,'251013_0시'!$A$1:$M$200,4,FALSE)</f>
        <v>100653</v>
      </c>
      <c r="Z195" s="5">
        <f>VLOOKUP($B195,'251013_0시'!$A$1:$M$200,5,FALSE)</f>
        <v>0</v>
      </c>
      <c r="AA195" s="5">
        <f t="shared" si="163"/>
        <v>2738</v>
      </c>
      <c r="AB195" s="5">
        <f t="shared" si="164"/>
        <v>-7444</v>
      </c>
      <c r="AC195" s="5">
        <f t="shared" si="165"/>
        <v>0</v>
      </c>
      <c r="AD195" s="5">
        <f>VLOOKUP($B195,'251013_0시'!$A$1:$M$200,4,FALSE)</f>
        <v>100653</v>
      </c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</row>
    <row r="196" spans="2:60" x14ac:dyDescent="0.3">
      <c r="B196" s="5" t="s">
        <v>900</v>
      </c>
      <c r="C196" s="5">
        <f>VLOOKUP($B196,'251008_0시'!$A$1:$M$200,4,FALSE)</f>
        <v>21938</v>
      </c>
      <c r="D196" s="5">
        <f>VLOOKUP($B196,'251008_0시'!$A$1:$M$200,5,FALSE)</f>
        <v>3050</v>
      </c>
      <c r="E196" s="5">
        <f>VLOOKUP($B196,'251009_0시'!$A$1:$M$200,4,FALSE)</f>
        <v>41369</v>
      </c>
      <c r="F196" s="5">
        <f>VLOOKUP($B196,'251009_0시'!$A$1:$M$200,5,FALSE)</f>
        <v>3950</v>
      </c>
      <c r="G196" s="5">
        <f t="shared" si="151"/>
        <v>19431</v>
      </c>
      <c r="H196" s="5">
        <f t="shared" ref="H196:H198" si="181">G196-(C196/2)</f>
        <v>8462</v>
      </c>
      <c r="I196" s="5">
        <f t="shared" si="153"/>
        <v>900</v>
      </c>
      <c r="J196" s="5">
        <f>VLOOKUP($B196,'251010_0시'!$A$1:$M$200,4,FALSE)</f>
        <v>55014</v>
      </c>
      <c r="K196" s="5">
        <f>VLOOKUP($B196,'251010_0시'!$A$1:$M$200,5,FALSE)</f>
        <v>3950</v>
      </c>
      <c r="L196" s="5">
        <f t="shared" si="154"/>
        <v>13645</v>
      </c>
      <c r="M196" s="5">
        <f t="shared" ref="M196:M198" si="182">L196-G196</f>
        <v>-5786</v>
      </c>
      <c r="N196" s="5">
        <f t="shared" si="156"/>
        <v>0</v>
      </c>
      <c r="O196" s="5">
        <f>VLOOKUP($B196,'251011_0시'!$A$1:$M$200,4,FALSE)</f>
        <v>58889</v>
      </c>
      <c r="P196" s="5">
        <f>VLOOKUP($B196,'251011_0시'!$A$1:$M$200,5,FALSE)</f>
        <v>3950</v>
      </c>
      <c r="Q196" s="5">
        <f t="shared" si="157"/>
        <v>3875</v>
      </c>
      <c r="R196" s="5">
        <f t="shared" ref="R196:R198" si="183">Q196-L196</f>
        <v>-9770</v>
      </c>
      <c r="S196" s="5">
        <f t="shared" si="159"/>
        <v>0</v>
      </c>
      <c r="T196" s="5">
        <f>VLOOKUP($B196,'251012_0시'!$A$1:$M$200,4,FALSE)</f>
        <v>72171</v>
      </c>
      <c r="U196" s="5">
        <f>VLOOKUP($B196,'251012_0시'!$A$1:$M$200,5,FALSE)</f>
        <v>4850</v>
      </c>
      <c r="V196" s="5">
        <f t="shared" si="160"/>
        <v>13282</v>
      </c>
      <c r="W196" s="5">
        <f t="shared" ref="W196:W198" si="184">V196-Q196</f>
        <v>9407</v>
      </c>
      <c r="X196" s="5">
        <f t="shared" si="162"/>
        <v>900</v>
      </c>
      <c r="Y196" s="5">
        <f>VLOOKUP($B196,'251013_0시'!$A$1:$M$200,4,FALSE)</f>
        <v>83377</v>
      </c>
      <c r="Z196" s="5">
        <f>VLOOKUP($B196,'251013_0시'!$A$1:$M$200,5,FALSE)</f>
        <v>5750</v>
      </c>
      <c r="AA196" s="5">
        <f t="shared" si="163"/>
        <v>11206</v>
      </c>
      <c r="AB196" s="5">
        <f t="shared" ref="AB196:AB198" si="185">AA196-V196</f>
        <v>-2076</v>
      </c>
      <c r="AC196" s="5">
        <f t="shared" si="165"/>
        <v>900</v>
      </c>
      <c r="AD196" s="5">
        <f>VLOOKUP($B196,'251013_0시'!$A$1:$M$200,4,FALSE)</f>
        <v>83377</v>
      </c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</row>
    <row r="197" spans="2:60" x14ac:dyDescent="0.3">
      <c r="B197" s="5" t="s">
        <v>893</v>
      </c>
      <c r="C197" s="5">
        <f>VLOOKUP($B197,'251008_0시'!$A$1:$M$200,4,FALSE)</f>
        <v>14294</v>
      </c>
      <c r="D197" s="5">
        <f>VLOOKUP($B197,'251008_0시'!$A$1:$M$200,5,FALSE)</f>
        <v>0</v>
      </c>
      <c r="E197" s="5">
        <f>VLOOKUP($B197,'251009_0시'!$A$1:$M$200,4,FALSE)</f>
        <v>24637</v>
      </c>
      <c r="F197" s="5">
        <f>VLOOKUP($B197,'251009_0시'!$A$1:$M$200,5,FALSE)</f>
        <v>0</v>
      </c>
      <c r="G197" s="5">
        <f t="shared" si="151"/>
        <v>10343</v>
      </c>
      <c r="H197" s="5">
        <f t="shared" si="181"/>
        <v>3196</v>
      </c>
      <c r="I197" s="5">
        <f t="shared" si="153"/>
        <v>0</v>
      </c>
      <c r="J197" s="5">
        <f>VLOOKUP($B197,'251010_0시'!$A$1:$M$200,4,FALSE)</f>
        <v>39070</v>
      </c>
      <c r="K197" s="5">
        <f>VLOOKUP($B197,'251010_0시'!$A$1:$M$200,5,FALSE)</f>
        <v>358</v>
      </c>
      <c r="L197" s="5">
        <f t="shared" si="154"/>
        <v>14433</v>
      </c>
      <c r="M197" s="5">
        <f t="shared" si="182"/>
        <v>4090</v>
      </c>
      <c r="N197" s="5">
        <f t="shared" si="156"/>
        <v>358</v>
      </c>
      <c r="O197" s="5">
        <f>VLOOKUP($B197,'251011_0시'!$A$1:$M$200,4,FALSE)</f>
        <v>39275</v>
      </c>
      <c r="P197" s="5">
        <f>VLOOKUP($B197,'251011_0시'!$A$1:$M$200,5,FALSE)</f>
        <v>358</v>
      </c>
      <c r="Q197" s="5">
        <f t="shared" si="157"/>
        <v>205</v>
      </c>
      <c r="R197" s="5">
        <f t="shared" si="183"/>
        <v>-14228</v>
      </c>
      <c r="S197" s="5">
        <f t="shared" si="159"/>
        <v>0</v>
      </c>
      <c r="T197" s="5">
        <f>VLOOKUP($B197,'251012_0시'!$A$1:$M$200,4,FALSE)</f>
        <v>43274</v>
      </c>
      <c r="U197" s="5">
        <f>VLOOKUP($B197,'251012_0시'!$A$1:$M$200,5,FALSE)</f>
        <v>358</v>
      </c>
      <c r="V197" s="5">
        <f t="shared" si="160"/>
        <v>3999</v>
      </c>
      <c r="W197" s="5">
        <f t="shared" si="184"/>
        <v>3794</v>
      </c>
      <c r="X197" s="5">
        <f t="shared" si="162"/>
        <v>0</v>
      </c>
      <c r="Y197" s="5">
        <f>VLOOKUP($B197,'251013_0시'!$A$1:$M$200,4,FALSE)</f>
        <v>50674</v>
      </c>
      <c r="Z197" s="5">
        <f>VLOOKUP($B197,'251013_0시'!$A$1:$M$200,5,FALSE)</f>
        <v>358</v>
      </c>
      <c r="AA197" s="5">
        <f t="shared" si="163"/>
        <v>7400</v>
      </c>
      <c r="AB197" s="5">
        <f t="shared" si="185"/>
        <v>3401</v>
      </c>
      <c r="AC197" s="5">
        <f t="shared" si="165"/>
        <v>0</v>
      </c>
      <c r="AD197" s="5">
        <f>VLOOKUP($B197,'251013_0시'!$A$1:$M$200,4,FALSE)</f>
        <v>50674</v>
      </c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</row>
    <row r="198" spans="2:60" x14ac:dyDescent="0.3">
      <c r="B198" s="5" t="s">
        <v>901</v>
      </c>
      <c r="C198" s="5">
        <f>VLOOKUP($B198,'251008_0시'!$A$1:$M$200,4,FALSE)</f>
        <v>4654</v>
      </c>
      <c r="D198" s="5">
        <f>VLOOKUP($B198,'251008_0시'!$A$1:$M$200,5,FALSE)</f>
        <v>0</v>
      </c>
      <c r="E198" s="5">
        <f>VLOOKUP($B198,'251009_0시'!$A$1:$M$200,4,FALSE)</f>
        <v>4654</v>
      </c>
      <c r="F198" s="5">
        <f>VLOOKUP($B198,'251009_0시'!$A$1:$M$200,5,FALSE)</f>
        <v>0</v>
      </c>
      <c r="G198" s="5">
        <f t="shared" si="151"/>
        <v>0</v>
      </c>
      <c r="H198" s="5">
        <f t="shared" si="181"/>
        <v>-2327</v>
      </c>
      <c r="I198" s="5">
        <f t="shared" si="153"/>
        <v>0</v>
      </c>
      <c r="J198" s="5">
        <f>VLOOKUP($B198,'251010_0시'!$A$1:$M$200,4,FALSE)</f>
        <v>4654</v>
      </c>
      <c r="K198" s="5">
        <f>VLOOKUP($B198,'251010_0시'!$A$1:$M$200,5,FALSE)</f>
        <v>0</v>
      </c>
      <c r="L198" s="5">
        <f t="shared" si="154"/>
        <v>0</v>
      </c>
      <c r="M198" s="5">
        <f t="shared" si="182"/>
        <v>0</v>
      </c>
      <c r="N198" s="5">
        <f t="shared" si="156"/>
        <v>0</v>
      </c>
      <c r="O198" s="5">
        <f>VLOOKUP($B198,'251011_0시'!$A$1:$M$200,4,FALSE)</f>
        <v>4654</v>
      </c>
      <c r="P198" s="5">
        <f>VLOOKUP($B198,'251011_0시'!$A$1:$M$200,5,FALSE)</f>
        <v>0</v>
      </c>
      <c r="Q198" s="5">
        <f t="shared" si="157"/>
        <v>0</v>
      </c>
      <c r="R198" s="5">
        <f t="shared" si="183"/>
        <v>0</v>
      </c>
      <c r="S198" s="5">
        <f t="shared" si="159"/>
        <v>0</v>
      </c>
      <c r="T198" s="5">
        <f>VLOOKUP($B198,'251012_0시'!$A$1:$M$200,4,FALSE)</f>
        <v>23730</v>
      </c>
      <c r="U198" s="5">
        <f>VLOOKUP($B198,'251012_0시'!$A$1:$M$200,5,FALSE)</f>
        <v>0</v>
      </c>
      <c r="V198" s="5">
        <f t="shared" si="160"/>
        <v>19076</v>
      </c>
      <c r="W198" s="5">
        <f t="shared" si="184"/>
        <v>19076</v>
      </c>
      <c r="X198" s="5">
        <f t="shared" si="162"/>
        <v>0</v>
      </c>
      <c r="Y198" s="5">
        <f>VLOOKUP($B198,'251013_0시'!$A$1:$M$200,4,FALSE)</f>
        <v>37597</v>
      </c>
      <c r="Z198" s="5">
        <f>VLOOKUP($B198,'251013_0시'!$A$1:$M$200,5,FALSE)</f>
        <v>0</v>
      </c>
      <c r="AA198" s="5">
        <f t="shared" si="163"/>
        <v>13867</v>
      </c>
      <c r="AB198" s="5">
        <f t="shared" si="185"/>
        <v>-5209</v>
      </c>
      <c r="AC198" s="5">
        <f t="shared" si="165"/>
        <v>0</v>
      </c>
      <c r="AD198" s="5">
        <f>VLOOKUP($B198,'251013_0시'!$A$1:$M$200,4,FALSE)</f>
        <v>37597</v>
      </c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</row>
    <row r="199" spans="2:60" x14ac:dyDescent="0.3">
      <c r="B199" s="5" t="s">
        <v>891</v>
      </c>
      <c r="C199" s="5">
        <f>VLOOKUP($B199,'251008_0시'!$A$1:$M$200,4,FALSE)</f>
        <v>95032</v>
      </c>
      <c r="D199" s="5">
        <f>VLOOKUP($B199,'251008_0시'!$A$1:$M$200,5,FALSE)</f>
        <v>50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f t="shared" si="156"/>
        <v>0</v>
      </c>
      <c r="O199" s="5">
        <v>0</v>
      </c>
      <c r="P199" s="5">
        <v>0</v>
      </c>
      <c r="Q199" s="5">
        <v>0</v>
      </c>
      <c r="R199" s="5">
        <v>0</v>
      </c>
      <c r="S199" s="5">
        <f t="shared" si="159"/>
        <v>0</v>
      </c>
      <c r="T199" s="5">
        <f>VLOOKUP($B199,'251012_0시'!$A$1:$M$200,4,FALSE)</f>
        <v>138632</v>
      </c>
      <c r="U199" s="5">
        <f>VLOOKUP($B199,'251012_0시'!$A$1:$M$200,5,FALSE)</f>
        <v>18477</v>
      </c>
      <c r="V199" s="5">
        <v>0</v>
      </c>
      <c r="W199" s="5">
        <v>0</v>
      </c>
      <c r="X199" s="5">
        <f t="shared" si="162"/>
        <v>18477</v>
      </c>
      <c r="Y199" s="5" t="e">
        <f>VLOOKUP($B199,'251013_0시'!$A$1:$M$200,4,FALSE)</f>
        <v>#N/A</v>
      </c>
      <c r="Z199" s="5" t="e">
        <f>VLOOKUP($B199,'251013_0시'!$A$1:$M$200,5,FALSE)</f>
        <v>#N/A</v>
      </c>
      <c r="AA199" s="5">
        <v>0</v>
      </c>
      <c r="AB199" s="5">
        <v>0</v>
      </c>
      <c r="AC199" s="5" t="e">
        <f t="shared" si="165"/>
        <v>#N/A</v>
      </c>
      <c r="AD199" s="5">
        <v>0</v>
      </c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</row>
    <row r="200" spans="2:60" x14ac:dyDescent="0.3">
      <c r="B200" s="5" t="s">
        <v>897</v>
      </c>
      <c r="C200" s="5">
        <f>VLOOKUP($B200,'251008_0시'!$A$1:$M$200,4,FALSE)</f>
        <v>0</v>
      </c>
      <c r="D200" s="5">
        <f>VLOOKUP($B200,'251008_0시'!$A$1:$M$200,5,FALSE)</f>
        <v>0</v>
      </c>
      <c r="E200" s="5">
        <f>VLOOKUP($B200,'251009_0시'!$A$1:$M$200,4,FALSE)</f>
        <v>0</v>
      </c>
      <c r="F200" s="5">
        <f>VLOOKUP($B200,'251009_0시'!$A$1:$M$200,5,FALSE)</f>
        <v>0</v>
      </c>
      <c r="G200" s="5">
        <f>E200-C200</f>
        <v>0</v>
      </c>
      <c r="H200" s="5">
        <f>G200-(C200/2)</f>
        <v>0</v>
      </c>
      <c r="I200" s="5">
        <f>F200-D200</f>
        <v>0</v>
      </c>
      <c r="J200" s="5">
        <v>0</v>
      </c>
      <c r="K200" s="5">
        <v>0</v>
      </c>
      <c r="L200" s="5">
        <v>0</v>
      </c>
      <c r="M200" s="5">
        <v>0</v>
      </c>
      <c r="N200" s="5">
        <f t="shared" si="156"/>
        <v>0</v>
      </c>
      <c r="O200" s="5">
        <v>0</v>
      </c>
      <c r="P200" s="5">
        <v>0</v>
      </c>
      <c r="Q200" s="5">
        <v>0</v>
      </c>
      <c r="R200" s="5">
        <v>0</v>
      </c>
      <c r="S200" s="5">
        <f t="shared" si="159"/>
        <v>0</v>
      </c>
      <c r="T200" s="5">
        <f>VLOOKUP($B200,'251012_0시'!$A$1:$M$200,4,FALSE)</f>
        <v>0</v>
      </c>
      <c r="U200" s="5">
        <f>VLOOKUP($B200,'251012_0시'!$A$1:$M$200,5,FALSE)</f>
        <v>0</v>
      </c>
      <c r="V200" s="5">
        <v>0</v>
      </c>
      <c r="W200" s="5">
        <v>0</v>
      </c>
      <c r="X200" s="5">
        <f t="shared" si="162"/>
        <v>0</v>
      </c>
      <c r="Y200" s="5">
        <f>VLOOKUP($B200,'251013_0시'!$A$1:$M$200,4,FALSE)</f>
        <v>7224</v>
      </c>
      <c r="Z200" s="5">
        <f>VLOOKUP($B200,'251013_0시'!$A$1:$M$200,5,FALSE)</f>
        <v>0</v>
      </c>
      <c r="AA200" s="5">
        <v>0</v>
      </c>
      <c r="AB200" s="5">
        <v>0</v>
      </c>
      <c r="AC200" s="5">
        <f t="shared" si="165"/>
        <v>0</v>
      </c>
      <c r="AD200" s="5">
        <v>0</v>
      </c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</row>
    <row r="201" spans="2:60" x14ac:dyDescent="0.3">
      <c r="T201" t="s">
        <v>988</v>
      </c>
      <c r="Y201" t="s">
        <v>988</v>
      </c>
    </row>
    <row r="202" spans="2:60" x14ac:dyDescent="0.3">
      <c r="T202">
        <f>COUNTIF(T7:T201,T203)</f>
        <v>1</v>
      </c>
      <c r="Y202">
        <f>COUNTIF(Y7:Y201,Y203)</f>
        <v>0</v>
      </c>
    </row>
    <row r="204" spans="2:60" x14ac:dyDescent="0.3">
      <c r="C204">
        <f t="shared" ref="C204:AB204" si="186">COUNTIF(C6:D200,C205)</f>
        <v>101</v>
      </c>
      <c r="D204">
        <f t="shared" si="186"/>
        <v>90</v>
      </c>
      <c r="E204">
        <f t="shared" si="186"/>
        <v>57</v>
      </c>
      <c r="F204">
        <f t="shared" si="186"/>
        <v>62</v>
      </c>
      <c r="G204">
        <f t="shared" si="186"/>
        <v>133</v>
      </c>
      <c r="H204">
        <f t="shared" si="186"/>
        <v>4</v>
      </c>
      <c r="I204">
        <f t="shared" si="186"/>
        <v>181</v>
      </c>
      <c r="J204">
        <f t="shared" si="186"/>
        <v>181</v>
      </c>
      <c r="K204">
        <f t="shared" si="186"/>
        <v>121</v>
      </c>
      <c r="L204">
        <f t="shared" si="186"/>
        <v>123</v>
      </c>
      <c r="M204">
        <f t="shared" si="186"/>
        <v>2</v>
      </c>
      <c r="N204">
        <f t="shared" si="186"/>
        <v>185</v>
      </c>
      <c r="O204">
        <f t="shared" si="186"/>
        <v>185</v>
      </c>
      <c r="P204">
        <f t="shared" si="186"/>
        <v>119</v>
      </c>
      <c r="Q204">
        <f t="shared" si="186"/>
        <v>120</v>
      </c>
      <c r="R204">
        <f t="shared" si="186"/>
        <v>1</v>
      </c>
      <c r="S204">
        <f t="shared" si="186"/>
        <v>188</v>
      </c>
      <c r="T204">
        <f t="shared" si="186"/>
        <v>188</v>
      </c>
      <c r="U204">
        <f t="shared" si="186"/>
        <v>126</v>
      </c>
      <c r="V204">
        <f t="shared" si="186"/>
        <v>128</v>
      </c>
      <c r="W204">
        <f t="shared" si="186"/>
        <v>2</v>
      </c>
      <c r="X204">
        <f t="shared" si="186"/>
        <v>190</v>
      </c>
      <c r="Y204">
        <f t="shared" si="186"/>
        <v>190</v>
      </c>
      <c r="Z204">
        <f t="shared" si="186"/>
        <v>125</v>
      </c>
      <c r="AA204">
        <f t="shared" si="186"/>
        <v>125</v>
      </c>
      <c r="AB204">
        <f t="shared" si="186"/>
        <v>0</v>
      </c>
      <c r="AD204">
        <f>COUNTIF(AD6:AE200,AD205)</f>
        <v>190</v>
      </c>
      <c r="AG204">
        <f t="shared" ref="AG204:BH204" si="187">COUNTIF(AG6:AH200,AG205)</f>
        <v>116</v>
      </c>
      <c r="AH204">
        <f t="shared" si="187"/>
        <v>89</v>
      </c>
      <c r="AI204">
        <f t="shared" si="187"/>
        <v>73</v>
      </c>
      <c r="AJ204">
        <f t="shared" si="187"/>
        <v>73</v>
      </c>
      <c r="AK204">
        <f t="shared" si="187"/>
        <v>119</v>
      </c>
      <c r="AL204">
        <f t="shared" si="187"/>
        <v>165</v>
      </c>
      <c r="AM204">
        <f t="shared" si="187"/>
        <v>178</v>
      </c>
      <c r="AN204">
        <f t="shared" si="187"/>
        <v>62</v>
      </c>
      <c r="AO204">
        <f t="shared" si="187"/>
        <v>62</v>
      </c>
      <c r="AP204">
        <f t="shared" si="187"/>
        <v>131</v>
      </c>
      <c r="AQ204">
        <f t="shared" si="187"/>
        <v>173</v>
      </c>
      <c r="AR204">
        <f t="shared" si="187"/>
        <v>180</v>
      </c>
      <c r="AS204">
        <f t="shared" si="187"/>
        <v>57</v>
      </c>
      <c r="AT204">
        <f t="shared" si="187"/>
        <v>60</v>
      </c>
      <c r="AU204">
        <f t="shared" si="187"/>
        <v>110</v>
      </c>
      <c r="AV204">
        <f t="shared" si="187"/>
        <v>104</v>
      </c>
      <c r="AW204">
        <f t="shared" si="187"/>
        <v>182</v>
      </c>
      <c r="AX204">
        <f t="shared" si="187"/>
        <v>43</v>
      </c>
      <c r="AY204">
        <f t="shared" si="187"/>
        <v>43</v>
      </c>
      <c r="AZ204">
        <f t="shared" si="187"/>
        <v>148</v>
      </c>
      <c r="BA204">
        <f t="shared" si="187"/>
        <v>195</v>
      </c>
      <c r="BB204">
        <f t="shared" si="187"/>
        <v>182</v>
      </c>
      <c r="BC204">
        <f t="shared" si="187"/>
        <v>38</v>
      </c>
      <c r="BD204">
        <f t="shared" si="187"/>
        <v>39</v>
      </c>
      <c r="BE204">
        <f t="shared" si="187"/>
        <v>143</v>
      </c>
      <c r="BF204">
        <f t="shared" si="187"/>
        <v>157</v>
      </c>
      <c r="BG204">
        <f t="shared" si="187"/>
        <v>182</v>
      </c>
      <c r="BH204">
        <f t="shared" si="187"/>
        <v>0</v>
      </c>
    </row>
    <row r="205" spans="2:60" x14ac:dyDescent="0.3">
      <c r="C205" t="s">
        <v>992</v>
      </c>
      <c r="G205" t="s">
        <v>993</v>
      </c>
      <c r="H205" t="s">
        <v>993</v>
      </c>
      <c r="I205" t="s">
        <v>993</v>
      </c>
      <c r="J205" t="s">
        <v>993</v>
      </c>
      <c r="K205" t="s">
        <v>993</v>
      </c>
      <c r="L205" t="s">
        <v>993</v>
      </c>
      <c r="M205" t="s">
        <v>993</v>
      </c>
      <c r="N205" t="s">
        <v>993</v>
      </c>
      <c r="O205" t="s">
        <v>993</v>
      </c>
      <c r="P205" t="s">
        <v>993</v>
      </c>
      <c r="Q205" t="s">
        <v>993</v>
      </c>
      <c r="R205" t="s">
        <v>993</v>
      </c>
      <c r="S205" t="s">
        <v>993</v>
      </c>
      <c r="T205" t="s">
        <v>993</v>
      </c>
      <c r="U205" t="s">
        <v>993</v>
      </c>
      <c r="V205" t="s">
        <v>993</v>
      </c>
      <c r="W205" t="s">
        <v>993</v>
      </c>
      <c r="X205" t="s">
        <v>993</v>
      </c>
      <c r="Y205" t="s">
        <v>993</v>
      </c>
      <c r="Z205" t="s">
        <v>993</v>
      </c>
      <c r="AA205" t="s">
        <v>993</v>
      </c>
      <c r="AB205" t="s">
        <v>993</v>
      </c>
      <c r="AD205" t="s">
        <v>993</v>
      </c>
      <c r="AG205" t="s">
        <v>993</v>
      </c>
      <c r="AK205" t="s">
        <v>993</v>
      </c>
      <c r="AL205" t="s">
        <v>1007</v>
      </c>
      <c r="AM205" t="s">
        <v>993</v>
      </c>
      <c r="AP205" t="s">
        <v>993</v>
      </c>
      <c r="AQ205" t="s">
        <v>1007</v>
      </c>
      <c r="AR205" t="s">
        <v>993</v>
      </c>
      <c r="AU205" t="s">
        <v>993</v>
      </c>
      <c r="AV205" t="s">
        <v>1007</v>
      </c>
      <c r="AW205" t="s">
        <v>993</v>
      </c>
      <c r="AZ205" t="s">
        <v>993</v>
      </c>
      <c r="BA205" t="s">
        <v>1007</v>
      </c>
      <c r="BB205" t="s">
        <v>993</v>
      </c>
      <c r="BE205" t="s">
        <v>993</v>
      </c>
      <c r="BF205" t="s">
        <v>1007</v>
      </c>
      <c r="BG205" t="s">
        <v>993</v>
      </c>
    </row>
    <row r="206" spans="2:60" x14ac:dyDescent="0.3">
      <c r="C206">
        <v>21907358.5</v>
      </c>
      <c r="D206">
        <v>188868</v>
      </c>
      <c r="E206">
        <v>68049561</v>
      </c>
      <c r="F206">
        <v>297440</v>
      </c>
      <c r="G206">
        <v>24329876</v>
      </c>
      <c r="H206">
        <v>2470033.5</v>
      </c>
      <c r="I206">
        <v>108622</v>
      </c>
      <c r="J206">
        <v>91762964</v>
      </c>
      <c r="K206">
        <v>435626</v>
      </c>
      <c r="L206">
        <v>23713403</v>
      </c>
      <c r="M206">
        <v>-616473</v>
      </c>
      <c r="N206">
        <v>138186</v>
      </c>
      <c r="O206">
        <v>114690990</v>
      </c>
      <c r="P206">
        <v>510817</v>
      </c>
      <c r="Q206">
        <v>22928026</v>
      </c>
      <c r="R206">
        <v>-785377</v>
      </c>
      <c r="S206">
        <v>75191</v>
      </c>
      <c r="T206">
        <v>139107366</v>
      </c>
      <c r="U206">
        <v>652318</v>
      </c>
      <c r="V206">
        <v>24277744</v>
      </c>
      <c r="W206">
        <v>1349718</v>
      </c>
      <c r="X206">
        <v>141501</v>
      </c>
      <c r="Y206" t="e">
        <v>#N/A</v>
      </c>
      <c r="Z206" t="e">
        <v>#N/A</v>
      </c>
      <c r="AA206">
        <v>21390070</v>
      </c>
      <c r="AD206" t="e">
        <v>#N/A</v>
      </c>
    </row>
  </sheetData>
  <autoFilter ref="AF5:BH200" xr:uid="{2E13AC97-BD4E-43D5-B42B-63435FFD4AFA}">
    <sortState xmlns:xlrd2="http://schemas.microsoft.com/office/spreadsheetml/2017/richdata2" ref="AF6:BH200">
      <sortCondition descending="1" ref="BH5:BH200"/>
    </sortState>
  </autoFilter>
  <mergeCells count="12">
    <mergeCell ref="AX4:BB4"/>
    <mergeCell ref="BC4:BG4"/>
    <mergeCell ref="C4:D4"/>
    <mergeCell ref="E4:I4"/>
    <mergeCell ref="J4:N4"/>
    <mergeCell ref="O4:S4"/>
    <mergeCell ref="T4:X4"/>
    <mergeCell ref="AS4:AW4"/>
    <mergeCell ref="AN4:AR4"/>
    <mergeCell ref="AI4:AM4"/>
    <mergeCell ref="AG4:AH4"/>
    <mergeCell ref="Y4:AC4"/>
  </mergeCells>
  <phoneticPr fontId="1" type="noConversion"/>
  <conditionalFormatting sqref="H201:H203 H206:H1048576 H4:H198 M4:M198 R4:R198 W4:W198 AB4:AB198 AL4:AL200">
    <cfRule type="cellIs" dxfId="57" priority="70" operator="lessThan">
      <formula>0</formula>
    </cfRule>
  </conditionalFormatting>
  <conditionalFormatting sqref="G201:G203 G206:G1048576 G4:G198 L4:L198 Q4:Q198 V4:V198 AA4:AA198 AK4:AK200">
    <cfRule type="cellIs" dxfId="56" priority="69" operator="lessThan">
      <formula>100000</formula>
    </cfRule>
  </conditionalFormatting>
  <conditionalFormatting sqref="M201:M203 M206:M1048576">
    <cfRule type="cellIs" dxfId="55" priority="67" operator="lessThan">
      <formula>0</formula>
    </cfRule>
  </conditionalFormatting>
  <conditionalFormatting sqref="L201:L203 L206:L1048576">
    <cfRule type="cellIs" dxfId="54" priority="66" operator="lessThan">
      <formula>100000</formula>
    </cfRule>
  </conditionalFormatting>
  <conditionalFormatting sqref="J201:J203 J206:J1048576">
    <cfRule type="cellIs" dxfId="53" priority="65" operator="lessThan">
      <formula>300000</formula>
    </cfRule>
  </conditionalFormatting>
  <conditionalFormatting sqref="R201:R203 R206:R1048576">
    <cfRule type="cellIs" dxfId="52" priority="64" operator="lessThan">
      <formula>0</formula>
    </cfRule>
  </conditionalFormatting>
  <conditionalFormatting sqref="Q201:Q203 Q206:Q1048576">
    <cfRule type="cellIs" dxfId="51" priority="63" operator="lessThan">
      <formula>100000</formula>
    </cfRule>
  </conditionalFormatting>
  <conditionalFormatting sqref="O201:O203 O206:O1048576">
    <cfRule type="cellIs" dxfId="50" priority="62" operator="lessThan">
      <formula>300000</formula>
    </cfRule>
  </conditionalFormatting>
  <conditionalFormatting sqref="D204:AB204 C4:C1048576 AG4:AG1048576">
    <cfRule type="cellIs" dxfId="49" priority="61" operator="lessThan">
      <formula>100000</formula>
    </cfRule>
  </conditionalFormatting>
  <conditionalFormatting sqref="W201:W203 W206:W1048576">
    <cfRule type="cellIs" dxfId="48" priority="60" operator="lessThan">
      <formula>0</formula>
    </cfRule>
  </conditionalFormatting>
  <conditionalFormatting sqref="V201:V203 V206:V1048576">
    <cfRule type="cellIs" dxfId="47" priority="59" operator="lessThan">
      <formula>100000</formula>
    </cfRule>
  </conditionalFormatting>
  <conditionalFormatting sqref="Y206:Y1048576">
    <cfRule type="cellIs" dxfId="46" priority="55" operator="lessThan">
      <formula>600000</formula>
    </cfRule>
  </conditionalFormatting>
  <conditionalFormatting sqref="AB201:AB203 AB206:AB1048576">
    <cfRule type="cellIs" dxfId="45" priority="54" operator="lessThan">
      <formula>0</formula>
    </cfRule>
  </conditionalFormatting>
  <conditionalFormatting sqref="AA201:AA203 AA206:AA1048576">
    <cfRule type="cellIs" dxfId="44" priority="53" operator="lessThan">
      <formula>100000</formula>
    </cfRule>
  </conditionalFormatting>
  <conditionalFormatting sqref="G205:AB205">
    <cfRule type="cellIs" dxfId="43" priority="52" operator="lessThan">
      <formula>200000</formula>
    </cfRule>
  </conditionalFormatting>
  <conditionalFormatting sqref="AD204">
    <cfRule type="cellIs" dxfId="42" priority="51" operator="lessThan">
      <formula>200000</formula>
    </cfRule>
  </conditionalFormatting>
  <conditionalFormatting sqref="AD205">
    <cfRule type="cellIs" dxfId="41" priority="49" operator="lessThan">
      <formula>200000</formula>
    </cfRule>
  </conditionalFormatting>
  <conditionalFormatting sqref="AH204">
    <cfRule type="cellIs" dxfId="40" priority="47" operator="lessThan">
      <formula>200000</formula>
    </cfRule>
  </conditionalFormatting>
  <conditionalFormatting sqref="AL201:AL203 AL206:AL1048576">
    <cfRule type="cellIs" dxfId="39" priority="46" operator="lessThan">
      <formula>0</formula>
    </cfRule>
  </conditionalFormatting>
  <conditionalFormatting sqref="AK201:AK203 AK206:AK1048576">
    <cfRule type="cellIs" dxfId="38" priority="45" operator="lessThan">
      <formula>100000</formula>
    </cfRule>
  </conditionalFormatting>
  <conditionalFormatting sqref="AI201:AI203 AI205:AI1048576">
    <cfRule type="cellIs" dxfId="37" priority="44" operator="lessThan">
      <formula>600000</formula>
    </cfRule>
  </conditionalFormatting>
  <conditionalFormatting sqref="AI204:AM204">
    <cfRule type="cellIs" dxfId="36" priority="43" operator="lessThan">
      <formula>200000</formula>
    </cfRule>
  </conditionalFormatting>
  <conditionalFormatting sqref="AK205:AM205">
    <cfRule type="cellIs" dxfId="35" priority="42" operator="lessThan">
      <formula>200000</formula>
    </cfRule>
  </conditionalFormatting>
  <conditionalFormatting sqref="AQ4:AQ200">
    <cfRule type="cellIs" dxfId="34" priority="36" operator="lessThan">
      <formula>0</formula>
    </cfRule>
  </conditionalFormatting>
  <conditionalFormatting sqref="AP4:AP200">
    <cfRule type="cellIs" dxfId="33" priority="35" operator="lessThan">
      <formula>100000</formula>
    </cfRule>
  </conditionalFormatting>
  <conditionalFormatting sqref="AQ201:AQ203 AQ206:AQ1048576">
    <cfRule type="cellIs" dxfId="32" priority="33" operator="lessThan">
      <formula>0</formula>
    </cfRule>
  </conditionalFormatting>
  <conditionalFormatting sqref="AP201:AP203 AP206:AP1048576">
    <cfRule type="cellIs" dxfId="31" priority="32" operator="lessThan">
      <formula>100000</formula>
    </cfRule>
  </conditionalFormatting>
  <conditionalFormatting sqref="AN201:AN203 AN205:AN1048576">
    <cfRule type="cellIs" dxfId="30" priority="31" operator="lessThan">
      <formula>600000</formula>
    </cfRule>
  </conditionalFormatting>
  <conditionalFormatting sqref="AN204:AR204">
    <cfRule type="cellIs" dxfId="29" priority="30" operator="lessThan">
      <formula>200000</formula>
    </cfRule>
  </conditionalFormatting>
  <conditionalFormatting sqref="AP205:AR205">
    <cfRule type="cellIs" dxfId="28" priority="29" operator="lessThan">
      <formula>200000</formula>
    </cfRule>
  </conditionalFormatting>
  <conditionalFormatting sqref="AS1:AS1048576">
    <cfRule type="cellIs" dxfId="27" priority="28" operator="lessThan">
      <formula>200000</formula>
    </cfRule>
  </conditionalFormatting>
  <conditionalFormatting sqref="AV4:AV200">
    <cfRule type="cellIs" dxfId="26" priority="27" operator="lessThan">
      <formula>0</formula>
    </cfRule>
  </conditionalFormatting>
  <conditionalFormatting sqref="AU4:AU200">
    <cfRule type="cellIs" dxfId="25" priority="26" operator="lessThan">
      <formula>100000</formula>
    </cfRule>
  </conditionalFormatting>
  <conditionalFormatting sqref="AV201:AV203 AV206:AV1048576">
    <cfRule type="cellIs" dxfId="24" priority="25" operator="lessThan">
      <formula>0</formula>
    </cfRule>
  </conditionalFormatting>
  <conditionalFormatting sqref="AU201:AU203 AU206:AU1048576">
    <cfRule type="cellIs" dxfId="23" priority="24" operator="lessThan">
      <formula>100000</formula>
    </cfRule>
  </conditionalFormatting>
  <conditionalFormatting sqref="AS201:AS203 AS205:AS1048576">
    <cfRule type="cellIs" dxfId="22" priority="23" operator="lessThan">
      <formula>600000</formula>
    </cfRule>
  </conditionalFormatting>
  <conditionalFormatting sqref="AS204:AW204">
    <cfRule type="cellIs" dxfId="21" priority="22" operator="lessThan">
      <formula>200000</formula>
    </cfRule>
  </conditionalFormatting>
  <conditionalFormatting sqref="AU205:AW205">
    <cfRule type="cellIs" dxfId="20" priority="21" operator="lessThan">
      <formula>200000</formula>
    </cfRule>
  </conditionalFormatting>
  <conditionalFormatting sqref="AX1:AX1048576">
    <cfRule type="cellIs" dxfId="19" priority="20" operator="lessThan">
      <formula>200000</formula>
    </cfRule>
  </conditionalFormatting>
  <conditionalFormatting sqref="AX1:AX1048576">
    <cfRule type="cellIs" dxfId="18" priority="19" operator="lessThan">
      <formula>200000</formula>
    </cfRule>
  </conditionalFormatting>
  <conditionalFormatting sqref="BA4:BA200">
    <cfRule type="cellIs" dxfId="17" priority="18" operator="lessThan">
      <formula>0</formula>
    </cfRule>
  </conditionalFormatting>
  <conditionalFormatting sqref="AZ4:AZ200">
    <cfRule type="cellIs" dxfId="16" priority="17" operator="lessThan">
      <formula>100000</formula>
    </cfRule>
  </conditionalFormatting>
  <conditionalFormatting sqref="BA201:BA203 BA206:BA1048576">
    <cfRule type="cellIs" dxfId="15" priority="16" operator="lessThan">
      <formula>0</formula>
    </cfRule>
  </conditionalFormatting>
  <conditionalFormatting sqref="AZ201:AZ203 AZ206:AZ1048576">
    <cfRule type="cellIs" dxfId="14" priority="15" operator="lessThan">
      <formula>100000</formula>
    </cfRule>
  </conditionalFormatting>
  <conditionalFormatting sqref="AX201:AX203 AX205:AX1048576">
    <cfRule type="cellIs" dxfId="13" priority="14" operator="lessThan">
      <formula>600000</formula>
    </cfRule>
  </conditionalFormatting>
  <conditionalFormatting sqref="AX204:BB204">
    <cfRule type="cellIs" dxfId="12" priority="13" operator="lessThan">
      <formula>200000</formula>
    </cfRule>
  </conditionalFormatting>
  <conditionalFormatting sqref="AZ205:BB205">
    <cfRule type="cellIs" dxfId="11" priority="12" operator="lessThan">
      <formula>200000</formula>
    </cfRule>
  </conditionalFormatting>
  <conditionalFormatting sqref="BC1:BC1048576">
    <cfRule type="cellIs" dxfId="10" priority="11" operator="lessThan">
      <formula>200000</formula>
    </cfRule>
  </conditionalFormatting>
  <conditionalFormatting sqref="BC1:BC1048576">
    <cfRule type="cellIs" dxfId="9" priority="10" operator="lessThan">
      <formula>200000</formula>
    </cfRule>
  </conditionalFormatting>
  <conditionalFormatting sqref="BC1:BC1048576">
    <cfRule type="cellIs" dxfId="8" priority="9" operator="lessThan">
      <formula>200000</formula>
    </cfRule>
  </conditionalFormatting>
  <conditionalFormatting sqref="BF4:BF200">
    <cfRule type="cellIs" dxfId="7" priority="8" operator="lessThan">
      <formula>0</formula>
    </cfRule>
  </conditionalFormatting>
  <conditionalFormatting sqref="BE4:BE200">
    <cfRule type="cellIs" dxfId="6" priority="7" operator="lessThan">
      <formula>100000</formula>
    </cfRule>
  </conditionalFormatting>
  <conditionalFormatting sqref="BF201:BF203 BF206:BF1048576">
    <cfRule type="cellIs" dxfId="5" priority="6" operator="lessThan">
      <formula>0</formula>
    </cfRule>
  </conditionalFormatting>
  <conditionalFormatting sqref="BE201:BE203 BE206:BE1048576">
    <cfRule type="cellIs" dxfId="4" priority="5" operator="lessThan">
      <formula>100000</formula>
    </cfRule>
  </conditionalFormatting>
  <conditionalFormatting sqref="BC201:BC203 BC205:BC1048576">
    <cfRule type="cellIs" dxfId="3" priority="4" operator="lessThan">
      <formula>600000</formula>
    </cfRule>
  </conditionalFormatting>
  <conditionalFormatting sqref="BC204:BG204">
    <cfRule type="cellIs" dxfId="2" priority="3" operator="lessThan">
      <formula>200000</formula>
    </cfRule>
  </conditionalFormatting>
  <conditionalFormatting sqref="BE205:BG205">
    <cfRule type="cellIs" dxfId="1" priority="2" operator="lessThan">
      <formula>200000</formula>
    </cfRule>
  </conditionalFormatting>
  <conditionalFormatting sqref="BH1:BH1048576">
    <cfRule type="cellIs" dxfId="0" priority="1" operator="lessThan">
      <formula>200000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C15D0-2D4E-44E6-8129-8091ED22B760}">
  <dimension ref="A1:M198"/>
  <sheetViews>
    <sheetView workbookViewId="0">
      <selection activeCell="H13" sqref="H13"/>
    </sheetView>
  </sheetViews>
  <sheetFormatPr defaultRowHeight="16.5" x14ac:dyDescent="0.3"/>
  <sheetData>
    <row r="1" spans="1:13" x14ac:dyDescent="0.3">
      <c r="A1" t="s">
        <v>923</v>
      </c>
      <c r="B1" t="s">
        <v>924</v>
      </c>
      <c r="C1" t="s">
        <v>925</v>
      </c>
      <c r="D1" t="s">
        <v>926</v>
      </c>
      <c r="E1" t="s">
        <v>927</v>
      </c>
      <c r="F1" t="s">
        <v>928</v>
      </c>
      <c r="G1" t="s">
        <v>929</v>
      </c>
      <c r="H1" t="s">
        <v>930</v>
      </c>
      <c r="I1" t="s">
        <v>931</v>
      </c>
      <c r="J1" t="s">
        <v>932</v>
      </c>
      <c r="K1" t="s">
        <v>933</v>
      </c>
      <c r="L1" t="s">
        <v>934</v>
      </c>
      <c r="M1" t="s">
        <v>935</v>
      </c>
    </row>
    <row r="2" spans="1:13" x14ac:dyDescent="0.3">
      <c r="A2" t="s">
        <v>742</v>
      </c>
      <c r="B2">
        <v>2</v>
      </c>
      <c r="C2">
        <v>15580578</v>
      </c>
      <c r="D2">
        <v>330351</v>
      </c>
      <c r="E2">
        <v>749</v>
      </c>
      <c r="F2">
        <v>0</v>
      </c>
      <c r="G2">
        <v>566363484</v>
      </c>
      <c r="H2">
        <v>8284062</v>
      </c>
      <c r="I2">
        <v>56368</v>
      </c>
      <c r="J2">
        <v>2762893</v>
      </c>
      <c r="K2">
        <v>42113</v>
      </c>
      <c r="L2" t="s">
        <v>936</v>
      </c>
      <c r="M2" t="s">
        <v>937</v>
      </c>
    </row>
    <row r="3" spans="1:13" x14ac:dyDescent="0.3">
      <c r="A3" t="s">
        <v>752</v>
      </c>
      <c r="B3">
        <v>12</v>
      </c>
      <c r="C3">
        <v>12636133</v>
      </c>
      <c r="D3">
        <v>270842</v>
      </c>
      <c r="E3">
        <v>900</v>
      </c>
      <c r="F3">
        <v>0</v>
      </c>
      <c r="G3">
        <v>450170363</v>
      </c>
      <c r="H3">
        <v>6433648</v>
      </c>
      <c r="I3">
        <v>64955</v>
      </c>
      <c r="J3">
        <v>3457225</v>
      </c>
      <c r="K3">
        <v>44840</v>
      </c>
      <c r="L3" t="s">
        <v>936</v>
      </c>
      <c r="M3" t="s">
        <v>943</v>
      </c>
    </row>
    <row r="4" spans="1:13" x14ac:dyDescent="0.3">
      <c r="A4" t="s">
        <v>806</v>
      </c>
      <c r="B4">
        <v>76</v>
      </c>
      <c r="C4">
        <v>17360024</v>
      </c>
      <c r="D4">
        <v>270384</v>
      </c>
      <c r="E4">
        <v>0</v>
      </c>
      <c r="F4">
        <v>0</v>
      </c>
      <c r="G4">
        <v>425156687</v>
      </c>
      <c r="H4">
        <v>3998977</v>
      </c>
      <c r="I4">
        <v>34958</v>
      </c>
      <c r="J4">
        <v>4581119</v>
      </c>
      <c r="K4">
        <v>46120</v>
      </c>
      <c r="L4" t="s">
        <v>936</v>
      </c>
      <c r="M4" t="s">
        <v>939</v>
      </c>
    </row>
    <row r="5" spans="1:13" x14ac:dyDescent="0.3">
      <c r="A5" t="s">
        <v>744</v>
      </c>
      <c r="B5">
        <v>7</v>
      </c>
      <c r="C5">
        <v>12175265</v>
      </c>
      <c r="D5">
        <v>245960</v>
      </c>
      <c r="E5">
        <v>0</v>
      </c>
      <c r="F5">
        <v>0</v>
      </c>
      <c r="G5">
        <v>529844081</v>
      </c>
      <c r="H5">
        <v>7375205</v>
      </c>
      <c r="I5">
        <v>47662</v>
      </c>
      <c r="J5">
        <v>8203813</v>
      </c>
      <c r="K5">
        <v>47220</v>
      </c>
      <c r="L5" t="s">
        <v>936</v>
      </c>
      <c r="M5" t="s">
        <v>939</v>
      </c>
    </row>
    <row r="6" spans="1:13" x14ac:dyDescent="0.3">
      <c r="A6" t="s">
        <v>740</v>
      </c>
      <c r="B6">
        <v>1</v>
      </c>
      <c r="C6">
        <v>13447728</v>
      </c>
      <c r="D6">
        <v>241211</v>
      </c>
      <c r="E6">
        <v>2250</v>
      </c>
      <c r="F6">
        <v>0</v>
      </c>
      <c r="G6">
        <v>571819049</v>
      </c>
      <c r="H6">
        <v>8520937</v>
      </c>
      <c r="I6">
        <v>116875</v>
      </c>
      <c r="J6">
        <v>2709594</v>
      </c>
      <c r="K6">
        <v>42960</v>
      </c>
      <c r="L6" t="s">
        <v>936</v>
      </c>
      <c r="M6" t="s">
        <v>944</v>
      </c>
    </row>
    <row r="7" spans="1:13" x14ac:dyDescent="0.3">
      <c r="A7" t="s">
        <v>746</v>
      </c>
      <c r="B7">
        <v>9</v>
      </c>
      <c r="C7">
        <v>11165320</v>
      </c>
      <c r="D7">
        <v>240761</v>
      </c>
      <c r="E7">
        <v>958</v>
      </c>
      <c r="F7">
        <v>0</v>
      </c>
      <c r="G7">
        <v>460759174</v>
      </c>
      <c r="H7">
        <v>6969169</v>
      </c>
      <c r="I7">
        <v>61603</v>
      </c>
      <c r="J7">
        <v>2964363</v>
      </c>
      <c r="K7">
        <v>38383</v>
      </c>
      <c r="L7" t="s">
        <v>936</v>
      </c>
      <c r="M7" t="s">
        <v>943</v>
      </c>
    </row>
    <row r="8" spans="1:13" x14ac:dyDescent="0.3">
      <c r="A8" t="s">
        <v>598</v>
      </c>
      <c r="B8">
        <v>3</v>
      </c>
      <c r="C8">
        <v>12046795</v>
      </c>
      <c r="D8">
        <v>236758</v>
      </c>
      <c r="E8">
        <v>700</v>
      </c>
      <c r="F8">
        <v>0</v>
      </c>
      <c r="G8">
        <v>532014264</v>
      </c>
      <c r="H8">
        <v>7574796</v>
      </c>
      <c r="I8">
        <v>54605</v>
      </c>
      <c r="J8">
        <v>3882655</v>
      </c>
      <c r="K8">
        <v>41310</v>
      </c>
      <c r="L8" t="s">
        <v>936</v>
      </c>
      <c r="M8" t="s">
        <v>945</v>
      </c>
    </row>
    <row r="9" spans="1:13" x14ac:dyDescent="0.3">
      <c r="A9" t="s">
        <v>743</v>
      </c>
      <c r="B9">
        <v>5</v>
      </c>
      <c r="C9">
        <v>11571466</v>
      </c>
      <c r="D9">
        <v>234308</v>
      </c>
      <c r="E9">
        <v>0</v>
      </c>
      <c r="F9">
        <v>0</v>
      </c>
      <c r="G9">
        <v>501030806</v>
      </c>
      <c r="H9">
        <v>7572317</v>
      </c>
      <c r="I9">
        <v>54477</v>
      </c>
      <c r="J9">
        <v>2727930</v>
      </c>
      <c r="K9">
        <v>40960</v>
      </c>
      <c r="L9" t="s">
        <v>936</v>
      </c>
      <c r="M9" t="s">
        <v>940</v>
      </c>
    </row>
    <row r="10" spans="1:13" x14ac:dyDescent="0.3">
      <c r="A10" t="s">
        <v>804</v>
      </c>
      <c r="B10">
        <v>55</v>
      </c>
      <c r="C10">
        <v>10810102</v>
      </c>
      <c r="D10">
        <v>228826</v>
      </c>
      <c r="E10">
        <v>0</v>
      </c>
      <c r="F10">
        <v>0</v>
      </c>
      <c r="G10">
        <v>421100494</v>
      </c>
      <c r="H10">
        <v>5054925</v>
      </c>
      <c r="I10">
        <v>15311</v>
      </c>
      <c r="J10">
        <v>12260817</v>
      </c>
      <c r="K10">
        <v>39760</v>
      </c>
      <c r="L10" t="s">
        <v>936</v>
      </c>
      <c r="M10" t="s">
        <v>937</v>
      </c>
    </row>
    <row r="11" spans="1:13" x14ac:dyDescent="0.3">
      <c r="A11" t="s">
        <v>753</v>
      </c>
      <c r="B11">
        <v>14</v>
      </c>
      <c r="C11">
        <v>10685134</v>
      </c>
      <c r="D11">
        <v>226184</v>
      </c>
      <c r="E11">
        <v>0</v>
      </c>
      <c r="F11">
        <v>0</v>
      </c>
      <c r="G11">
        <v>488039616</v>
      </c>
      <c r="H11">
        <v>6070849</v>
      </c>
      <c r="I11">
        <v>41451</v>
      </c>
      <c r="J11">
        <v>2702231</v>
      </c>
      <c r="K11">
        <v>38430</v>
      </c>
      <c r="L11" t="s">
        <v>936</v>
      </c>
      <c r="M11" t="s">
        <v>939</v>
      </c>
    </row>
    <row r="12" spans="1:13" x14ac:dyDescent="0.3">
      <c r="A12" t="s">
        <v>812</v>
      </c>
      <c r="B12">
        <v>81</v>
      </c>
      <c r="C12">
        <v>12878923</v>
      </c>
      <c r="D12">
        <v>222698</v>
      </c>
      <c r="E12">
        <v>303</v>
      </c>
      <c r="F12">
        <v>0</v>
      </c>
      <c r="G12">
        <v>334529307</v>
      </c>
      <c r="H12">
        <v>4488911</v>
      </c>
      <c r="I12">
        <v>5276</v>
      </c>
      <c r="J12">
        <v>10589521</v>
      </c>
      <c r="K12">
        <v>43200</v>
      </c>
      <c r="L12" t="s">
        <v>936</v>
      </c>
      <c r="M12" t="s">
        <v>940</v>
      </c>
    </row>
    <row r="13" spans="1:13" x14ac:dyDescent="0.3">
      <c r="A13" t="s">
        <v>747</v>
      </c>
      <c r="B13">
        <v>11</v>
      </c>
      <c r="C13">
        <v>11070665</v>
      </c>
      <c r="D13">
        <v>222477</v>
      </c>
      <c r="E13">
        <v>4106</v>
      </c>
      <c r="F13">
        <v>0</v>
      </c>
      <c r="G13">
        <v>495870668</v>
      </c>
      <c r="H13">
        <v>6550045</v>
      </c>
      <c r="I13">
        <v>113679</v>
      </c>
      <c r="J13">
        <v>2761789</v>
      </c>
      <c r="K13">
        <v>42130</v>
      </c>
      <c r="L13" t="s">
        <v>936</v>
      </c>
      <c r="M13" t="s">
        <v>943</v>
      </c>
    </row>
    <row r="14" spans="1:13" x14ac:dyDescent="0.3">
      <c r="A14" t="s">
        <v>761</v>
      </c>
      <c r="B14">
        <v>25</v>
      </c>
      <c r="C14">
        <v>10424124</v>
      </c>
      <c r="D14">
        <v>219548</v>
      </c>
      <c r="E14">
        <v>1053</v>
      </c>
      <c r="F14">
        <v>0</v>
      </c>
      <c r="G14">
        <v>428129480</v>
      </c>
      <c r="H14">
        <v>5684154</v>
      </c>
      <c r="I14">
        <v>65176</v>
      </c>
      <c r="J14">
        <v>5426407</v>
      </c>
      <c r="K14">
        <v>40730</v>
      </c>
      <c r="L14" t="s">
        <v>936</v>
      </c>
      <c r="M14" t="s">
        <v>945</v>
      </c>
    </row>
    <row r="15" spans="1:13" x14ac:dyDescent="0.3">
      <c r="A15" t="s">
        <v>745</v>
      </c>
      <c r="B15">
        <v>10</v>
      </c>
      <c r="C15">
        <v>9645306</v>
      </c>
      <c r="D15">
        <v>212143</v>
      </c>
      <c r="E15">
        <v>531</v>
      </c>
      <c r="F15">
        <v>0</v>
      </c>
      <c r="G15">
        <v>467018823</v>
      </c>
      <c r="H15">
        <v>7121664</v>
      </c>
      <c r="I15">
        <v>63170</v>
      </c>
      <c r="J15">
        <v>3058362</v>
      </c>
      <c r="K15">
        <v>42190</v>
      </c>
      <c r="L15" t="s">
        <v>936</v>
      </c>
      <c r="M15" t="s">
        <v>943</v>
      </c>
    </row>
    <row r="16" spans="1:13" x14ac:dyDescent="0.3">
      <c r="A16" t="s">
        <v>938</v>
      </c>
      <c r="B16">
        <v>4</v>
      </c>
      <c r="C16">
        <v>10487568</v>
      </c>
      <c r="D16">
        <v>209816</v>
      </c>
      <c r="E16">
        <v>50</v>
      </c>
      <c r="F16">
        <v>0</v>
      </c>
      <c r="G16">
        <v>547000957</v>
      </c>
      <c r="H16">
        <v>7650625</v>
      </c>
      <c r="I16">
        <v>35488</v>
      </c>
      <c r="J16">
        <v>3237273</v>
      </c>
      <c r="K16">
        <v>45120</v>
      </c>
      <c r="L16" t="s">
        <v>936</v>
      </c>
      <c r="M16" t="s">
        <v>939</v>
      </c>
    </row>
    <row r="17" spans="1:13" x14ac:dyDescent="0.3">
      <c r="A17" t="s">
        <v>797</v>
      </c>
      <c r="B17">
        <v>61</v>
      </c>
      <c r="C17">
        <v>9189668</v>
      </c>
      <c r="D17">
        <v>209460</v>
      </c>
      <c r="E17">
        <v>5152</v>
      </c>
      <c r="F17">
        <v>0</v>
      </c>
      <c r="G17">
        <v>347644303</v>
      </c>
      <c r="H17">
        <v>5254515</v>
      </c>
      <c r="I17">
        <v>163169</v>
      </c>
      <c r="J17">
        <v>5856448</v>
      </c>
      <c r="K17">
        <v>39310</v>
      </c>
      <c r="L17" t="s">
        <v>936</v>
      </c>
      <c r="M17" t="s">
        <v>939</v>
      </c>
    </row>
    <row r="18" spans="1:13" x14ac:dyDescent="0.3">
      <c r="A18" t="s">
        <v>741</v>
      </c>
      <c r="B18">
        <v>6</v>
      </c>
      <c r="C18">
        <v>10253206</v>
      </c>
      <c r="D18">
        <v>205283</v>
      </c>
      <c r="E18">
        <v>0</v>
      </c>
      <c r="F18">
        <v>0</v>
      </c>
      <c r="G18">
        <v>476140997</v>
      </c>
      <c r="H18">
        <v>7297965</v>
      </c>
      <c r="I18">
        <v>31623</v>
      </c>
      <c r="J18">
        <v>2802676</v>
      </c>
      <c r="K18">
        <v>35700</v>
      </c>
      <c r="L18" t="s">
        <v>936</v>
      </c>
      <c r="M18" t="s">
        <v>940</v>
      </c>
    </row>
    <row r="19" spans="1:13" x14ac:dyDescent="0.3">
      <c r="A19" t="s">
        <v>765</v>
      </c>
      <c r="B19">
        <v>28</v>
      </c>
      <c r="C19">
        <v>9515873</v>
      </c>
      <c r="D19">
        <v>204546</v>
      </c>
      <c r="E19">
        <v>450</v>
      </c>
      <c r="F19">
        <v>384740</v>
      </c>
      <c r="G19">
        <v>408733017</v>
      </c>
      <c r="H19">
        <v>5347769</v>
      </c>
      <c r="I19">
        <v>78674</v>
      </c>
      <c r="J19">
        <v>3848650</v>
      </c>
      <c r="K19">
        <v>43723</v>
      </c>
      <c r="L19" t="s">
        <v>936</v>
      </c>
      <c r="M19" t="s">
        <v>946</v>
      </c>
    </row>
    <row r="20" spans="1:13" x14ac:dyDescent="0.3">
      <c r="A20" t="s">
        <v>947</v>
      </c>
      <c r="B20">
        <v>54</v>
      </c>
      <c r="C20">
        <v>10051866</v>
      </c>
      <c r="D20">
        <v>204104</v>
      </c>
      <c r="E20">
        <v>303</v>
      </c>
      <c r="F20">
        <v>0</v>
      </c>
      <c r="G20">
        <v>370277808</v>
      </c>
      <c r="H20">
        <v>4810620</v>
      </c>
      <c r="I20">
        <v>45494</v>
      </c>
      <c r="J20">
        <v>9110940</v>
      </c>
      <c r="K20">
        <v>42370</v>
      </c>
      <c r="L20" t="s">
        <v>936</v>
      </c>
      <c r="M20" t="s">
        <v>939</v>
      </c>
    </row>
    <row r="21" spans="1:13" x14ac:dyDescent="0.3">
      <c r="A21" t="s">
        <v>769</v>
      </c>
      <c r="B21">
        <v>36</v>
      </c>
      <c r="C21">
        <v>8590089</v>
      </c>
      <c r="D21">
        <v>192727</v>
      </c>
      <c r="E21">
        <v>600</v>
      </c>
      <c r="F21">
        <v>0</v>
      </c>
      <c r="G21">
        <v>349159633</v>
      </c>
      <c r="H21">
        <v>5126375</v>
      </c>
      <c r="I21">
        <v>46325</v>
      </c>
      <c r="J21">
        <v>3310084</v>
      </c>
      <c r="K21">
        <v>41633</v>
      </c>
      <c r="L21" t="s">
        <v>936</v>
      </c>
      <c r="M21" t="s">
        <v>939</v>
      </c>
    </row>
    <row r="22" spans="1:13" x14ac:dyDescent="0.3">
      <c r="A22" t="s">
        <v>941</v>
      </c>
      <c r="B22">
        <v>8</v>
      </c>
      <c r="C22">
        <v>9550016</v>
      </c>
      <c r="D22">
        <v>192690</v>
      </c>
      <c r="E22">
        <v>150</v>
      </c>
      <c r="F22">
        <v>0</v>
      </c>
      <c r="G22">
        <v>491361713</v>
      </c>
      <c r="H22">
        <v>7093174</v>
      </c>
      <c r="I22">
        <v>41499</v>
      </c>
      <c r="J22">
        <v>2702688</v>
      </c>
      <c r="K22">
        <v>42303</v>
      </c>
      <c r="L22" t="s">
        <v>936</v>
      </c>
      <c r="M22" t="s">
        <v>942</v>
      </c>
    </row>
    <row r="23" spans="1:13" x14ac:dyDescent="0.3">
      <c r="A23" t="s">
        <v>776</v>
      </c>
      <c r="B23">
        <v>38</v>
      </c>
      <c r="C23">
        <v>9604522</v>
      </c>
      <c r="D23">
        <v>192151</v>
      </c>
      <c r="E23">
        <v>0</v>
      </c>
      <c r="F23">
        <v>0</v>
      </c>
      <c r="G23">
        <v>379447101</v>
      </c>
      <c r="H23">
        <v>5055321</v>
      </c>
      <c r="I23">
        <v>31461</v>
      </c>
      <c r="J23">
        <v>19401162</v>
      </c>
      <c r="K23">
        <v>42890</v>
      </c>
      <c r="L23" t="s">
        <v>936</v>
      </c>
      <c r="M23" t="s">
        <v>939</v>
      </c>
    </row>
    <row r="24" spans="1:13" x14ac:dyDescent="0.3">
      <c r="A24" t="s">
        <v>773</v>
      </c>
      <c r="B24">
        <v>37</v>
      </c>
      <c r="C24">
        <v>10134605</v>
      </c>
      <c r="D24">
        <v>190598</v>
      </c>
      <c r="E24">
        <v>0</v>
      </c>
      <c r="F24">
        <v>0</v>
      </c>
      <c r="G24">
        <v>371579762</v>
      </c>
      <c r="H24">
        <v>5059634</v>
      </c>
      <c r="I24">
        <v>63434</v>
      </c>
      <c r="J24">
        <v>3727713</v>
      </c>
      <c r="K24">
        <v>40756</v>
      </c>
      <c r="L24" t="s">
        <v>936</v>
      </c>
      <c r="M24" t="s">
        <v>946</v>
      </c>
    </row>
    <row r="25" spans="1:13" x14ac:dyDescent="0.3">
      <c r="A25" t="s">
        <v>779</v>
      </c>
      <c r="B25">
        <v>50</v>
      </c>
      <c r="C25">
        <v>9180499</v>
      </c>
      <c r="D25">
        <v>187702</v>
      </c>
      <c r="E25">
        <v>0</v>
      </c>
      <c r="F25">
        <v>0</v>
      </c>
      <c r="G25">
        <v>386665965</v>
      </c>
      <c r="H25">
        <v>4662708</v>
      </c>
      <c r="I25">
        <v>35171</v>
      </c>
      <c r="J25">
        <v>3066559</v>
      </c>
      <c r="K25">
        <v>39180</v>
      </c>
      <c r="L25" t="s">
        <v>936</v>
      </c>
      <c r="M25" t="s">
        <v>940</v>
      </c>
    </row>
    <row r="26" spans="1:13" x14ac:dyDescent="0.3">
      <c r="A26" t="s">
        <v>757</v>
      </c>
      <c r="B26">
        <v>23</v>
      </c>
      <c r="C26">
        <v>8356899</v>
      </c>
      <c r="D26">
        <v>184002</v>
      </c>
      <c r="E26">
        <v>0</v>
      </c>
      <c r="F26">
        <v>0</v>
      </c>
      <c r="G26">
        <v>388213853</v>
      </c>
      <c r="H26">
        <v>5600124</v>
      </c>
      <c r="I26">
        <v>37588</v>
      </c>
      <c r="J26">
        <v>2782290</v>
      </c>
      <c r="K26">
        <v>37803</v>
      </c>
      <c r="L26" t="s">
        <v>936</v>
      </c>
      <c r="M26" t="s">
        <v>942</v>
      </c>
    </row>
    <row r="27" spans="1:13" x14ac:dyDescent="0.3">
      <c r="A27" t="s">
        <v>599</v>
      </c>
      <c r="B27">
        <v>17</v>
      </c>
      <c r="C27">
        <v>8703105</v>
      </c>
      <c r="D27">
        <v>182990</v>
      </c>
      <c r="E27">
        <v>0</v>
      </c>
      <c r="F27">
        <v>0</v>
      </c>
      <c r="G27">
        <v>435173851</v>
      </c>
      <c r="H27">
        <v>5995171</v>
      </c>
      <c r="I27">
        <v>43491</v>
      </c>
      <c r="J27">
        <v>2707023</v>
      </c>
      <c r="K27">
        <v>41690</v>
      </c>
      <c r="L27" t="s">
        <v>936</v>
      </c>
      <c r="M27" t="s">
        <v>945</v>
      </c>
    </row>
    <row r="28" spans="1:13" x14ac:dyDescent="0.3">
      <c r="A28" t="s">
        <v>783</v>
      </c>
      <c r="B28">
        <v>41</v>
      </c>
      <c r="C28">
        <v>9930245</v>
      </c>
      <c r="D28">
        <v>182849</v>
      </c>
      <c r="E28">
        <v>2960</v>
      </c>
      <c r="F28">
        <v>0</v>
      </c>
      <c r="G28">
        <v>375219079</v>
      </c>
      <c r="H28">
        <v>4878811</v>
      </c>
      <c r="I28">
        <v>60551</v>
      </c>
      <c r="J28">
        <v>2823608</v>
      </c>
      <c r="K28">
        <v>41550</v>
      </c>
      <c r="L28" t="s">
        <v>936</v>
      </c>
      <c r="M28" t="s">
        <v>945</v>
      </c>
    </row>
    <row r="29" spans="1:13" x14ac:dyDescent="0.3">
      <c r="A29" t="s">
        <v>772</v>
      </c>
      <c r="B29">
        <v>35</v>
      </c>
      <c r="C29">
        <v>8363180</v>
      </c>
      <c r="D29">
        <v>182307</v>
      </c>
      <c r="E29">
        <v>472</v>
      </c>
      <c r="F29">
        <v>0</v>
      </c>
      <c r="G29">
        <v>379939482</v>
      </c>
      <c r="H29">
        <v>4971328</v>
      </c>
      <c r="I29">
        <v>62875</v>
      </c>
      <c r="J29">
        <v>2504414</v>
      </c>
      <c r="K29">
        <v>39103</v>
      </c>
      <c r="L29" t="s">
        <v>936</v>
      </c>
      <c r="M29" t="s">
        <v>946</v>
      </c>
    </row>
    <row r="30" spans="1:13" x14ac:dyDescent="0.3">
      <c r="A30" t="s">
        <v>755</v>
      </c>
      <c r="B30">
        <v>19</v>
      </c>
      <c r="C30">
        <v>9047777</v>
      </c>
      <c r="D30">
        <v>181753</v>
      </c>
      <c r="E30">
        <v>5152</v>
      </c>
      <c r="F30">
        <v>0</v>
      </c>
      <c r="G30">
        <v>436380079</v>
      </c>
      <c r="H30">
        <v>5882533</v>
      </c>
      <c r="I30">
        <v>129674</v>
      </c>
      <c r="J30">
        <v>6912971</v>
      </c>
      <c r="K30">
        <v>40470</v>
      </c>
      <c r="L30" t="s">
        <v>936</v>
      </c>
      <c r="M30" t="s">
        <v>940</v>
      </c>
    </row>
    <row r="31" spans="1:13" x14ac:dyDescent="0.3">
      <c r="A31" t="s">
        <v>777</v>
      </c>
      <c r="B31">
        <v>43</v>
      </c>
      <c r="C31">
        <v>10745565</v>
      </c>
      <c r="D31">
        <v>179829</v>
      </c>
      <c r="E31">
        <v>4950</v>
      </c>
      <c r="F31">
        <v>0</v>
      </c>
      <c r="G31">
        <v>329080327</v>
      </c>
      <c r="H31">
        <v>4648598</v>
      </c>
      <c r="I31">
        <v>101342</v>
      </c>
      <c r="J31">
        <v>5085296</v>
      </c>
      <c r="K31">
        <v>37633</v>
      </c>
      <c r="L31" t="s">
        <v>936</v>
      </c>
      <c r="M31" t="s">
        <v>940</v>
      </c>
    </row>
    <row r="32" spans="1:13" x14ac:dyDescent="0.3">
      <c r="A32" t="s">
        <v>774</v>
      </c>
      <c r="B32">
        <v>33</v>
      </c>
      <c r="C32">
        <v>8810708</v>
      </c>
      <c r="D32">
        <v>178548</v>
      </c>
      <c r="E32">
        <v>0</v>
      </c>
      <c r="F32">
        <v>0</v>
      </c>
      <c r="G32">
        <v>379751515</v>
      </c>
      <c r="H32">
        <v>4910360</v>
      </c>
      <c r="I32">
        <v>32608</v>
      </c>
      <c r="J32">
        <v>4422108</v>
      </c>
      <c r="K32">
        <v>37580</v>
      </c>
      <c r="L32" t="s">
        <v>936</v>
      </c>
      <c r="M32" t="s">
        <v>946</v>
      </c>
    </row>
    <row r="33" spans="1:13" x14ac:dyDescent="0.3">
      <c r="A33" t="s">
        <v>805</v>
      </c>
      <c r="B33">
        <v>71</v>
      </c>
      <c r="C33">
        <v>9196650</v>
      </c>
      <c r="D33">
        <v>178490</v>
      </c>
      <c r="E33">
        <v>1403</v>
      </c>
      <c r="F33">
        <v>0</v>
      </c>
      <c r="G33">
        <v>363910990</v>
      </c>
      <c r="H33">
        <v>4552029</v>
      </c>
      <c r="I33">
        <v>31681</v>
      </c>
      <c r="J33">
        <v>3701831</v>
      </c>
      <c r="K33">
        <v>41106</v>
      </c>
      <c r="L33" t="s">
        <v>936</v>
      </c>
      <c r="M33" t="s">
        <v>940</v>
      </c>
    </row>
    <row r="34" spans="1:13" x14ac:dyDescent="0.3">
      <c r="A34" t="s">
        <v>759</v>
      </c>
      <c r="B34">
        <v>26</v>
      </c>
      <c r="C34">
        <v>8882018</v>
      </c>
      <c r="D34">
        <v>177135</v>
      </c>
      <c r="E34">
        <v>900</v>
      </c>
      <c r="F34">
        <v>0</v>
      </c>
      <c r="G34">
        <v>410640496</v>
      </c>
      <c r="H34">
        <v>5351151</v>
      </c>
      <c r="I34">
        <v>68789</v>
      </c>
      <c r="J34">
        <v>3467961</v>
      </c>
      <c r="K34">
        <v>45610</v>
      </c>
      <c r="L34" t="s">
        <v>936</v>
      </c>
      <c r="M34" t="s">
        <v>946</v>
      </c>
    </row>
    <row r="35" spans="1:13" x14ac:dyDescent="0.3">
      <c r="A35" t="s">
        <v>785</v>
      </c>
      <c r="B35">
        <v>49</v>
      </c>
      <c r="C35">
        <v>8422906</v>
      </c>
      <c r="D35">
        <v>175518</v>
      </c>
      <c r="E35">
        <v>5083</v>
      </c>
      <c r="F35">
        <v>0</v>
      </c>
      <c r="G35">
        <v>323055725</v>
      </c>
      <c r="H35">
        <v>5292379</v>
      </c>
      <c r="I35">
        <v>142915</v>
      </c>
      <c r="J35">
        <v>3404300</v>
      </c>
      <c r="K35">
        <v>39170</v>
      </c>
      <c r="L35" t="s">
        <v>936</v>
      </c>
      <c r="M35" t="s">
        <v>946</v>
      </c>
    </row>
    <row r="36" spans="1:13" x14ac:dyDescent="0.3">
      <c r="A36" t="s">
        <v>760</v>
      </c>
      <c r="B36">
        <v>24</v>
      </c>
      <c r="C36">
        <v>13967032</v>
      </c>
      <c r="D36">
        <v>175077</v>
      </c>
      <c r="E36">
        <v>0</v>
      </c>
      <c r="F36">
        <v>0</v>
      </c>
      <c r="G36">
        <v>634072270</v>
      </c>
      <c r="H36">
        <v>5423257</v>
      </c>
      <c r="I36">
        <v>35635</v>
      </c>
      <c r="J36">
        <v>4082120</v>
      </c>
      <c r="K36">
        <v>44383</v>
      </c>
      <c r="L36" t="s">
        <v>936</v>
      </c>
      <c r="M36" t="s">
        <v>940</v>
      </c>
    </row>
    <row r="37" spans="1:13" x14ac:dyDescent="0.3">
      <c r="A37" t="s">
        <v>803</v>
      </c>
      <c r="B37">
        <v>69</v>
      </c>
      <c r="C37">
        <v>8878534</v>
      </c>
      <c r="D37">
        <v>173572</v>
      </c>
      <c r="E37">
        <v>0</v>
      </c>
      <c r="F37">
        <v>0</v>
      </c>
      <c r="G37">
        <v>322668257</v>
      </c>
      <c r="H37">
        <v>4418986</v>
      </c>
      <c r="I37">
        <v>47397</v>
      </c>
      <c r="J37">
        <v>52282692</v>
      </c>
      <c r="K37">
        <v>41233</v>
      </c>
      <c r="L37" t="s">
        <v>936</v>
      </c>
      <c r="M37" t="s">
        <v>939</v>
      </c>
    </row>
    <row r="38" spans="1:13" x14ac:dyDescent="0.3">
      <c r="A38" t="s">
        <v>786</v>
      </c>
      <c r="B38">
        <v>48</v>
      </c>
      <c r="C38">
        <v>13162076</v>
      </c>
      <c r="D38">
        <v>168422</v>
      </c>
      <c r="E38">
        <v>4950</v>
      </c>
      <c r="F38">
        <v>0</v>
      </c>
      <c r="G38">
        <v>416205624</v>
      </c>
      <c r="H38">
        <v>4809953</v>
      </c>
      <c r="I38">
        <v>86625</v>
      </c>
      <c r="J38">
        <v>2065216</v>
      </c>
      <c r="K38">
        <v>38170</v>
      </c>
      <c r="L38" t="s">
        <v>936</v>
      </c>
      <c r="M38" t="s">
        <v>940</v>
      </c>
    </row>
    <row r="39" spans="1:13" x14ac:dyDescent="0.3">
      <c r="A39" t="s">
        <v>750</v>
      </c>
      <c r="B39">
        <v>18</v>
      </c>
      <c r="C39">
        <v>8070903</v>
      </c>
      <c r="D39">
        <v>166555</v>
      </c>
      <c r="E39">
        <v>1400</v>
      </c>
      <c r="F39">
        <v>0</v>
      </c>
      <c r="G39">
        <v>363753611</v>
      </c>
      <c r="H39">
        <v>5467410</v>
      </c>
      <c r="I39">
        <v>39513</v>
      </c>
      <c r="J39">
        <v>2726006</v>
      </c>
      <c r="K39">
        <v>40720</v>
      </c>
      <c r="L39" t="s">
        <v>936</v>
      </c>
      <c r="M39" t="s">
        <v>940</v>
      </c>
    </row>
    <row r="40" spans="1:13" x14ac:dyDescent="0.3">
      <c r="A40" t="s">
        <v>784</v>
      </c>
      <c r="B40">
        <v>42</v>
      </c>
      <c r="C40">
        <v>8090705</v>
      </c>
      <c r="D40">
        <v>161867</v>
      </c>
      <c r="E40">
        <v>0</v>
      </c>
      <c r="F40">
        <v>0</v>
      </c>
      <c r="G40">
        <v>386607522</v>
      </c>
      <c r="H40">
        <v>4856083</v>
      </c>
      <c r="I40">
        <v>69120</v>
      </c>
      <c r="J40">
        <v>5913914</v>
      </c>
      <c r="K40">
        <v>43190</v>
      </c>
      <c r="L40" t="s">
        <v>936</v>
      </c>
      <c r="M40" t="s">
        <v>942</v>
      </c>
    </row>
    <row r="41" spans="1:13" x14ac:dyDescent="0.3">
      <c r="A41" t="s">
        <v>820</v>
      </c>
      <c r="B41">
        <v>95</v>
      </c>
      <c r="C41">
        <v>7525575</v>
      </c>
      <c r="D41">
        <v>161340</v>
      </c>
      <c r="E41">
        <v>650</v>
      </c>
      <c r="F41">
        <v>0</v>
      </c>
      <c r="G41">
        <v>312913764</v>
      </c>
      <c r="H41">
        <v>3615053</v>
      </c>
      <c r="I41">
        <v>46116</v>
      </c>
      <c r="J41">
        <v>4123091</v>
      </c>
      <c r="K41">
        <v>35466</v>
      </c>
      <c r="L41" t="s">
        <v>936</v>
      </c>
      <c r="M41" t="s">
        <v>946</v>
      </c>
    </row>
    <row r="42" spans="1:13" x14ac:dyDescent="0.3">
      <c r="A42" t="s">
        <v>756</v>
      </c>
      <c r="B42">
        <v>22</v>
      </c>
      <c r="C42">
        <v>7224717</v>
      </c>
      <c r="D42">
        <v>160998</v>
      </c>
      <c r="E42">
        <v>376</v>
      </c>
      <c r="F42">
        <v>0</v>
      </c>
      <c r="G42">
        <v>375564746</v>
      </c>
      <c r="H42">
        <v>5607968</v>
      </c>
      <c r="I42">
        <v>55981</v>
      </c>
      <c r="J42">
        <v>3079272</v>
      </c>
      <c r="K42">
        <v>39333</v>
      </c>
      <c r="L42" t="s">
        <v>936</v>
      </c>
      <c r="M42" t="s">
        <v>945</v>
      </c>
    </row>
    <row r="43" spans="1:13" x14ac:dyDescent="0.3">
      <c r="A43" t="s">
        <v>763</v>
      </c>
      <c r="B43">
        <v>29</v>
      </c>
      <c r="C43">
        <v>8048397</v>
      </c>
      <c r="D43">
        <v>160051</v>
      </c>
      <c r="E43">
        <v>0</v>
      </c>
      <c r="F43">
        <v>0</v>
      </c>
      <c r="G43">
        <v>333941629</v>
      </c>
      <c r="H43">
        <v>4955387</v>
      </c>
      <c r="I43">
        <v>43894</v>
      </c>
      <c r="J43">
        <v>2990195</v>
      </c>
      <c r="K43">
        <v>36660</v>
      </c>
      <c r="L43" t="s">
        <v>936</v>
      </c>
      <c r="M43" t="s">
        <v>940</v>
      </c>
    </row>
    <row r="44" spans="1:13" x14ac:dyDescent="0.3">
      <c r="A44" t="s">
        <v>768</v>
      </c>
      <c r="B44">
        <v>40</v>
      </c>
      <c r="C44">
        <v>7840348</v>
      </c>
      <c r="D44">
        <v>158714</v>
      </c>
      <c r="E44">
        <v>0</v>
      </c>
      <c r="F44">
        <v>0</v>
      </c>
      <c r="G44">
        <v>348364492</v>
      </c>
      <c r="H44">
        <v>4518686</v>
      </c>
      <c r="I44">
        <v>49944</v>
      </c>
      <c r="J44">
        <v>2817074</v>
      </c>
      <c r="K44">
        <v>40240</v>
      </c>
      <c r="L44" t="s">
        <v>936</v>
      </c>
      <c r="M44" t="s">
        <v>937</v>
      </c>
    </row>
    <row r="45" spans="1:13" x14ac:dyDescent="0.3">
      <c r="A45" t="s">
        <v>762</v>
      </c>
      <c r="B45">
        <v>27</v>
      </c>
      <c r="C45">
        <v>7802292</v>
      </c>
      <c r="D45">
        <v>157949</v>
      </c>
      <c r="E45">
        <v>0</v>
      </c>
      <c r="F45">
        <v>0</v>
      </c>
      <c r="G45">
        <v>432517952</v>
      </c>
      <c r="H45">
        <v>5128174</v>
      </c>
      <c r="I45">
        <v>73347</v>
      </c>
      <c r="J45">
        <v>4079718</v>
      </c>
      <c r="K45">
        <v>43566</v>
      </c>
      <c r="L45" t="s">
        <v>936</v>
      </c>
      <c r="M45" t="s">
        <v>937</v>
      </c>
    </row>
    <row r="46" spans="1:13" x14ac:dyDescent="0.3">
      <c r="A46" t="s">
        <v>949</v>
      </c>
      <c r="B46">
        <v>30</v>
      </c>
      <c r="C46">
        <v>7343853</v>
      </c>
      <c r="D46">
        <v>157930</v>
      </c>
      <c r="E46">
        <v>0</v>
      </c>
      <c r="F46">
        <v>0</v>
      </c>
      <c r="G46">
        <v>358514553</v>
      </c>
      <c r="H46">
        <v>5257483</v>
      </c>
      <c r="I46">
        <v>61840</v>
      </c>
      <c r="J46">
        <v>3815296</v>
      </c>
      <c r="K46">
        <v>39300</v>
      </c>
      <c r="L46" t="s">
        <v>936</v>
      </c>
      <c r="M46" t="s">
        <v>945</v>
      </c>
    </row>
    <row r="47" spans="1:13" x14ac:dyDescent="0.3">
      <c r="A47" t="s">
        <v>800</v>
      </c>
      <c r="B47">
        <v>64</v>
      </c>
      <c r="C47">
        <v>8214814</v>
      </c>
      <c r="D47">
        <v>157109</v>
      </c>
      <c r="E47">
        <v>303</v>
      </c>
      <c r="F47">
        <v>0</v>
      </c>
      <c r="G47">
        <v>341297807</v>
      </c>
      <c r="H47">
        <v>4529956</v>
      </c>
      <c r="I47">
        <v>128138</v>
      </c>
      <c r="J47">
        <v>6872085</v>
      </c>
      <c r="K47">
        <v>38550</v>
      </c>
      <c r="L47" t="s">
        <v>936</v>
      </c>
      <c r="M47" t="s">
        <v>945</v>
      </c>
    </row>
    <row r="48" spans="1:13" x14ac:dyDescent="0.3">
      <c r="A48" t="s">
        <v>602</v>
      </c>
      <c r="B48">
        <v>97</v>
      </c>
      <c r="C48">
        <v>7648847</v>
      </c>
      <c r="D48">
        <v>155239</v>
      </c>
      <c r="E48">
        <v>1403</v>
      </c>
      <c r="F48">
        <v>0</v>
      </c>
      <c r="G48">
        <v>299059569</v>
      </c>
      <c r="H48">
        <v>3626788</v>
      </c>
      <c r="I48">
        <v>64865</v>
      </c>
      <c r="J48">
        <v>6527035</v>
      </c>
      <c r="K48">
        <v>36090</v>
      </c>
      <c r="L48" t="s">
        <v>936</v>
      </c>
      <c r="M48" t="s">
        <v>945</v>
      </c>
    </row>
    <row r="49" spans="1:13" x14ac:dyDescent="0.3">
      <c r="A49" t="s">
        <v>952</v>
      </c>
      <c r="B49">
        <v>72</v>
      </c>
      <c r="C49">
        <v>6805240</v>
      </c>
      <c r="D49">
        <v>154623</v>
      </c>
      <c r="E49">
        <v>303</v>
      </c>
      <c r="F49">
        <v>0</v>
      </c>
      <c r="G49">
        <v>389076989</v>
      </c>
      <c r="H49">
        <v>4651556</v>
      </c>
      <c r="I49">
        <v>55538</v>
      </c>
      <c r="J49">
        <v>3312487</v>
      </c>
      <c r="K49">
        <v>36950</v>
      </c>
      <c r="L49" t="s">
        <v>936</v>
      </c>
      <c r="M49" t="s">
        <v>942</v>
      </c>
    </row>
    <row r="50" spans="1:13" x14ac:dyDescent="0.3">
      <c r="A50" t="s">
        <v>770</v>
      </c>
      <c r="B50">
        <v>32</v>
      </c>
      <c r="C50">
        <v>7646438</v>
      </c>
      <c r="D50">
        <v>154402</v>
      </c>
      <c r="E50">
        <v>1640</v>
      </c>
      <c r="F50">
        <v>0</v>
      </c>
      <c r="G50">
        <v>404531694</v>
      </c>
      <c r="H50">
        <v>4929428</v>
      </c>
      <c r="I50">
        <v>69644</v>
      </c>
      <c r="J50">
        <v>2702575</v>
      </c>
      <c r="K50">
        <v>39516</v>
      </c>
      <c r="L50" t="s">
        <v>936</v>
      </c>
      <c r="M50" t="s">
        <v>940</v>
      </c>
    </row>
    <row r="51" spans="1:13" x14ac:dyDescent="0.3">
      <c r="A51" t="s">
        <v>796</v>
      </c>
      <c r="B51">
        <v>67</v>
      </c>
      <c r="C51">
        <v>7561547</v>
      </c>
      <c r="D51">
        <v>154154</v>
      </c>
      <c r="E51">
        <v>4950</v>
      </c>
      <c r="F51">
        <v>0</v>
      </c>
      <c r="G51">
        <v>347403149</v>
      </c>
      <c r="H51">
        <v>4155892</v>
      </c>
      <c r="I51">
        <v>87832</v>
      </c>
      <c r="J51">
        <v>3048789</v>
      </c>
      <c r="K51">
        <v>34550</v>
      </c>
      <c r="L51" t="s">
        <v>936</v>
      </c>
      <c r="M51" t="s">
        <v>946</v>
      </c>
    </row>
    <row r="52" spans="1:13" x14ac:dyDescent="0.3">
      <c r="A52" t="s">
        <v>771</v>
      </c>
      <c r="B52">
        <v>39</v>
      </c>
      <c r="C52">
        <v>7607631</v>
      </c>
      <c r="D52">
        <v>153177</v>
      </c>
      <c r="E52">
        <v>50</v>
      </c>
      <c r="F52">
        <v>0</v>
      </c>
      <c r="G52">
        <v>328195084</v>
      </c>
      <c r="H52">
        <v>4781733</v>
      </c>
      <c r="I52">
        <v>48351</v>
      </c>
      <c r="J52">
        <v>3978341</v>
      </c>
      <c r="K52">
        <v>28849</v>
      </c>
      <c r="L52" t="s">
        <v>936</v>
      </c>
      <c r="M52" t="s">
        <v>939</v>
      </c>
    </row>
    <row r="53" spans="1:13" x14ac:dyDescent="0.3">
      <c r="A53" t="s">
        <v>802</v>
      </c>
      <c r="B53">
        <v>80</v>
      </c>
      <c r="C53">
        <v>7343980</v>
      </c>
      <c r="D53">
        <v>152899</v>
      </c>
      <c r="E53">
        <v>1672</v>
      </c>
      <c r="F53">
        <v>0</v>
      </c>
      <c r="G53">
        <v>363280796</v>
      </c>
      <c r="H53">
        <v>4287444</v>
      </c>
      <c r="I53">
        <v>46536</v>
      </c>
      <c r="J53">
        <v>2912558</v>
      </c>
      <c r="K53">
        <v>39880</v>
      </c>
      <c r="L53" t="s">
        <v>936</v>
      </c>
      <c r="M53" t="s">
        <v>937</v>
      </c>
    </row>
    <row r="54" spans="1:13" x14ac:dyDescent="0.3">
      <c r="A54" t="s">
        <v>953</v>
      </c>
      <c r="B54">
        <v>84</v>
      </c>
      <c r="C54">
        <v>7590877</v>
      </c>
      <c r="D54">
        <v>152496</v>
      </c>
      <c r="E54">
        <v>101</v>
      </c>
      <c r="F54">
        <v>0</v>
      </c>
      <c r="G54">
        <v>354036751</v>
      </c>
      <c r="H54">
        <v>4162706</v>
      </c>
      <c r="I54">
        <v>32342</v>
      </c>
      <c r="J54">
        <v>3306963</v>
      </c>
      <c r="K54">
        <v>40636</v>
      </c>
      <c r="L54" t="s">
        <v>936</v>
      </c>
      <c r="M54" t="s">
        <v>942</v>
      </c>
    </row>
    <row r="55" spans="1:13" x14ac:dyDescent="0.3">
      <c r="A55" t="s">
        <v>864</v>
      </c>
      <c r="B55">
        <v>146</v>
      </c>
      <c r="C55">
        <v>8644648</v>
      </c>
      <c r="D55">
        <v>151546</v>
      </c>
      <c r="E55">
        <v>0</v>
      </c>
      <c r="F55">
        <v>0</v>
      </c>
      <c r="G55">
        <v>251702112</v>
      </c>
      <c r="H55">
        <v>2493914</v>
      </c>
      <c r="I55">
        <v>15455</v>
      </c>
      <c r="J55">
        <v>3144058</v>
      </c>
      <c r="K55">
        <v>43673</v>
      </c>
      <c r="L55" t="s">
        <v>936</v>
      </c>
      <c r="M55" t="s">
        <v>937</v>
      </c>
    </row>
    <row r="56" spans="1:13" x14ac:dyDescent="0.3">
      <c r="A56" t="s">
        <v>793</v>
      </c>
      <c r="B56">
        <v>56</v>
      </c>
      <c r="C56">
        <v>7167778</v>
      </c>
      <c r="D56">
        <v>149672</v>
      </c>
      <c r="E56">
        <v>0</v>
      </c>
      <c r="F56">
        <v>0</v>
      </c>
      <c r="G56">
        <v>357770458</v>
      </c>
      <c r="H56">
        <v>4587828</v>
      </c>
      <c r="I56">
        <v>44332</v>
      </c>
      <c r="J56">
        <v>3522751</v>
      </c>
      <c r="K56">
        <v>39940</v>
      </c>
      <c r="L56" t="s">
        <v>936</v>
      </c>
      <c r="M56" t="s">
        <v>937</v>
      </c>
    </row>
    <row r="57" spans="1:13" x14ac:dyDescent="0.3">
      <c r="A57" t="s">
        <v>792</v>
      </c>
      <c r="B57">
        <v>58</v>
      </c>
      <c r="C57">
        <v>7415930</v>
      </c>
      <c r="D57">
        <v>149600</v>
      </c>
      <c r="E57">
        <v>0</v>
      </c>
      <c r="F57">
        <v>0</v>
      </c>
      <c r="G57">
        <v>332478495</v>
      </c>
      <c r="H57">
        <v>4677857</v>
      </c>
      <c r="I57">
        <v>125889</v>
      </c>
      <c r="J57">
        <v>5387592</v>
      </c>
      <c r="K57">
        <v>37809</v>
      </c>
      <c r="L57" t="s">
        <v>936</v>
      </c>
      <c r="M57" t="s">
        <v>943</v>
      </c>
    </row>
    <row r="58" spans="1:13" x14ac:dyDescent="0.3">
      <c r="A58" t="s">
        <v>955</v>
      </c>
      <c r="B58">
        <v>45</v>
      </c>
      <c r="C58">
        <v>6915198</v>
      </c>
      <c r="D58">
        <v>149549</v>
      </c>
      <c r="E58">
        <v>300</v>
      </c>
      <c r="F58">
        <v>0</v>
      </c>
      <c r="G58">
        <v>387673475</v>
      </c>
      <c r="H58">
        <v>4817396</v>
      </c>
      <c r="I58">
        <v>58262</v>
      </c>
      <c r="J58">
        <v>2743373</v>
      </c>
      <c r="K58">
        <v>42300</v>
      </c>
      <c r="L58" t="s">
        <v>936</v>
      </c>
      <c r="M58" t="s">
        <v>939</v>
      </c>
    </row>
    <row r="59" spans="1:13" x14ac:dyDescent="0.3">
      <c r="A59" t="s">
        <v>801</v>
      </c>
      <c r="B59">
        <v>78</v>
      </c>
      <c r="C59">
        <v>6645933</v>
      </c>
      <c r="D59">
        <v>148979</v>
      </c>
      <c r="E59">
        <v>385</v>
      </c>
      <c r="F59">
        <v>0</v>
      </c>
      <c r="G59">
        <v>344131093</v>
      </c>
      <c r="H59">
        <v>4438039</v>
      </c>
      <c r="I59">
        <v>44993</v>
      </c>
      <c r="J59">
        <v>5367439</v>
      </c>
      <c r="K59">
        <v>42960</v>
      </c>
      <c r="L59" t="s">
        <v>936</v>
      </c>
      <c r="M59" t="s">
        <v>944</v>
      </c>
    </row>
    <row r="60" spans="1:13" x14ac:dyDescent="0.3">
      <c r="A60" t="s">
        <v>961</v>
      </c>
      <c r="B60">
        <v>53</v>
      </c>
      <c r="C60">
        <v>11184364</v>
      </c>
      <c r="D60">
        <v>148514</v>
      </c>
      <c r="E60">
        <v>0</v>
      </c>
      <c r="F60">
        <v>0</v>
      </c>
      <c r="G60">
        <v>349067378</v>
      </c>
      <c r="H60">
        <v>4582400</v>
      </c>
      <c r="I60">
        <v>44537</v>
      </c>
      <c r="J60">
        <v>3480620</v>
      </c>
      <c r="K60">
        <v>37720</v>
      </c>
      <c r="L60" t="s">
        <v>936</v>
      </c>
      <c r="M60" t="s">
        <v>946</v>
      </c>
    </row>
    <row r="61" spans="1:13" x14ac:dyDescent="0.3">
      <c r="A61" t="s">
        <v>748</v>
      </c>
      <c r="B61">
        <v>15</v>
      </c>
      <c r="C61">
        <v>9618156</v>
      </c>
      <c r="D61">
        <v>146554</v>
      </c>
      <c r="E61">
        <v>0</v>
      </c>
      <c r="F61">
        <v>0</v>
      </c>
      <c r="G61">
        <v>475932030</v>
      </c>
      <c r="H61">
        <v>5799778</v>
      </c>
      <c r="I61">
        <v>29239</v>
      </c>
      <c r="J61">
        <v>2770716</v>
      </c>
      <c r="K61">
        <v>35530</v>
      </c>
      <c r="L61" t="s">
        <v>936</v>
      </c>
      <c r="M61" t="s">
        <v>937</v>
      </c>
    </row>
    <row r="62" spans="1:13" x14ac:dyDescent="0.3">
      <c r="A62" t="s">
        <v>808</v>
      </c>
      <c r="B62">
        <v>77</v>
      </c>
      <c r="C62">
        <v>11409790</v>
      </c>
      <c r="D62">
        <v>144646</v>
      </c>
      <c r="E62">
        <v>540</v>
      </c>
      <c r="F62">
        <v>0</v>
      </c>
      <c r="G62">
        <v>357274083</v>
      </c>
      <c r="H62">
        <v>4379961</v>
      </c>
      <c r="I62">
        <v>31829</v>
      </c>
      <c r="J62">
        <v>3174407</v>
      </c>
      <c r="K62">
        <v>34490</v>
      </c>
      <c r="L62" t="s">
        <v>936</v>
      </c>
      <c r="M62" t="s">
        <v>946</v>
      </c>
    </row>
    <row r="63" spans="1:13" x14ac:dyDescent="0.3">
      <c r="A63" t="s">
        <v>788</v>
      </c>
      <c r="B63">
        <v>63</v>
      </c>
      <c r="C63">
        <v>7991574</v>
      </c>
      <c r="D63">
        <v>143530</v>
      </c>
      <c r="E63">
        <v>0</v>
      </c>
      <c r="F63">
        <v>0</v>
      </c>
      <c r="G63">
        <v>341881781</v>
      </c>
      <c r="H63">
        <v>4060493</v>
      </c>
      <c r="I63">
        <v>48763</v>
      </c>
      <c r="J63">
        <v>3359356</v>
      </c>
      <c r="K63">
        <v>47020</v>
      </c>
      <c r="L63" t="s">
        <v>936</v>
      </c>
      <c r="M63" t="s">
        <v>944</v>
      </c>
    </row>
    <row r="64" spans="1:13" x14ac:dyDescent="0.3">
      <c r="A64" t="s">
        <v>963</v>
      </c>
      <c r="B64">
        <v>118</v>
      </c>
      <c r="C64">
        <v>6837753</v>
      </c>
      <c r="D64">
        <v>143516</v>
      </c>
      <c r="E64">
        <v>0</v>
      </c>
      <c r="F64">
        <v>0</v>
      </c>
      <c r="G64">
        <v>297309025</v>
      </c>
      <c r="H64">
        <v>3020569</v>
      </c>
      <c r="I64">
        <v>50870</v>
      </c>
      <c r="J64">
        <v>3449800</v>
      </c>
      <c r="K64">
        <v>31660</v>
      </c>
      <c r="L64" t="s">
        <v>936</v>
      </c>
      <c r="M64" t="s">
        <v>946</v>
      </c>
    </row>
    <row r="65" spans="1:13" x14ac:dyDescent="0.3">
      <c r="A65" t="s">
        <v>951</v>
      </c>
      <c r="B65">
        <v>66</v>
      </c>
      <c r="C65">
        <v>6590402</v>
      </c>
      <c r="D65">
        <v>143319</v>
      </c>
      <c r="E65">
        <v>120</v>
      </c>
      <c r="F65">
        <v>0</v>
      </c>
      <c r="G65">
        <v>307685788</v>
      </c>
      <c r="H65">
        <v>4566087</v>
      </c>
      <c r="I65">
        <v>110188</v>
      </c>
      <c r="J65">
        <v>2944971</v>
      </c>
      <c r="K65">
        <v>38300</v>
      </c>
      <c r="L65" t="s">
        <v>936</v>
      </c>
      <c r="M65" t="s">
        <v>940</v>
      </c>
    </row>
    <row r="66" spans="1:13" x14ac:dyDescent="0.3">
      <c r="A66" t="s">
        <v>775</v>
      </c>
      <c r="B66">
        <v>47</v>
      </c>
      <c r="C66">
        <v>6196535</v>
      </c>
      <c r="D66">
        <v>141193</v>
      </c>
      <c r="E66">
        <v>0</v>
      </c>
      <c r="F66">
        <v>0</v>
      </c>
      <c r="G66">
        <v>313330940</v>
      </c>
      <c r="H66">
        <v>4658639</v>
      </c>
      <c r="I66">
        <v>49560</v>
      </c>
      <c r="J66">
        <v>3406692</v>
      </c>
      <c r="K66">
        <v>38030</v>
      </c>
      <c r="L66" t="s">
        <v>936</v>
      </c>
      <c r="M66" t="s">
        <v>939</v>
      </c>
    </row>
    <row r="67" spans="1:13" x14ac:dyDescent="0.3">
      <c r="A67" t="s">
        <v>767</v>
      </c>
      <c r="B67">
        <v>31</v>
      </c>
      <c r="C67">
        <v>6138394</v>
      </c>
      <c r="D67">
        <v>140856</v>
      </c>
      <c r="E67">
        <v>0</v>
      </c>
      <c r="F67">
        <v>0</v>
      </c>
      <c r="G67">
        <v>375688328</v>
      </c>
      <c r="H67">
        <v>5173818</v>
      </c>
      <c r="I67">
        <v>74614</v>
      </c>
      <c r="J67">
        <v>3135417</v>
      </c>
      <c r="K67">
        <v>38810</v>
      </c>
      <c r="L67" t="s">
        <v>936</v>
      </c>
      <c r="M67" t="s">
        <v>944</v>
      </c>
    </row>
    <row r="68" spans="1:13" x14ac:dyDescent="0.3">
      <c r="A68" t="s">
        <v>795</v>
      </c>
      <c r="B68">
        <v>65</v>
      </c>
      <c r="C68">
        <v>6771359</v>
      </c>
      <c r="D68">
        <v>140478</v>
      </c>
      <c r="E68">
        <v>346</v>
      </c>
      <c r="F68">
        <v>0</v>
      </c>
      <c r="G68">
        <v>333246594</v>
      </c>
      <c r="H68">
        <v>4387998</v>
      </c>
      <c r="I68">
        <v>43225</v>
      </c>
      <c r="J68">
        <v>3989749</v>
      </c>
      <c r="K68">
        <v>41273</v>
      </c>
      <c r="L68" t="s">
        <v>936</v>
      </c>
      <c r="M68" t="s">
        <v>939</v>
      </c>
    </row>
    <row r="69" spans="1:13" x14ac:dyDescent="0.3">
      <c r="A69" t="s">
        <v>601</v>
      </c>
      <c r="B69">
        <v>87</v>
      </c>
      <c r="C69">
        <v>7091298</v>
      </c>
      <c r="D69">
        <v>139751</v>
      </c>
      <c r="E69">
        <v>0</v>
      </c>
      <c r="F69">
        <v>0</v>
      </c>
      <c r="G69">
        <v>285547038</v>
      </c>
      <c r="H69">
        <v>4172674</v>
      </c>
      <c r="I69">
        <v>47174</v>
      </c>
      <c r="J69">
        <v>4578043</v>
      </c>
      <c r="K69">
        <v>37430</v>
      </c>
      <c r="L69" t="s">
        <v>936</v>
      </c>
      <c r="M69" t="s">
        <v>945</v>
      </c>
    </row>
    <row r="70" spans="1:13" x14ac:dyDescent="0.3">
      <c r="A70" t="s">
        <v>799</v>
      </c>
      <c r="B70">
        <v>70</v>
      </c>
      <c r="C70">
        <v>11218730</v>
      </c>
      <c r="D70">
        <v>139468</v>
      </c>
      <c r="E70">
        <v>1430</v>
      </c>
      <c r="F70">
        <v>0</v>
      </c>
      <c r="G70">
        <v>510200115</v>
      </c>
      <c r="H70">
        <v>4481900</v>
      </c>
      <c r="I70">
        <v>51486</v>
      </c>
      <c r="J70">
        <v>3345422</v>
      </c>
      <c r="K70">
        <v>46060</v>
      </c>
      <c r="L70" t="s">
        <v>936</v>
      </c>
      <c r="M70" t="s">
        <v>940</v>
      </c>
    </row>
    <row r="71" spans="1:13" x14ac:dyDescent="0.3">
      <c r="A71" t="s">
        <v>754</v>
      </c>
      <c r="B71">
        <v>20</v>
      </c>
      <c r="C71">
        <v>7069269</v>
      </c>
      <c r="D71">
        <v>137976</v>
      </c>
      <c r="E71">
        <v>0</v>
      </c>
      <c r="F71">
        <v>0</v>
      </c>
      <c r="G71">
        <v>383130406</v>
      </c>
      <c r="H71">
        <v>5420968</v>
      </c>
      <c r="I71">
        <v>32007</v>
      </c>
      <c r="J71">
        <v>3859526</v>
      </c>
      <c r="K71">
        <v>40763</v>
      </c>
      <c r="L71" t="s">
        <v>936</v>
      </c>
      <c r="M71" t="s">
        <v>942</v>
      </c>
    </row>
    <row r="72" spans="1:13" x14ac:dyDescent="0.3">
      <c r="A72" t="s">
        <v>766</v>
      </c>
      <c r="B72">
        <v>34</v>
      </c>
      <c r="C72">
        <v>6316031</v>
      </c>
      <c r="D72">
        <v>137800</v>
      </c>
      <c r="E72">
        <v>2250</v>
      </c>
      <c r="F72">
        <v>0</v>
      </c>
      <c r="G72">
        <v>370873571</v>
      </c>
      <c r="H72">
        <v>4872920</v>
      </c>
      <c r="I72">
        <v>62252</v>
      </c>
      <c r="J72">
        <v>2762450</v>
      </c>
      <c r="K72">
        <v>35440</v>
      </c>
      <c r="L72" t="s">
        <v>936</v>
      </c>
      <c r="M72" t="s">
        <v>937</v>
      </c>
    </row>
    <row r="73" spans="1:13" x14ac:dyDescent="0.3">
      <c r="A73" t="s">
        <v>780</v>
      </c>
      <c r="B73">
        <v>46</v>
      </c>
      <c r="C73">
        <v>7336634</v>
      </c>
      <c r="D73">
        <v>137533</v>
      </c>
      <c r="E73">
        <v>0</v>
      </c>
      <c r="F73">
        <v>0</v>
      </c>
      <c r="G73">
        <v>405156206</v>
      </c>
      <c r="H73">
        <v>4755655</v>
      </c>
      <c r="I73">
        <v>50577</v>
      </c>
      <c r="J73">
        <v>3385461</v>
      </c>
      <c r="K73">
        <v>39920</v>
      </c>
      <c r="L73" t="s">
        <v>936</v>
      </c>
      <c r="M73" t="s">
        <v>942</v>
      </c>
    </row>
    <row r="74" spans="1:13" x14ac:dyDescent="0.3">
      <c r="A74" t="s">
        <v>778</v>
      </c>
      <c r="B74">
        <v>52</v>
      </c>
      <c r="C74">
        <v>6843429</v>
      </c>
      <c r="D74">
        <v>136904</v>
      </c>
      <c r="E74">
        <v>0</v>
      </c>
      <c r="F74">
        <v>0</v>
      </c>
      <c r="G74">
        <v>421896195</v>
      </c>
      <c r="H74">
        <v>4483743</v>
      </c>
      <c r="I74">
        <v>46958</v>
      </c>
      <c r="J74">
        <v>2712776</v>
      </c>
      <c r="K74">
        <v>39030</v>
      </c>
      <c r="L74" t="s">
        <v>936</v>
      </c>
      <c r="M74" t="s">
        <v>937</v>
      </c>
    </row>
    <row r="75" spans="1:13" x14ac:dyDescent="0.3">
      <c r="A75" t="s">
        <v>974</v>
      </c>
      <c r="B75">
        <v>135</v>
      </c>
      <c r="C75">
        <v>6184743</v>
      </c>
      <c r="D75">
        <v>136188</v>
      </c>
      <c r="E75">
        <v>0</v>
      </c>
      <c r="F75">
        <v>0</v>
      </c>
      <c r="G75">
        <v>236790375</v>
      </c>
      <c r="H75">
        <v>2591315</v>
      </c>
      <c r="I75">
        <v>23976</v>
      </c>
      <c r="J75">
        <v>12114174</v>
      </c>
      <c r="K75">
        <v>40240</v>
      </c>
      <c r="L75" t="s">
        <v>936</v>
      </c>
      <c r="M75" t="s">
        <v>942</v>
      </c>
    </row>
    <row r="76" spans="1:13" x14ac:dyDescent="0.3">
      <c r="A76" t="s">
        <v>958</v>
      </c>
      <c r="B76">
        <v>110</v>
      </c>
      <c r="C76">
        <v>6686213</v>
      </c>
      <c r="D76">
        <v>134054</v>
      </c>
      <c r="E76">
        <v>0</v>
      </c>
      <c r="F76">
        <v>0</v>
      </c>
      <c r="G76">
        <v>245667407</v>
      </c>
      <c r="H76">
        <v>3227621</v>
      </c>
      <c r="I76">
        <v>15948</v>
      </c>
      <c r="J76">
        <v>4317550</v>
      </c>
      <c r="K76">
        <v>41600</v>
      </c>
      <c r="L76" t="s">
        <v>936</v>
      </c>
      <c r="M76" t="s">
        <v>945</v>
      </c>
    </row>
    <row r="77" spans="1:13" x14ac:dyDescent="0.3">
      <c r="A77" t="s">
        <v>964</v>
      </c>
      <c r="B77">
        <v>103</v>
      </c>
      <c r="C77">
        <v>5992870</v>
      </c>
      <c r="D77">
        <v>132504</v>
      </c>
      <c r="E77">
        <v>0</v>
      </c>
      <c r="F77">
        <v>0</v>
      </c>
      <c r="G77">
        <v>249988273</v>
      </c>
      <c r="H77">
        <v>3345467</v>
      </c>
      <c r="I77">
        <v>55883</v>
      </c>
      <c r="J77">
        <v>3037846</v>
      </c>
      <c r="K77">
        <v>33640</v>
      </c>
      <c r="L77" t="s">
        <v>936</v>
      </c>
      <c r="M77" t="s">
        <v>939</v>
      </c>
    </row>
    <row r="78" spans="1:13" x14ac:dyDescent="0.3">
      <c r="A78" t="s">
        <v>781</v>
      </c>
      <c r="B78">
        <v>44</v>
      </c>
      <c r="C78">
        <v>6463521</v>
      </c>
      <c r="D78">
        <v>131295</v>
      </c>
      <c r="E78">
        <v>0</v>
      </c>
      <c r="F78">
        <v>0</v>
      </c>
      <c r="G78">
        <v>349934546</v>
      </c>
      <c r="H78">
        <v>4513701</v>
      </c>
      <c r="I78">
        <v>44811</v>
      </c>
      <c r="J78">
        <v>2870594</v>
      </c>
      <c r="K78">
        <v>41040</v>
      </c>
      <c r="L78" t="s">
        <v>936</v>
      </c>
      <c r="M78" t="s">
        <v>944</v>
      </c>
    </row>
    <row r="79" spans="1:13" x14ac:dyDescent="0.3">
      <c r="A79" t="s">
        <v>976</v>
      </c>
      <c r="B79">
        <v>105</v>
      </c>
      <c r="C79">
        <v>6136971</v>
      </c>
      <c r="D79">
        <v>130535</v>
      </c>
      <c r="E79">
        <v>0</v>
      </c>
      <c r="F79">
        <v>0</v>
      </c>
      <c r="G79">
        <v>271684356</v>
      </c>
      <c r="H79">
        <v>3450587</v>
      </c>
      <c r="I79">
        <v>18522</v>
      </c>
      <c r="J79">
        <v>8905273</v>
      </c>
      <c r="K79">
        <v>39080</v>
      </c>
      <c r="L79" t="s">
        <v>936</v>
      </c>
      <c r="M79" t="s">
        <v>942</v>
      </c>
    </row>
    <row r="80" spans="1:13" x14ac:dyDescent="0.3">
      <c r="A80" t="s">
        <v>789</v>
      </c>
      <c r="B80">
        <v>57</v>
      </c>
      <c r="C80">
        <v>6224575</v>
      </c>
      <c r="D80">
        <v>130185</v>
      </c>
      <c r="E80">
        <v>573</v>
      </c>
      <c r="F80">
        <v>0</v>
      </c>
      <c r="G80">
        <v>371898255</v>
      </c>
      <c r="H80">
        <v>4595418</v>
      </c>
      <c r="I80">
        <v>90650</v>
      </c>
      <c r="J80">
        <v>3538091</v>
      </c>
      <c r="K80">
        <v>40810</v>
      </c>
      <c r="L80" t="s">
        <v>936</v>
      </c>
      <c r="M80" t="s">
        <v>945</v>
      </c>
    </row>
    <row r="81" spans="1:13" x14ac:dyDescent="0.3">
      <c r="A81" t="s">
        <v>758</v>
      </c>
      <c r="B81">
        <v>21</v>
      </c>
      <c r="C81">
        <v>6423458</v>
      </c>
      <c r="D81">
        <v>129725</v>
      </c>
      <c r="E81">
        <v>246</v>
      </c>
      <c r="F81">
        <v>0</v>
      </c>
      <c r="G81">
        <v>409213146</v>
      </c>
      <c r="H81">
        <v>5717269</v>
      </c>
      <c r="I81">
        <v>47340</v>
      </c>
      <c r="J81">
        <v>2705074</v>
      </c>
      <c r="K81">
        <v>40543</v>
      </c>
      <c r="L81" t="s">
        <v>936</v>
      </c>
      <c r="M81" t="s">
        <v>939</v>
      </c>
    </row>
    <row r="82" spans="1:13" x14ac:dyDescent="0.3">
      <c r="A82" t="s">
        <v>798</v>
      </c>
      <c r="B82">
        <v>73</v>
      </c>
      <c r="C82">
        <v>5707165</v>
      </c>
      <c r="D82">
        <v>129186</v>
      </c>
      <c r="E82">
        <v>50</v>
      </c>
      <c r="F82">
        <v>0</v>
      </c>
      <c r="G82">
        <v>334993236</v>
      </c>
      <c r="H82">
        <v>4488430</v>
      </c>
      <c r="I82">
        <v>128161</v>
      </c>
      <c r="J82">
        <v>4290497</v>
      </c>
      <c r="K82">
        <v>39162</v>
      </c>
      <c r="L82" t="s">
        <v>936</v>
      </c>
      <c r="M82" t="s">
        <v>946</v>
      </c>
    </row>
    <row r="83" spans="1:13" x14ac:dyDescent="0.3">
      <c r="A83" t="s">
        <v>956</v>
      </c>
      <c r="B83">
        <v>111</v>
      </c>
      <c r="C83">
        <v>5651721</v>
      </c>
      <c r="D83">
        <v>128757</v>
      </c>
      <c r="E83">
        <v>4950</v>
      </c>
      <c r="F83">
        <v>0</v>
      </c>
      <c r="G83">
        <v>242934856</v>
      </c>
      <c r="H83">
        <v>3342190</v>
      </c>
      <c r="I83">
        <v>110543</v>
      </c>
      <c r="J83">
        <v>8448987</v>
      </c>
      <c r="K83">
        <v>34316</v>
      </c>
      <c r="L83" t="s">
        <v>936</v>
      </c>
      <c r="M83" t="s">
        <v>942</v>
      </c>
    </row>
    <row r="84" spans="1:13" x14ac:dyDescent="0.3">
      <c r="A84" t="s">
        <v>968</v>
      </c>
      <c r="B84">
        <v>155</v>
      </c>
      <c r="C84">
        <v>5883056</v>
      </c>
      <c r="D84">
        <v>127297</v>
      </c>
      <c r="E84">
        <v>350</v>
      </c>
      <c r="F84">
        <v>0</v>
      </c>
      <c r="G84">
        <v>201660709</v>
      </c>
      <c r="H84">
        <v>2117196</v>
      </c>
      <c r="I84">
        <v>7858</v>
      </c>
      <c r="J84">
        <v>3626092</v>
      </c>
      <c r="K84">
        <v>34450</v>
      </c>
      <c r="L84" t="s">
        <v>936</v>
      </c>
      <c r="M84" t="s">
        <v>945</v>
      </c>
    </row>
    <row r="85" spans="1:13" x14ac:dyDescent="0.3">
      <c r="A85" t="s">
        <v>751</v>
      </c>
      <c r="B85">
        <v>16</v>
      </c>
      <c r="C85">
        <v>5627745</v>
      </c>
      <c r="D85">
        <v>127121</v>
      </c>
      <c r="E85">
        <v>0</v>
      </c>
      <c r="F85">
        <v>0</v>
      </c>
      <c r="G85">
        <v>405167093</v>
      </c>
      <c r="H85">
        <v>6092998</v>
      </c>
      <c r="I85">
        <v>46851</v>
      </c>
      <c r="J85">
        <v>4819625</v>
      </c>
      <c r="K85">
        <v>39960</v>
      </c>
      <c r="L85" t="s">
        <v>936</v>
      </c>
      <c r="M85" t="s">
        <v>939</v>
      </c>
    </row>
    <row r="86" spans="1:13" x14ac:dyDescent="0.3">
      <c r="A86" t="s">
        <v>948</v>
      </c>
      <c r="B86">
        <v>83</v>
      </c>
      <c r="C86">
        <v>6251862</v>
      </c>
      <c r="D86">
        <v>126586</v>
      </c>
      <c r="E86">
        <v>350</v>
      </c>
      <c r="F86">
        <v>0</v>
      </c>
      <c r="G86">
        <v>339484484</v>
      </c>
      <c r="H86">
        <v>4203190</v>
      </c>
      <c r="I86">
        <v>60214</v>
      </c>
      <c r="J86">
        <v>3007799</v>
      </c>
      <c r="K86">
        <v>40029</v>
      </c>
      <c r="L86" t="s">
        <v>936</v>
      </c>
      <c r="M86" t="s">
        <v>942</v>
      </c>
    </row>
    <row r="87" spans="1:13" x14ac:dyDescent="0.3">
      <c r="A87" t="s">
        <v>813</v>
      </c>
      <c r="B87">
        <v>90</v>
      </c>
      <c r="C87">
        <v>5962757</v>
      </c>
      <c r="D87">
        <v>126492</v>
      </c>
      <c r="E87">
        <v>0</v>
      </c>
      <c r="F87">
        <v>0</v>
      </c>
      <c r="G87">
        <v>293312959</v>
      </c>
      <c r="H87">
        <v>4001766</v>
      </c>
      <c r="I87">
        <v>34907</v>
      </c>
      <c r="J87">
        <v>3365819</v>
      </c>
      <c r="K87">
        <v>34630</v>
      </c>
      <c r="L87" t="s">
        <v>936</v>
      </c>
      <c r="M87" t="s">
        <v>939</v>
      </c>
    </row>
    <row r="88" spans="1:13" x14ac:dyDescent="0.3">
      <c r="A88" t="s">
        <v>822</v>
      </c>
      <c r="B88">
        <v>98</v>
      </c>
      <c r="C88">
        <v>5478742</v>
      </c>
      <c r="D88">
        <v>126238</v>
      </c>
      <c r="E88">
        <v>0</v>
      </c>
      <c r="F88">
        <v>0</v>
      </c>
      <c r="G88">
        <v>314886298</v>
      </c>
      <c r="H88">
        <v>3452471</v>
      </c>
      <c r="I88">
        <v>83437</v>
      </c>
      <c r="J88">
        <v>2963087</v>
      </c>
      <c r="K88">
        <v>39700</v>
      </c>
      <c r="L88" t="s">
        <v>936</v>
      </c>
      <c r="M88" t="s">
        <v>944</v>
      </c>
    </row>
    <row r="89" spans="1:13" x14ac:dyDescent="0.3">
      <c r="A89" t="s">
        <v>954</v>
      </c>
      <c r="B89">
        <v>100</v>
      </c>
      <c r="C89">
        <v>6231849</v>
      </c>
      <c r="D89">
        <v>125933</v>
      </c>
      <c r="E89">
        <v>0</v>
      </c>
      <c r="F89">
        <v>0</v>
      </c>
      <c r="G89">
        <v>275904905</v>
      </c>
      <c r="H89">
        <v>3474073</v>
      </c>
      <c r="I89">
        <v>42898</v>
      </c>
      <c r="J89">
        <v>6279036</v>
      </c>
      <c r="K89">
        <v>40910</v>
      </c>
      <c r="L89" t="s">
        <v>936</v>
      </c>
      <c r="M89" t="s">
        <v>945</v>
      </c>
    </row>
    <row r="90" spans="1:13" x14ac:dyDescent="0.3">
      <c r="A90" t="s">
        <v>834</v>
      </c>
      <c r="B90">
        <v>116</v>
      </c>
      <c r="C90">
        <v>6195327</v>
      </c>
      <c r="D90">
        <v>125672</v>
      </c>
      <c r="E90">
        <v>209</v>
      </c>
      <c r="F90">
        <v>0</v>
      </c>
      <c r="G90">
        <v>270039737</v>
      </c>
      <c r="H90">
        <v>3231283</v>
      </c>
      <c r="I90">
        <v>5554</v>
      </c>
      <c r="J90">
        <v>8914326</v>
      </c>
      <c r="K90">
        <v>31743</v>
      </c>
      <c r="L90" t="s">
        <v>936</v>
      </c>
      <c r="M90" t="s">
        <v>937</v>
      </c>
    </row>
    <row r="91" spans="1:13" x14ac:dyDescent="0.3">
      <c r="A91" t="s">
        <v>749</v>
      </c>
      <c r="B91">
        <v>13</v>
      </c>
      <c r="C91">
        <v>6547410</v>
      </c>
      <c r="D91">
        <v>124560</v>
      </c>
      <c r="E91">
        <v>350</v>
      </c>
      <c r="F91">
        <v>0</v>
      </c>
      <c r="G91">
        <v>435989649</v>
      </c>
      <c r="H91">
        <v>5894445</v>
      </c>
      <c r="I91">
        <v>44718</v>
      </c>
      <c r="J91">
        <v>3448225</v>
      </c>
      <c r="K91">
        <v>45950</v>
      </c>
      <c r="L91" t="s">
        <v>936</v>
      </c>
      <c r="M91" t="s">
        <v>940</v>
      </c>
    </row>
    <row r="92" spans="1:13" x14ac:dyDescent="0.3">
      <c r="A92" t="s">
        <v>826</v>
      </c>
      <c r="B92">
        <v>106</v>
      </c>
      <c r="C92">
        <v>5826248</v>
      </c>
      <c r="D92">
        <v>124426</v>
      </c>
      <c r="E92">
        <v>1315</v>
      </c>
      <c r="F92">
        <v>0</v>
      </c>
      <c r="G92">
        <v>281391475</v>
      </c>
      <c r="H92">
        <v>3699489</v>
      </c>
      <c r="I92">
        <v>28514</v>
      </c>
      <c r="J92">
        <v>2706596</v>
      </c>
      <c r="K92">
        <v>36520</v>
      </c>
      <c r="L92" t="s">
        <v>936</v>
      </c>
      <c r="M92" t="s">
        <v>940</v>
      </c>
    </row>
    <row r="93" spans="1:13" x14ac:dyDescent="0.3">
      <c r="A93" t="s">
        <v>787</v>
      </c>
      <c r="B93">
        <v>62</v>
      </c>
      <c r="C93">
        <v>6161245</v>
      </c>
      <c r="D93">
        <v>123262</v>
      </c>
      <c r="E93">
        <v>0</v>
      </c>
      <c r="F93">
        <v>0</v>
      </c>
      <c r="G93">
        <v>318511197</v>
      </c>
      <c r="H93">
        <v>4208163</v>
      </c>
      <c r="I93">
        <v>42937</v>
      </c>
      <c r="J93">
        <v>3787035</v>
      </c>
      <c r="K93">
        <v>33240</v>
      </c>
      <c r="L93" t="s">
        <v>936</v>
      </c>
      <c r="M93" t="s">
        <v>939</v>
      </c>
    </row>
    <row r="94" spans="1:13" x14ac:dyDescent="0.3">
      <c r="A94" t="s">
        <v>830</v>
      </c>
      <c r="B94">
        <v>117</v>
      </c>
      <c r="C94">
        <v>6345193</v>
      </c>
      <c r="D94">
        <v>122145</v>
      </c>
      <c r="E94">
        <v>900</v>
      </c>
      <c r="F94">
        <v>0</v>
      </c>
      <c r="G94">
        <v>236354915</v>
      </c>
      <c r="H94">
        <v>3121674</v>
      </c>
      <c r="I94">
        <v>60309</v>
      </c>
      <c r="J94">
        <v>4167307</v>
      </c>
      <c r="K94">
        <v>27310</v>
      </c>
      <c r="L94" t="s">
        <v>936</v>
      </c>
      <c r="M94" t="s">
        <v>945</v>
      </c>
    </row>
    <row r="95" spans="1:13" x14ac:dyDescent="0.3">
      <c r="A95" t="s">
        <v>603</v>
      </c>
      <c r="B95">
        <v>112</v>
      </c>
      <c r="C95">
        <v>5419148</v>
      </c>
      <c r="D95">
        <v>121958</v>
      </c>
      <c r="E95">
        <v>0</v>
      </c>
      <c r="F95">
        <v>0</v>
      </c>
      <c r="G95">
        <v>243743217</v>
      </c>
      <c r="H95">
        <v>3284871</v>
      </c>
      <c r="I95">
        <v>40713</v>
      </c>
      <c r="J95">
        <v>5309261</v>
      </c>
      <c r="K95">
        <v>32700</v>
      </c>
      <c r="L95" t="s">
        <v>936</v>
      </c>
      <c r="M95" t="s">
        <v>945</v>
      </c>
    </row>
    <row r="96" spans="1:13" x14ac:dyDescent="0.3">
      <c r="A96" t="s">
        <v>872</v>
      </c>
      <c r="B96">
        <v>160</v>
      </c>
      <c r="C96">
        <v>12529139</v>
      </c>
      <c r="D96">
        <v>121134</v>
      </c>
      <c r="E96">
        <v>0</v>
      </c>
      <c r="F96">
        <v>0</v>
      </c>
      <c r="G96">
        <v>235923761</v>
      </c>
      <c r="H96">
        <v>2002484</v>
      </c>
      <c r="I96">
        <v>2600</v>
      </c>
      <c r="J96">
        <v>2749870</v>
      </c>
      <c r="K96">
        <v>42206</v>
      </c>
      <c r="L96" t="s">
        <v>936</v>
      </c>
      <c r="M96" t="s">
        <v>944</v>
      </c>
    </row>
    <row r="97" spans="1:13" x14ac:dyDescent="0.3">
      <c r="A97" t="s">
        <v>825</v>
      </c>
      <c r="B97">
        <v>104</v>
      </c>
      <c r="C97">
        <v>8377036</v>
      </c>
      <c r="D97">
        <v>119876</v>
      </c>
      <c r="E97">
        <v>0</v>
      </c>
      <c r="F97">
        <v>0</v>
      </c>
      <c r="G97">
        <v>271699387</v>
      </c>
      <c r="H97">
        <v>3215010</v>
      </c>
      <c r="I97">
        <v>54588</v>
      </c>
      <c r="J97">
        <v>3499294</v>
      </c>
      <c r="K97">
        <v>39262</v>
      </c>
      <c r="L97" t="s">
        <v>936</v>
      </c>
      <c r="M97" t="s">
        <v>937</v>
      </c>
    </row>
    <row r="98" spans="1:13" x14ac:dyDescent="0.3">
      <c r="A98" t="s">
        <v>950</v>
      </c>
      <c r="B98">
        <v>74</v>
      </c>
      <c r="C98">
        <v>5593154</v>
      </c>
      <c r="D98">
        <v>119751</v>
      </c>
      <c r="E98">
        <v>348</v>
      </c>
      <c r="F98">
        <v>0</v>
      </c>
      <c r="G98">
        <v>355348234</v>
      </c>
      <c r="H98">
        <v>4600322</v>
      </c>
      <c r="I98">
        <v>35687</v>
      </c>
      <c r="J98">
        <v>3348287</v>
      </c>
      <c r="K98">
        <v>36760</v>
      </c>
      <c r="L98" t="s">
        <v>936</v>
      </c>
      <c r="M98" t="s">
        <v>942</v>
      </c>
    </row>
    <row r="99" spans="1:13" x14ac:dyDescent="0.3">
      <c r="A99" t="s">
        <v>815</v>
      </c>
      <c r="B99">
        <v>92</v>
      </c>
      <c r="C99">
        <v>5979558</v>
      </c>
      <c r="D99">
        <v>119626</v>
      </c>
      <c r="E99">
        <v>0</v>
      </c>
      <c r="F99">
        <v>0</v>
      </c>
      <c r="G99">
        <v>253088078</v>
      </c>
      <c r="H99">
        <v>3808719</v>
      </c>
      <c r="I99">
        <v>56236</v>
      </c>
      <c r="J99">
        <v>44520963</v>
      </c>
      <c r="K99">
        <v>30620</v>
      </c>
      <c r="L99" t="s">
        <v>936</v>
      </c>
      <c r="M99" t="s">
        <v>939</v>
      </c>
    </row>
    <row r="100" spans="1:13" x14ac:dyDescent="0.3">
      <c r="A100" t="s">
        <v>816</v>
      </c>
      <c r="B100">
        <v>93</v>
      </c>
      <c r="C100">
        <v>6404794</v>
      </c>
      <c r="D100">
        <v>119248</v>
      </c>
      <c r="E100">
        <v>687</v>
      </c>
      <c r="F100">
        <v>0</v>
      </c>
      <c r="G100">
        <v>273035664</v>
      </c>
      <c r="H100">
        <v>3703847</v>
      </c>
      <c r="I100">
        <v>113876</v>
      </c>
      <c r="J100">
        <v>2734459</v>
      </c>
      <c r="K100">
        <v>38400</v>
      </c>
      <c r="L100" t="s">
        <v>936</v>
      </c>
      <c r="M100" t="s">
        <v>940</v>
      </c>
    </row>
    <row r="101" spans="1:13" x14ac:dyDescent="0.3">
      <c r="A101" t="s">
        <v>809</v>
      </c>
      <c r="B101">
        <v>91</v>
      </c>
      <c r="C101">
        <v>6346138</v>
      </c>
      <c r="D101">
        <v>117282</v>
      </c>
      <c r="E101">
        <v>50</v>
      </c>
      <c r="F101">
        <v>0</v>
      </c>
      <c r="G101">
        <v>312961951</v>
      </c>
      <c r="H101">
        <v>3570235</v>
      </c>
      <c r="I101">
        <v>49182</v>
      </c>
      <c r="J101">
        <v>5987927</v>
      </c>
      <c r="K101">
        <v>42049</v>
      </c>
      <c r="L101" t="s">
        <v>936</v>
      </c>
      <c r="M101" t="s">
        <v>939</v>
      </c>
    </row>
    <row r="102" spans="1:13" x14ac:dyDescent="0.3">
      <c r="A102" t="s">
        <v>790</v>
      </c>
      <c r="B102">
        <v>60</v>
      </c>
      <c r="C102">
        <v>5773429</v>
      </c>
      <c r="D102">
        <v>115503</v>
      </c>
      <c r="E102">
        <v>1350</v>
      </c>
      <c r="F102">
        <v>0</v>
      </c>
      <c r="G102">
        <v>331848556</v>
      </c>
      <c r="H102">
        <v>4307531</v>
      </c>
      <c r="I102">
        <v>48231</v>
      </c>
      <c r="J102">
        <v>2836865</v>
      </c>
      <c r="K102">
        <v>38370</v>
      </c>
      <c r="L102" t="s">
        <v>936</v>
      </c>
      <c r="M102" t="s">
        <v>945</v>
      </c>
    </row>
    <row r="103" spans="1:13" x14ac:dyDescent="0.3">
      <c r="A103" t="s">
        <v>818</v>
      </c>
      <c r="B103">
        <v>94</v>
      </c>
      <c r="C103">
        <v>4907438</v>
      </c>
      <c r="D103">
        <v>115001</v>
      </c>
      <c r="E103">
        <v>5400</v>
      </c>
      <c r="F103">
        <v>0</v>
      </c>
      <c r="G103">
        <v>299578948</v>
      </c>
      <c r="H103">
        <v>3888544</v>
      </c>
      <c r="I103">
        <v>143678</v>
      </c>
      <c r="J103">
        <v>4891434</v>
      </c>
      <c r="K103">
        <v>40460</v>
      </c>
      <c r="L103" t="s">
        <v>936</v>
      </c>
      <c r="M103" t="s">
        <v>946</v>
      </c>
    </row>
    <row r="104" spans="1:13" x14ac:dyDescent="0.3">
      <c r="A104" t="s">
        <v>838</v>
      </c>
      <c r="B104">
        <v>125</v>
      </c>
      <c r="C104">
        <v>5659543</v>
      </c>
      <c r="D104">
        <v>114316</v>
      </c>
      <c r="E104">
        <v>0</v>
      </c>
      <c r="F104">
        <v>0</v>
      </c>
      <c r="G104">
        <v>234197497</v>
      </c>
      <c r="H104">
        <v>2855568</v>
      </c>
      <c r="I104">
        <v>45920</v>
      </c>
      <c r="J104">
        <v>5152246</v>
      </c>
      <c r="K104">
        <v>34910</v>
      </c>
      <c r="L104" t="s">
        <v>936</v>
      </c>
      <c r="M104" t="s">
        <v>942</v>
      </c>
    </row>
    <row r="105" spans="1:13" x14ac:dyDescent="0.3">
      <c r="A105" t="s">
        <v>600</v>
      </c>
      <c r="B105">
        <v>79</v>
      </c>
      <c r="C105">
        <v>5347674</v>
      </c>
      <c r="D105">
        <v>113875</v>
      </c>
      <c r="E105">
        <v>0</v>
      </c>
      <c r="F105">
        <v>0</v>
      </c>
      <c r="G105">
        <v>318797991</v>
      </c>
      <c r="H105">
        <v>4256335</v>
      </c>
      <c r="I105">
        <v>30179</v>
      </c>
      <c r="J105">
        <v>6107671</v>
      </c>
      <c r="K105">
        <v>40293</v>
      </c>
      <c r="L105" t="s">
        <v>936</v>
      </c>
      <c r="M105" t="s">
        <v>945</v>
      </c>
    </row>
    <row r="106" spans="1:13" x14ac:dyDescent="0.3">
      <c r="A106" t="s">
        <v>960</v>
      </c>
      <c r="B106">
        <v>88</v>
      </c>
      <c r="C106">
        <v>9649974</v>
      </c>
      <c r="D106">
        <v>111739</v>
      </c>
      <c r="E106">
        <v>0</v>
      </c>
      <c r="F106">
        <v>0</v>
      </c>
      <c r="G106">
        <v>340757185</v>
      </c>
      <c r="H106">
        <v>3937944</v>
      </c>
      <c r="I106">
        <v>23200</v>
      </c>
      <c r="J106">
        <v>6151726</v>
      </c>
      <c r="K106">
        <v>36200</v>
      </c>
      <c r="L106" t="s">
        <v>936</v>
      </c>
      <c r="M106" t="s">
        <v>945</v>
      </c>
    </row>
    <row r="107" spans="1:13" x14ac:dyDescent="0.3">
      <c r="A107" t="s">
        <v>865</v>
      </c>
      <c r="B107">
        <v>151</v>
      </c>
      <c r="C107">
        <v>5413808</v>
      </c>
      <c r="D107">
        <v>111212</v>
      </c>
      <c r="E107">
        <v>0</v>
      </c>
      <c r="F107">
        <v>0</v>
      </c>
      <c r="G107">
        <v>220455246</v>
      </c>
      <c r="H107">
        <v>2222227</v>
      </c>
      <c r="I107">
        <v>3797</v>
      </c>
      <c r="J107">
        <v>35083546</v>
      </c>
      <c r="K107">
        <v>38680</v>
      </c>
      <c r="L107" t="s">
        <v>936</v>
      </c>
      <c r="M107" t="s">
        <v>937</v>
      </c>
    </row>
    <row r="108" spans="1:13" x14ac:dyDescent="0.3">
      <c r="A108" t="s">
        <v>833</v>
      </c>
      <c r="B108">
        <v>119</v>
      </c>
      <c r="C108">
        <v>5403657</v>
      </c>
      <c r="D108">
        <v>108953</v>
      </c>
      <c r="E108">
        <v>5400</v>
      </c>
      <c r="F108">
        <v>0</v>
      </c>
      <c r="G108">
        <v>330373097</v>
      </c>
      <c r="H108">
        <v>3089681</v>
      </c>
      <c r="I108">
        <v>58524</v>
      </c>
      <c r="J108">
        <v>2144170</v>
      </c>
      <c r="K108">
        <v>43690</v>
      </c>
      <c r="L108" t="s">
        <v>936</v>
      </c>
      <c r="M108" t="s">
        <v>944</v>
      </c>
    </row>
    <row r="109" spans="1:13" x14ac:dyDescent="0.3">
      <c r="A109" t="s">
        <v>837</v>
      </c>
      <c r="B109">
        <v>121</v>
      </c>
      <c r="C109">
        <v>5325601</v>
      </c>
      <c r="D109">
        <v>108550</v>
      </c>
      <c r="E109">
        <v>202</v>
      </c>
      <c r="F109">
        <v>0</v>
      </c>
      <c r="G109">
        <v>282725196</v>
      </c>
      <c r="H109">
        <v>3011703</v>
      </c>
      <c r="I109">
        <v>34699</v>
      </c>
      <c r="J109">
        <v>11047709</v>
      </c>
      <c r="K109">
        <v>33953</v>
      </c>
      <c r="L109" t="s">
        <v>936</v>
      </c>
      <c r="M109" t="s">
        <v>937</v>
      </c>
    </row>
    <row r="110" spans="1:13" x14ac:dyDescent="0.3">
      <c r="A110" t="s">
        <v>844</v>
      </c>
      <c r="B110">
        <v>141</v>
      </c>
      <c r="C110">
        <v>5706064</v>
      </c>
      <c r="D110">
        <v>106576</v>
      </c>
      <c r="E110">
        <v>1617</v>
      </c>
      <c r="F110">
        <v>0</v>
      </c>
      <c r="G110">
        <v>262312891</v>
      </c>
      <c r="H110">
        <v>2441540</v>
      </c>
      <c r="I110">
        <v>53196</v>
      </c>
      <c r="J110">
        <v>9247747</v>
      </c>
      <c r="K110">
        <v>33753</v>
      </c>
      <c r="L110" t="s">
        <v>987</v>
      </c>
      <c r="M110" t="s">
        <v>939</v>
      </c>
    </row>
    <row r="111" spans="1:13" x14ac:dyDescent="0.3">
      <c r="A111" t="s">
        <v>824</v>
      </c>
      <c r="B111">
        <v>107</v>
      </c>
      <c r="C111">
        <v>4964933</v>
      </c>
      <c r="D111">
        <v>106370</v>
      </c>
      <c r="E111">
        <v>450</v>
      </c>
      <c r="F111">
        <v>0</v>
      </c>
      <c r="G111">
        <v>258460597</v>
      </c>
      <c r="H111">
        <v>2926194</v>
      </c>
      <c r="I111">
        <v>6306</v>
      </c>
      <c r="J111">
        <v>5042586</v>
      </c>
      <c r="K111">
        <v>33673</v>
      </c>
      <c r="L111" t="s">
        <v>936</v>
      </c>
      <c r="M111" t="s">
        <v>959</v>
      </c>
    </row>
    <row r="112" spans="1:13" x14ac:dyDescent="0.3">
      <c r="A112" t="s">
        <v>971</v>
      </c>
      <c r="B112">
        <v>122</v>
      </c>
      <c r="C112">
        <v>5193815</v>
      </c>
      <c r="D112">
        <v>104810</v>
      </c>
      <c r="E112">
        <v>350</v>
      </c>
      <c r="F112">
        <v>0</v>
      </c>
      <c r="G112">
        <v>264033163</v>
      </c>
      <c r="H112">
        <v>2802143</v>
      </c>
      <c r="I112">
        <v>33151</v>
      </c>
      <c r="J112">
        <v>3579744</v>
      </c>
      <c r="K112">
        <v>35430</v>
      </c>
      <c r="L112" t="s">
        <v>936</v>
      </c>
      <c r="M112" t="s">
        <v>942</v>
      </c>
    </row>
    <row r="113" spans="1:13" x14ac:dyDescent="0.3">
      <c r="A113" t="s">
        <v>957</v>
      </c>
      <c r="B113">
        <v>51</v>
      </c>
      <c r="C113">
        <v>5476863</v>
      </c>
      <c r="D113">
        <v>103872</v>
      </c>
      <c r="E113">
        <v>4333</v>
      </c>
      <c r="F113">
        <v>0</v>
      </c>
      <c r="G113">
        <v>355469751</v>
      </c>
      <c r="H113">
        <v>4590824</v>
      </c>
      <c r="I113">
        <v>48560</v>
      </c>
      <c r="J113">
        <v>2705997</v>
      </c>
      <c r="K113">
        <v>40460</v>
      </c>
      <c r="L113" t="s">
        <v>936</v>
      </c>
      <c r="M113" t="s">
        <v>943</v>
      </c>
    </row>
    <row r="114" spans="1:13" x14ac:dyDescent="0.3">
      <c r="A114" t="s">
        <v>829</v>
      </c>
      <c r="B114">
        <v>113</v>
      </c>
      <c r="C114">
        <v>4803241</v>
      </c>
      <c r="D114">
        <v>103721</v>
      </c>
      <c r="E114">
        <v>0</v>
      </c>
      <c r="F114">
        <v>0</v>
      </c>
      <c r="G114">
        <v>392057859</v>
      </c>
      <c r="H114">
        <v>3477956</v>
      </c>
      <c r="I114">
        <v>37907</v>
      </c>
      <c r="J114">
        <v>2736506</v>
      </c>
      <c r="K114">
        <v>49060</v>
      </c>
      <c r="L114" t="s">
        <v>936</v>
      </c>
      <c r="M114" t="s">
        <v>944</v>
      </c>
    </row>
    <row r="115" spans="1:13" x14ac:dyDescent="0.3">
      <c r="A115" t="s">
        <v>886</v>
      </c>
      <c r="B115">
        <v>178</v>
      </c>
      <c r="C115">
        <v>4392389</v>
      </c>
      <c r="D115">
        <v>103624</v>
      </c>
      <c r="E115">
        <v>50</v>
      </c>
      <c r="F115">
        <v>0</v>
      </c>
      <c r="G115">
        <v>160747149</v>
      </c>
      <c r="H115">
        <v>1620818</v>
      </c>
      <c r="I115">
        <v>55787</v>
      </c>
      <c r="J115">
        <v>6840688</v>
      </c>
      <c r="K115">
        <v>31570</v>
      </c>
      <c r="L115" t="s">
        <v>936</v>
      </c>
      <c r="M115" t="s">
        <v>959</v>
      </c>
    </row>
    <row r="116" spans="1:13" x14ac:dyDescent="0.3">
      <c r="A116" t="s">
        <v>823</v>
      </c>
      <c r="B116">
        <v>99</v>
      </c>
      <c r="C116">
        <v>4738314</v>
      </c>
      <c r="D116">
        <v>103272</v>
      </c>
      <c r="E116">
        <v>293</v>
      </c>
      <c r="F116">
        <v>0</v>
      </c>
      <c r="G116">
        <v>302937696</v>
      </c>
      <c r="H116">
        <v>3647999</v>
      </c>
      <c r="I116">
        <v>51444</v>
      </c>
      <c r="J116">
        <v>8073140</v>
      </c>
      <c r="K116">
        <v>38653</v>
      </c>
      <c r="L116" t="s">
        <v>936</v>
      </c>
      <c r="M116" t="s">
        <v>937</v>
      </c>
    </row>
    <row r="117" spans="1:13" x14ac:dyDescent="0.3">
      <c r="A117" t="s">
        <v>827</v>
      </c>
      <c r="B117">
        <v>114</v>
      </c>
      <c r="C117">
        <v>4317053</v>
      </c>
      <c r="D117">
        <v>102436</v>
      </c>
      <c r="E117">
        <v>0</v>
      </c>
      <c r="F117">
        <v>0</v>
      </c>
      <c r="G117">
        <v>245658734</v>
      </c>
      <c r="H117">
        <v>3063374</v>
      </c>
      <c r="I117">
        <v>36746</v>
      </c>
      <c r="J117">
        <v>3415801</v>
      </c>
      <c r="K117">
        <v>37980</v>
      </c>
      <c r="L117" t="s">
        <v>936</v>
      </c>
      <c r="M117" t="s">
        <v>946</v>
      </c>
    </row>
    <row r="118" spans="1:13" x14ac:dyDescent="0.3">
      <c r="A118" t="s">
        <v>807</v>
      </c>
      <c r="B118">
        <v>82</v>
      </c>
      <c r="C118">
        <v>5107267</v>
      </c>
      <c r="D118">
        <v>101203</v>
      </c>
      <c r="E118">
        <v>0</v>
      </c>
      <c r="F118">
        <v>0</v>
      </c>
      <c r="G118">
        <v>311596893</v>
      </c>
      <c r="H118">
        <v>4101520</v>
      </c>
      <c r="I118">
        <v>34705</v>
      </c>
      <c r="J118">
        <v>3953012</v>
      </c>
      <c r="K118">
        <v>41400</v>
      </c>
      <c r="L118" t="s">
        <v>936</v>
      </c>
      <c r="M118" t="s">
        <v>939</v>
      </c>
    </row>
    <row r="119" spans="1:13" x14ac:dyDescent="0.3">
      <c r="A119" t="s">
        <v>814</v>
      </c>
      <c r="B119">
        <v>85</v>
      </c>
      <c r="C119">
        <v>4798668</v>
      </c>
      <c r="D119">
        <v>100316</v>
      </c>
      <c r="E119">
        <v>350</v>
      </c>
      <c r="F119">
        <v>0</v>
      </c>
      <c r="G119">
        <v>319638087</v>
      </c>
      <c r="H119">
        <v>3792512</v>
      </c>
      <c r="I119">
        <v>37852</v>
      </c>
      <c r="J119">
        <v>6353831</v>
      </c>
      <c r="K119">
        <v>41690</v>
      </c>
      <c r="L119" t="s">
        <v>936</v>
      </c>
      <c r="M119" t="s">
        <v>940</v>
      </c>
    </row>
    <row r="120" spans="1:13" x14ac:dyDescent="0.3">
      <c r="A120" t="s">
        <v>855</v>
      </c>
      <c r="B120">
        <v>140</v>
      </c>
      <c r="C120">
        <v>6918277</v>
      </c>
      <c r="D120">
        <v>98942</v>
      </c>
      <c r="E120">
        <v>0</v>
      </c>
      <c r="F120">
        <v>0</v>
      </c>
      <c r="G120">
        <v>238699696</v>
      </c>
      <c r="H120">
        <v>2329427</v>
      </c>
      <c r="I120">
        <v>37586</v>
      </c>
      <c r="J120">
        <v>3571075</v>
      </c>
      <c r="K120">
        <v>38630</v>
      </c>
      <c r="L120" t="s">
        <v>936</v>
      </c>
      <c r="M120" t="s">
        <v>940</v>
      </c>
    </row>
    <row r="121" spans="1:13" x14ac:dyDescent="0.3">
      <c r="A121" t="s">
        <v>859</v>
      </c>
      <c r="B121">
        <v>144</v>
      </c>
      <c r="C121">
        <v>6550551</v>
      </c>
      <c r="D121">
        <v>98940</v>
      </c>
      <c r="E121">
        <v>8362</v>
      </c>
      <c r="F121">
        <v>0</v>
      </c>
      <c r="G121">
        <v>282583470</v>
      </c>
      <c r="H121">
        <v>2418910</v>
      </c>
      <c r="I121">
        <v>36921</v>
      </c>
      <c r="J121">
        <v>5374699</v>
      </c>
      <c r="K121">
        <v>40546</v>
      </c>
      <c r="L121" t="s">
        <v>936</v>
      </c>
      <c r="M121" t="s">
        <v>962</v>
      </c>
    </row>
    <row r="122" spans="1:13" x14ac:dyDescent="0.3">
      <c r="A122" t="s">
        <v>828</v>
      </c>
      <c r="B122">
        <v>120</v>
      </c>
      <c r="C122">
        <v>4699428</v>
      </c>
      <c r="D122">
        <v>98647</v>
      </c>
      <c r="E122">
        <v>900</v>
      </c>
      <c r="F122">
        <v>0</v>
      </c>
      <c r="G122">
        <v>233343026</v>
      </c>
      <c r="H122">
        <v>2761886</v>
      </c>
      <c r="I122">
        <v>66101</v>
      </c>
      <c r="J122">
        <v>13759215</v>
      </c>
      <c r="K122">
        <v>34503</v>
      </c>
      <c r="L122" t="s">
        <v>936</v>
      </c>
      <c r="M122" t="s">
        <v>946</v>
      </c>
    </row>
    <row r="123" spans="1:13" x14ac:dyDescent="0.3">
      <c r="A123" t="s">
        <v>869</v>
      </c>
      <c r="B123">
        <v>165</v>
      </c>
      <c r="C123">
        <v>4379251</v>
      </c>
      <c r="D123">
        <v>98164</v>
      </c>
      <c r="E123">
        <v>0</v>
      </c>
      <c r="F123">
        <v>0</v>
      </c>
      <c r="G123">
        <v>179525362</v>
      </c>
      <c r="H123">
        <v>2107716</v>
      </c>
      <c r="I123">
        <v>89227</v>
      </c>
      <c r="J123">
        <v>2945065</v>
      </c>
      <c r="K123">
        <v>27240</v>
      </c>
      <c r="L123" t="s">
        <v>936</v>
      </c>
      <c r="M123" t="s">
        <v>940</v>
      </c>
    </row>
    <row r="124" spans="1:13" x14ac:dyDescent="0.3">
      <c r="A124" t="s">
        <v>831</v>
      </c>
      <c r="B124">
        <v>126</v>
      </c>
      <c r="C124">
        <v>4123686</v>
      </c>
      <c r="D124">
        <v>97970</v>
      </c>
      <c r="E124">
        <v>900</v>
      </c>
      <c r="F124">
        <v>2733118</v>
      </c>
      <c r="G124">
        <v>219630405</v>
      </c>
      <c r="H124">
        <v>2398454</v>
      </c>
      <c r="I124">
        <v>76427</v>
      </c>
      <c r="J124">
        <v>50577019</v>
      </c>
      <c r="K124">
        <v>31746</v>
      </c>
      <c r="L124" t="s">
        <v>936</v>
      </c>
      <c r="M124" t="s">
        <v>940</v>
      </c>
    </row>
    <row r="125" spans="1:13" x14ac:dyDescent="0.3">
      <c r="A125" t="s">
        <v>794</v>
      </c>
      <c r="B125">
        <v>68</v>
      </c>
      <c r="C125">
        <v>8812669</v>
      </c>
      <c r="D125">
        <v>97279</v>
      </c>
      <c r="E125">
        <v>0</v>
      </c>
      <c r="F125">
        <v>0</v>
      </c>
      <c r="G125">
        <v>335095785</v>
      </c>
      <c r="H125">
        <v>3965919</v>
      </c>
      <c r="I125">
        <v>29325</v>
      </c>
      <c r="J125">
        <v>6477417</v>
      </c>
      <c r="K125">
        <v>42413</v>
      </c>
      <c r="L125" t="s">
        <v>936</v>
      </c>
      <c r="M125" t="s">
        <v>942</v>
      </c>
    </row>
    <row r="126" spans="1:13" x14ac:dyDescent="0.3">
      <c r="A126" t="s">
        <v>817</v>
      </c>
      <c r="B126">
        <v>96</v>
      </c>
      <c r="C126">
        <v>4835045</v>
      </c>
      <c r="D126">
        <v>97071</v>
      </c>
      <c r="E126">
        <v>0</v>
      </c>
      <c r="F126">
        <v>0</v>
      </c>
      <c r="G126">
        <v>284594040</v>
      </c>
      <c r="H126">
        <v>3439273</v>
      </c>
      <c r="I126">
        <v>49596</v>
      </c>
      <c r="J126">
        <v>3612005</v>
      </c>
      <c r="K126">
        <v>32899</v>
      </c>
      <c r="L126" t="s">
        <v>936</v>
      </c>
      <c r="M126" t="s">
        <v>940</v>
      </c>
    </row>
    <row r="127" spans="1:13" x14ac:dyDescent="0.3">
      <c r="A127" t="s">
        <v>857</v>
      </c>
      <c r="B127">
        <v>139</v>
      </c>
      <c r="C127">
        <v>5085261</v>
      </c>
      <c r="D127">
        <v>95941</v>
      </c>
      <c r="E127">
        <v>0</v>
      </c>
      <c r="F127">
        <v>0</v>
      </c>
      <c r="G127">
        <v>245470804</v>
      </c>
      <c r="H127">
        <v>2432034</v>
      </c>
      <c r="I127">
        <v>18214</v>
      </c>
      <c r="J127">
        <v>3835056</v>
      </c>
      <c r="K127">
        <v>41873</v>
      </c>
      <c r="L127" t="s">
        <v>936</v>
      </c>
      <c r="M127" t="s">
        <v>962</v>
      </c>
    </row>
    <row r="128" spans="1:13" x14ac:dyDescent="0.3">
      <c r="A128" t="s">
        <v>846</v>
      </c>
      <c r="B128">
        <v>136</v>
      </c>
      <c r="C128">
        <v>4435713</v>
      </c>
      <c r="D128">
        <v>94193</v>
      </c>
      <c r="E128">
        <v>3150</v>
      </c>
      <c r="F128">
        <v>0</v>
      </c>
      <c r="G128">
        <v>236494617</v>
      </c>
      <c r="H128">
        <v>2542426</v>
      </c>
      <c r="I128">
        <v>133760</v>
      </c>
      <c r="J128">
        <v>3654670</v>
      </c>
      <c r="K128">
        <v>34150</v>
      </c>
      <c r="L128" t="s">
        <v>936</v>
      </c>
      <c r="M128" t="s">
        <v>942</v>
      </c>
    </row>
    <row r="129" spans="1:13" x14ac:dyDescent="0.3">
      <c r="A129" t="s">
        <v>867</v>
      </c>
      <c r="B129">
        <v>161</v>
      </c>
      <c r="C129">
        <v>7859940</v>
      </c>
      <c r="D129">
        <v>93092</v>
      </c>
      <c r="E129">
        <v>0</v>
      </c>
      <c r="F129">
        <v>0</v>
      </c>
      <c r="G129">
        <v>220596883</v>
      </c>
      <c r="H129">
        <v>1805606</v>
      </c>
      <c r="I129">
        <v>32582</v>
      </c>
      <c r="J129">
        <v>3753806</v>
      </c>
      <c r="K129">
        <v>34520</v>
      </c>
      <c r="L129" t="s">
        <v>936</v>
      </c>
      <c r="M129" t="s">
        <v>940</v>
      </c>
    </row>
    <row r="130" spans="1:13" x14ac:dyDescent="0.3">
      <c r="A130" t="s">
        <v>604</v>
      </c>
      <c r="B130">
        <v>131</v>
      </c>
      <c r="C130">
        <v>4261438</v>
      </c>
      <c r="D130">
        <v>92050</v>
      </c>
      <c r="E130">
        <v>0</v>
      </c>
      <c r="F130">
        <v>0</v>
      </c>
      <c r="G130">
        <v>259691486</v>
      </c>
      <c r="H130">
        <v>2472528</v>
      </c>
      <c r="I130">
        <v>25331</v>
      </c>
      <c r="J130">
        <v>8601549</v>
      </c>
      <c r="K130">
        <v>31163</v>
      </c>
      <c r="L130" t="s">
        <v>936</v>
      </c>
      <c r="M130" t="s">
        <v>945</v>
      </c>
    </row>
    <row r="131" spans="1:13" x14ac:dyDescent="0.3">
      <c r="A131" t="s">
        <v>972</v>
      </c>
      <c r="B131">
        <v>86</v>
      </c>
      <c r="C131">
        <v>4482545</v>
      </c>
      <c r="D131">
        <v>91467</v>
      </c>
      <c r="E131">
        <v>0</v>
      </c>
      <c r="F131">
        <v>0</v>
      </c>
      <c r="G131">
        <v>353418372</v>
      </c>
      <c r="H131">
        <v>3827749</v>
      </c>
      <c r="I131">
        <v>40760</v>
      </c>
      <c r="J131">
        <v>2716994</v>
      </c>
      <c r="K131">
        <v>41620</v>
      </c>
      <c r="L131" t="s">
        <v>936</v>
      </c>
      <c r="M131" t="s">
        <v>942</v>
      </c>
    </row>
    <row r="132" spans="1:13" x14ac:dyDescent="0.3">
      <c r="A132" t="s">
        <v>861</v>
      </c>
      <c r="B132">
        <v>162</v>
      </c>
      <c r="C132">
        <v>4272314</v>
      </c>
      <c r="D132">
        <v>91432</v>
      </c>
      <c r="E132">
        <v>1750</v>
      </c>
      <c r="F132">
        <v>0</v>
      </c>
      <c r="G132">
        <v>190942951</v>
      </c>
      <c r="H132">
        <v>1570392</v>
      </c>
      <c r="I132">
        <v>49318</v>
      </c>
      <c r="J132">
        <v>12560636</v>
      </c>
      <c r="K132">
        <v>33570</v>
      </c>
      <c r="L132" t="s">
        <v>936</v>
      </c>
      <c r="M132" t="s">
        <v>942</v>
      </c>
    </row>
    <row r="133" spans="1:13" x14ac:dyDescent="0.3">
      <c r="A133" t="s">
        <v>811</v>
      </c>
      <c r="B133">
        <v>89</v>
      </c>
      <c r="C133">
        <v>6619801</v>
      </c>
      <c r="D133">
        <v>91426</v>
      </c>
      <c r="E133">
        <v>0</v>
      </c>
      <c r="F133">
        <v>0</v>
      </c>
      <c r="G133">
        <v>286013150</v>
      </c>
      <c r="H133">
        <v>3767393</v>
      </c>
      <c r="I133">
        <v>66186</v>
      </c>
      <c r="J133">
        <v>5828444</v>
      </c>
      <c r="K133">
        <v>40060</v>
      </c>
      <c r="L133" t="s">
        <v>936</v>
      </c>
      <c r="M133" t="s">
        <v>939</v>
      </c>
    </row>
    <row r="134" spans="1:13" x14ac:dyDescent="0.3">
      <c r="A134" t="s">
        <v>850</v>
      </c>
      <c r="B134">
        <v>147</v>
      </c>
      <c r="C134">
        <v>6911816</v>
      </c>
      <c r="D134">
        <v>91362</v>
      </c>
      <c r="E134">
        <v>404</v>
      </c>
      <c r="F134">
        <v>0</v>
      </c>
      <c r="G134">
        <v>184568510</v>
      </c>
      <c r="H134">
        <v>2038724</v>
      </c>
      <c r="I134">
        <v>40432</v>
      </c>
      <c r="J134">
        <v>2328448</v>
      </c>
      <c r="K134">
        <v>30940</v>
      </c>
      <c r="L134" t="s">
        <v>936</v>
      </c>
      <c r="M134" t="s">
        <v>944</v>
      </c>
    </row>
    <row r="135" spans="1:13" x14ac:dyDescent="0.3">
      <c r="A135" t="s">
        <v>870</v>
      </c>
      <c r="B135">
        <v>163</v>
      </c>
      <c r="C135">
        <v>4245112</v>
      </c>
      <c r="D135">
        <v>88743</v>
      </c>
      <c r="E135">
        <v>0</v>
      </c>
      <c r="F135">
        <v>0</v>
      </c>
      <c r="G135">
        <v>212832193</v>
      </c>
      <c r="H135">
        <v>1832965</v>
      </c>
      <c r="I135">
        <v>47011</v>
      </c>
      <c r="J135">
        <v>3293993</v>
      </c>
      <c r="K135">
        <v>31230</v>
      </c>
      <c r="L135" t="s">
        <v>936</v>
      </c>
      <c r="M135" t="s">
        <v>944</v>
      </c>
    </row>
    <row r="136" spans="1:13" x14ac:dyDescent="0.3">
      <c r="A136" t="s">
        <v>849</v>
      </c>
      <c r="B136">
        <v>137</v>
      </c>
      <c r="C136">
        <v>6224972</v>
      </c>
      <c r="D136">
        <v>87457</v>
      </c>
      <c r="E136">
        <v>0</v>
      </c>
      <c r="F136">
        <v>0</v>
      </c>
      <c r="G136">
        <v>370084663</v>
      </c>
      <c r="H136">
        <v>2429341</v>
      </c>
      <c r="I136">
        <v>19742</v>
      </c>
      <c r="J136">
        <v>4192603</v>
      </c>
      <c r="K136">
        <v>36930</v>
      </c>
      <c r="L136" t="s">
        <v>936</v>
      </c>
      <c r="M136" t="s">
        <v>937</v>
      </c>
    </row>
    <row r="137" spans="1:13" x14ac:dyDescent="0.3">
      <c r="A137" t="s">
        <v>840</v>
      </c>
      <c r="B137">
        <v>128</v>
      </c>
      <c r="C137">
        <v>3549590</v>
      </c>
      <c r="D137">
        <v>86682</v>
      </c>
      <c r="E137">
        <v>0</v>
      </c>
      <c r="F137">
        <v>0</v>
      </c>
      <c r="G137">
        <v>226033949</v>
      </c>
      <c r="H137">
        <v>2711010</v>
      </c>
      <c r="I137">
        <v>24709</v>
      </c>
      <c r="J137">
        <v>7092507</v>
      </c>
      <c r="K137">
        <v>35450</v>
      </c>
      <c r="L137" t="s">
        <v>936</v>
      </c>
      <c r="M137" t="s">
        <v>937</v>
      </c>
    </row>
    <row r="138" spans="1:13" x14ac:dyDescent="0.3">
      <c r="A138" t="s">
        <v>836</v>
      </c>
      <c r="B138">
        <v>123</v>
      </c>
      <c r="C138">
        <v>6144389</v>
      </c>
      <c r="D138">
        <v>85372</v>
      </c>
      <c r="E138">
        <v>0</v>
      </c>
      <c r="F138">
        <v>0</v>
      </c>
      <c r="G138">
        <v>305928157</v>
      </c>
      <c r="H138">
        <v>2911612</v>
      </c>
      <c r="I138">
        <v>22159</v>
      </c>
      <c r="J138">
        <v>3937082</v>
      </c>
      <c r="K138">
        <v>39220</v>
      </c>
      <c r="L138" t="s">
        <v>936</v>
      </c>
      <c r="M138" t="s">
        <v>940</v>
      </c>
    </row>
    <row r="139" spans="1:13" x14ac:dyDescent="0.3">
      <c r="A139" t="s">
        <v>841</v>
      </c>
      <c r="B139">
        <v>132</v>
      </c>
      <c r="C139">
        <v>11641611</v>
      </c>
      <c r="D139">
        <v>83481</v>
      </c>
      <c r="E139">
        <v>2700</v>
      </c>
      <c r="F139">
        <v>0</v>
      </c>
      <c r="G139">
        <v>194003283</v>
      </c>
      <c r="H139">
        <v>2576774</v>
      </c>
      <c r="I139">
        <v>82203</v>
      </c>
      <c r="J139">
        <v>37062837</v>
      </c>
      <c r="K139">
        <v>30390</v>
      </c>
      <c r="L139" t="s">
        <v>936</v>
      </c>
      <c r="M139" t="s">
        <v>945</v>
      </c>
    </row>
    <row r="140" spans="1:13" x14ac:dyDescent="0.3">
      <c r="A140" t="s">
        <v>884</v>
      </c>
      <c r="B140">
        <v>174</v>
      </c>
      <c r="C140">
        <v>3409286</v>
      </c>
      <c r="D140">
        <v>81056</v>
      </c>
      <c r="E140">
        <v>0</v>
      </c>
      <c r="F140">
        <v>0</v>
      </c>
      <c r="G140">
        <v>135826783</v>
      </c>
      <c r="H140">
        <v>2185131</v>
      </c>
      <c r="I140">
        <v>124884</v>
      </c>
      <c r="J140">
        <v>38833787</v>
      </c>
      <c r="K140">
        <v>28026</v>
      </c>
      <c r="L140" t="s">
        <v>936</v>
      </c>
      <c r="M140" t="s">
        <v>959</v>
      </c>
    </row>
    <row r="141" spans="1:13" x14ac:dyDescent="0.3">
      <c r="A141" t="s">
        <v>871</v>
      </c>
      <c r="B141">
        <v>164</v>
      </c>
      <c r="C141">
        <v>4294280</v>
      </c>
      <c r="D141">
        <v>79771</v>
      </c>
      <c r="E141">
        <v>1012</v>
      </c>
      <c r="F141">
        <v>0</v>
      </c>
      <c r="G141">
        <v>179178207</v>
      </c>
      <c r="H141">
        <v>1910756</v>
      </c>
      <c r="I141">
        <v>9308</v>
      </c>
      <c r="J141">
        <v>4022349</v>
      </c>
      <c r="K141">
        <v>34339</v>
      </c>
      <c r="L141" t="s">
        <v>936</v>
      </c>
      <c r="M141" t="s">
        <v>959</v>
      </c>
    </row>
    <row r="142" spans="1:13" x14ac:dyDescent="0.3">
      <c r="A142" t="s">
        <v>852</v>
      </c>
      <c r="B142">
        <v>145</v>
      </c>
      <c r="C142">
        <v>5514413</v>
      </c>
      <c r="D142">
        <v>79205</v>
      </c>
      <c r="E142">
        <v>0</v>
      </c>
      <c r="F142">
        <v>0</v>
      </c>
      <c r="G142">
        <v>213125571</v>
      </c>
      <c r="H142">
        <v>2247902</v>
      </c>
      <c r="I142">
        <v>17044</v>
      </c>
      <c r="J142">
        <v>3417438</v>
      </c>
      <c r="K142">
        <v>34020</v>
      </c>
      <c r="L142" t="s">
        <v>936</v>
      </c>
      <c r="M142" t="s">
        <v>940</v>
      </c>
    </row>
    <row r="143" spans="1:13" x14ac:dyDescent="0.3">
      <c r="A143" t="s">
        <v>842</v>
      </c>
      <c r="B143">
        <v>142</v>
      </c>
      <c r="C143">
        <v>7067701</v>
      </c>
      <c r="D143">
        <v>78937</v>
      </c>
      <c r="E143">
        <v>1700</v>
      </c>
      <c r="F143">
        <v>0</v>
      </c>
      <c r="G143">
        <v>221616753</v>
      </c>
      <c r="H143">
        <v>1866249</v>
      </c>
      <c r="I143">
        <v>87166</v>
      </c>
      <c r="J143">
        <v>3770795</v>
      </c>
      <c r="K143">
        <v>37750</v>
      </c>
      <c r="L143" t="s">
        <v>936</v>
      </c>
      <c r="M143" t="s">
        <v>946</v>
      </c>
    </row>
    <row r="144" spans="1:13" x14ac:dyDescent="0.3">
      <c r="A144" t="s">
        <v>782</v>
      </c>
      <c r="B144">
        <v>59</v>
      </c>
      <c r="C144">
        <v>3900768</v>
      </c>
      <c r="D144">
        <v>78039</v>
      </c>
      <c r="E144">
        <v>0</v>
      </c>
      <c r="F144">
        <v>0</v>
      </c>
      <c r="G144">
        <v>390795864</v>
      </c>
      <c r="H144">
        <v>4238368</v>
      </c>
      <c r="I144">
        <v>69368</v>
      </c>
      <c r="J144">
        <v>3629210</v>
      </c>
      <c r="K144">
        <v>41110</v>
      </c>
      <c r="L144" t="s">
        <v>936</v>
      </c>
      <c r="M144" t="s">
        <v>937</v>
      </c>
    </row>
    <row r="145" spans="1:13" x14ac:dyDescent="0.3">
      <c r="A145" t="s">
        <v>791</v>
      </c>
      <c r="B145">
        <v>75</v>
      </c>
      <c r="C145">
        <v>3885528</v>
      </c>
      <c r="D145">
        <v>77053</v>
      </c>
      <c r="E145">
        <v>0</v>
      </c>
      <c r="F145">
        <v>0</v>
      </c>
      <c r="G145">
        <v>321674803</v>
      </c>
      <c r="H145">
        <v>3865969</v>
      </c>
      <c r="I145">
        <v>59670</v>
      </c>
      <c r="J145">
        <v>3355651</v>
      </c>
      <c r="K145">
        <v>34630</v>
      </c>
      <c r="L145" t="s">
        <v>936</v>
      </c>
      <c r="M145" t="s">
        <v>939</v>
      </c>
    </row>
    <row r="146" spans="1:13" x14ac:dyDescent="0.3">
      <c r="A146" t="s">
        <v>853</v>
      </c>
      <c r="B146">
        <v>148</v>
      </c>
      <c r="C146">
        <v>4581679</v>
      </c>
      <c r="D146">
        <v>76588</v>
      </c>
      <c r="E146">
        <v>0</v>
      </c>
      <c r="F146">
        <v>0</v>
      </c>
      <c r="G146">
        <v>181165623</v>
      </c>
      <c r="H146">
        <v>1957070</v>
      </c>
      <c r="I146">
        <v>36309</v>
      </c>
      <c r="J146">
        <v>53580116</v>
      </c>
      <c r="K146">
        <v>31293</v>
      </c>
      <c r="L146" t="s">
        <v>936</v>
      </c>
      <c r="M146" t="s">
        <v>943</v>
      </c>
    </row>
    <row r="147" spans="1:13" x14ac:dyDescent="0.3">
      <c r="A147" t="s">
        <v>885</v>
      </c>
      <c r="B147">
        <v>180</v>
      </c>
      <c r="C147">
        <v>3798001</v>
      </c>
      <c r="D147">
        <v>76342</v>
      </c>
      <c r="E147">
        <v>400</v>
      </c>
      <c r="F147">
        <v>0</v>
      </c>
      <c r="G147">
        <v>157023138</v>
      </c>
      <c r="H147">
        <v>1406851</v>
      </c>
      <c r="I147">
        <v>10101</v>
      </c>
      <c r="J147">
        <v>4030908</v>
      </c>
      <c r="K147">
        <v>31262</v>
      </c>
      <c r="L147" t="s">
        <v>936</v>
      </c>
      <c r="M147" t="s">
        <v>959</v>
      </c>
    </row>
    <row r="148" spans="1:13" x14ac:dyDescent="0.3">
      <c r="A148" t="s">
        <v>977</v>
      </c>
      <c r="B148">
        <v>156</v>
      </c>
      <c r="C148">
        <v>3146734</v>
      </c>
      <c r="D148">
        <v>76318</v>
      </c>
      <c r="E148">
        <v>0</v>
      </c>
      <c r="F148">
        <v>0</v>
      </c>
      <c r="G148">
        <v>203813694</v>
      </c>
      <c r="H148">
        <v>2268503</v>
      </c>
      <c r="I148">
        <v>6397</v>
      </c>
      <c r="J148">
        <v>9466611</v>
      </c>
      <c r="K148">
        <v>37500</v>
      </c>
      <c r="L148" t="s">
        <v>936</v>
      </c>
      <c r="M148" t="s">
        <v>959</v>
      </c>
    </row>
    <row r="149" spans="1:13" x14ac:dyDescent="0.3">
      <c r="A149" t="s">
        <v>839</v>
      </c>
      <c r="B149">
        <v>127</v>
      </c>
      <c r="C149">
        <v>4442274</v>
      </c>
      <c r="D149">
        <v>75954</v>
      </c>
      <c r="E149">
        <v>3826</v>
      </c>
      <c r="F149">
        <v>0</v>
      </c>
      <c r="G149">
        <v>300253042</v>
      </c>
      <c r="H149">
        <v>2996423</v>
      </c>
      <c r="I149">
        <v>50256</v>
      </c>
      <c r="J149">
        <v>2529773</v>
      </c>
      <c r="K149">
        <v>39520</v>
      </c>
      <c r="L149" t="s">
        <v>936</v>
      </c>
      <c r="M149" t="s">
        <v>942</v>
      </c>
    </row>
    <row r="150" spans="1:13" x14ac:dyDescent="0.3">
      <c r="A150" t="s">
        <v>879</v>
      </c>
      <c r="B150">
        <v>173</v>
      </c>
      <c r="C150">
        <v>3568359</v>
      </c>
      <c r="D150">
        <v>71387</v>
      </c>
      <c r="E150">
        <v>0</v>
      </c>
      <c r="F150">
        <v>0</v>
      </c>
      <c r="G150">
        <v>153557743</v>
      </c>
      <c r="H150">
        <v>1471982</v>
      </c>
      <c r="I150">
        <v>12812</v>
      </c>
      <c r="J150">
        <v>1523337</v>
      </c>
      <c r="K150">
        <v>28120</v>
      </c>
      <c r="L150" t="s">
        <v>936</v>
      </c>
      <c r="M150" t="s">
        <v>942</v>
      </c>
    </row>
    <row r="151" spans="1:13" x14ac:dyDescent="0.3">
      <c r="A151" t="s">
        <v>821</v>
      </c>
      <c r="B151">
        <v>102</v>
      </c>
      <c r="C151">
        <v>3511465</v>
      </c>
      <c r="D151">
        <v>70254</v>
      </c>
      <c r="E151">
        <v>0</v>
      </c>
      <c r="F151">
        <v>0</v>
      </c>
      <c r="G151">
        <v>322735626</v>
      </c>
      <c r="H151">
        <v>3489952</v>
      </c>
      <c r="I151">
        <v>59195</v>
      </c>
      <c r="J151">
        <v>4680527</v>
      </c>
      <c r="K151">
        <v>40683</v>
      </c>
      <c r="L151" t="s">
        <v>936</v>
      </c>
      <c r="M151" t="s">
        <v>946</v>
      </c>
    </row>
    <row r="152" spans="1:13" x14ac:dyDescent="0.3">
      <c r="A152" t="s">
        <v>843</v>
      </c>
      <c r="B152">
        <v>133</v>
      </c>
      <c r="C152">
        <v>3655397</v>
      </c>
      <c r="D152">
        <v>69752</v>
      </c>
      <c r="E152">
        <v>889</v>
      </c>
      <c r="F152">
        <v>0</v>
      </c>
      <c r="G152">
        <v>212168761</v>
      </c>
      <c r="H152">
        <v>2636152</v>
      </c>
      <c r="I152">
        <v>57179</v>
      </c>
      <c r="J152">
        <v>3519551</v>
      </c>
      <c r="K152">
        <v>34910</v>
      </c>
      <c r="L152" t="s">
        <v>936</v>
      </c>
      <c r="M152" t="s">
        <v>962</v>
      </c>
    </row>
    <row r="153" spans="1:13" x14ac:dyDescent="0.3">
      <c r="A153" t="s">
        <v>967</v>
      </c>
      <c r="B153">
        <v>115</v>
      </c>
      <c r="C153">
        <v>15243732</v>
      </c>
      <c r="D153">
        <v>69730</v>
      </c>
      <c r="E153">
        <v>0</v>
      </c>
      <c r="F153">
        <v>0</v>
      </c>
      <c r="G153">
        <v>341657534</v>
      </c>
      <c r="H153">
        <v>3316456</v>
      </c>
      <c r="I153">
        <v>32145</v>
      </c>
      <c r="J153">
        <v>3722185</v>
      </c>
      <c r="K153">
        <v>44630</v>
      </c>
      <c r="L153" t="s">
        <v>936</v>
      </c>
      <c r="M153" t="s">
        <v>942</v>
      </c>
    </row>
    <row r="154" spans="1:13" x14ac:dyDescent="0.3">
      <c r="A154" t="s">
        <v>876</v>
      </c>
      <c r="B154">
        <v>172</v>
      </c>
      <c r="C154">
        <v>3912414</v>
      </c>
      <c r="D154">
        <v>69227</v>
      </c>
      <c r="E154">
        <v>0</v>
      </c>
      <c r="F154">
        <v>0</v>
      </c>
      <c r="G154">
        <v>209178955</v>
      </c>
      <c r="H154">
        <v>1484504</v>
      </c>
      <c r="I154">
        <v>28244</v>
      </c>
      <c r="J154">
        <v>13900776</v>
      </c>
      <c r="K154">
        <v>36720</v>
      </c>
      <c r="L154" t="s">
        <v>936</v>
      </c>
      <c r="M154" t="s">
        <v>945</v>
      </c>
    </row>
    <row r="155" spans="1:13" x14ac:dyDescent="0.3">
      <c r="A155" t="s">
        <v>965</v>
      </c>
      <c r="B155">
        <v>134</v>
      </c>
      <c r="C155">
        <v>2885196</v>
      </c>
      <c r="D155">
        <v>67500</v>
      </c>
      <c r="E155">
        <v>1800</v>
      </c>
      <c r="F155">
        <v>0</v>
      </c>
      <c r="G155">
        <v>221068185</v>
      </c>
      <c r="H155">
        <v>2519403</v>
      </c>
      <c r="I155">
        <v>53310</v>
      </c>
      <c r="J155">
        <v>2946859</v>
      </c>
      <c r="K155">
        <v>36013</v>
      </c>
      <c r="L155" t="s">
        <v>936</v>
      </c>
      <c r="M155" t="s">
        <v>942</v>
      </c>
    </row>
    <row r="156" spans="1:13" x14ac:dyDescent="0.3">
      <c r="A156" t="s">
        <v>874</v>
      </c>
      <c r="B156">
        <v>169</v>
      </c>
      <c r="C156">
        <v>10340505</v>
      </c>
      <c r="D156">
        <v>66888</v>
      </c>
      <c r="E156">
        <v>8246</v>
      </c>
      <c r="F156">
        <v>0</v>
      </c>
      <c r="G156">
        <v>223950787</v>
      </c>
      <c r="H156">
        <v>1592848</v>
      </c>
      <c r="I156">
        <v>17609</v>
      </c>
      <c r="J156">
        <v>8549159</v>
      </c>
      <c r="K156">
        <v>38779</v>
      </c>
      <c r="L156" t="s">
        <v>936</v>
      </c>
      <c r="M156" t="s">
        <v>937</v>
      </c>
    </row>
    <row r="157" spans="1:13" x14ac:dyDescent="0.3">
      <c r="A157" t="s">
        <v>848</v>
      </c>
      <c r="B157">
        <v>138</v>
      </c>
      <c r="C157">
        <v>3520521</v>
      </c>
      <c r="D157">
        <v>65105</v>
      </c>
      <c r="E157">
        <v>1250</v>
      </c>
      <c r="F157">
        <v>0</v>
      </c>
      <c r="G157">
        <v>227158844</v>
      </c>
      <c r="H157">
        <v>2533151</v>
      </c>
      <c r="I157">
        <v>57220</v>
      </c>
      <c r="J157">
        <v>6223868</v>
      </c>
      <c r="K157">
        <v>36962</v>
      </c>
      <c r="L157" t="s">
        <v>987</v>
      </c>
      <c r="M157" t="s">
        <v>945</v>
      </c>
    </row>
    <row r="158" spans="1:13" x14ac:dyDescent="0.3">
      <c r="A158" t="s">
        <v>862</v>
      </c>
      <c r="B158">
        <v>154</v>
      </c>
      <c r="C158">
        <v>3135554</v>
      </c>
      <c r="D158">
        <v>63716</v>
      </c>
      <c r="E158">
        <v>96</v>
      </c>
      <c r="F158">
        <v>0</v>
      </c>
      <c r="G158">
        <v>265042314</v>
      </c>
      <c r="H158">
        <v>2047554</v>
      </c>
      <c r="I158">
        <v>25357</v>
      </c>
      <c r="J158">
        <v>2262023</v>
      </c>
      <c r="K158">
        <v>40600</v>
      </c>
      <c r="L158" t="s">
        <v>936</v>
      </c>
      <c r="M158" t="s">
        <v>944</v>
      </c>
    </row>
    <row r="159" spans="1:13" x14ac:dyDescent="0.3">
      <c r="A159" t="s">
        <v>858</v>
      </c>
      <c r="B159">
        <v>150</v>
      </c>
      <c r="C159">
        <v>3136885</v>
      </c>
      <c r="D159">
        <v>62762</v>
      </c>
      <c r="E159">
        <v>450</v>
      </c>
      <c r="F159">
        <v>0</v>
      </c>
      <c r="G159">
        <v>278720750</v>
      </c>
      <c r="H159">
        <v>1960793</v>
      </c>
      <c r="I159">
        <v>58687</v>
      </c>
      <c r="J159">
        <v>38613980</v>
      </c>
      <c r="K159">
        <v>35410</v>
      </c>
      <c r="L159" t="s">
        <v>936</v>
      </c>
      <c r="M159" t="s">
        <v>942</v>
      </c>
    </row>
    <row r="160" spans="1:13" x14ac:dyDescent="0.3">
      <c r="A160" t="s">
        <v>845</v>
      </c>
      <c r="B160">
        <v>130</v>
      </c>
      <c r="C160">
        <v>8219421</v>
      </c>
      <c r="D160">
        <v>61052</v>
      </c>
      <c r="E160">
        <v>350</v>
      </c>
      <c r="F160">
        <v>0</v>
      </c>
      <c r="G160">
        <v>288426879</v>
      </c>
      <c r="H160">
        <v>2584587</v>
      </c>
      <c r="I160">
        <v>35955</v>
      </c>
      <c r="J160">
        <v>20487871</v>
      </c>
      <c r="K160">
        <v>38746</v>
      </c>
      <c r="L160" t="s">
        <v>936</v>
      </c>
      <c r="M160" t="s">
        <v>944</v>
      </c>
    </row>
    <row r="161" spans="1:13" x14ac:dyDescent="0.3">
      <c r="A161" t="s">
        <v>873</v>
      </c>
      <c r="B161">
        <v>167</v>
      </c>
      <c r="C161">
        <v>2857232</v>
      </c>
      <c r="D161">
        <v>60396</v>
      </c>
      <c r="E161">
        <v>0</v>
      </c>
      <c r="F161">
        <v>0</v>
      </c>
      <c r="G161">
        <v>202444323</v>
      </c>
      <c r="H161">
        <v>1797324</v>
      </c>
      <c r="I161">
        <v>33716</v>
      </c>
      <c r="J161">
        <v>6642651</v>
      </c>
      <c r="K161">
        <v>33983</v>
      </c>
      <c r="L161" t="s">
        <v>936</v>
      </c>
      <c r="M161" t="s">
        <v>937</v>
      </c>
    </row>
    <row r="162" spans="1:13" x14ac:dyDescent="0.3">
      <c r="A162" t="s">
        <v>969</v>
      </c>
      <c r="B162">
        <v>108</v>
      </c>
      <c r="C162">
        <v>2947407</v>
      </c>
      <c r="D162">
        <v>59365</v>
      </c>
      <c r="E162">
        <v>0</v>
      </c>
      <c r="F162">
        <v>0</v>
      </c>
      <c r="G162">
        <v>312106001</v>
      </c>
      <c r="H162">
        <v>3040980</v>
      </c>
      <c r="I162">
        <v>28126</v>
      </c>
      <c r="J162">
        <v>17338769</v>
      </c>
      <c r="K162">
        <v>33920</v>
      </c>
      <c r="L162" t="s">
        <v>936</v>
      </c>
      <c r="M162" t="s">
        <v>946</v>
      </c>
    </row>
    <row r="163" spans="1:13" x14ac:dyDescent="0.3">
      <c r="A163" t="s">
        <v>882</v>
      </c>
      <c r="B163">
        <v>176</v>
      </c>
      <c r="C163">
        <v>2920582</v>
      </c>
      <c r="D163">
        <v>59312</v>
      </c>
      <c r="E163">
        <v>350</v>
      </c>
      <c r="F163">
        <v>0</v>
      </c>
      <c r="G163">
        <v>164017153</v>
      </c>
      <c r="H163">
        <v>1402794</v>
      </c>
      <c r="I163">
        <v>11090</v>
      </c>
      <c r="J163">
        <v>4024234</v>
      </c>
      <c r="K163">
        <v>29558</v>
      </c>
      <c r="L163" t="s">
        <v>936</v>
      </c>
      <c r="M163" t="s">
        <v>959</v>
      </c>
    </row>
    <row r="164" spans="1:13" x14ac:dyDescent="0.3">
      <c r="A164" t="s">
        <v>966</v>
      </c>
      <c r="B164">
        <v>143</v>
      </c>
      <c r="C164">
        <v>2850179</v>
      </c>
      <c r="D164">
        <v>57023</v>
      </c>
      <c r="E164">
        <v>0</v>
      </c>
      <c r="F164">
        <v>0</v>
      </c>
      <c r="G164">
        <v>242098045</v>
      </c>
      <c r="H164">
        <v>2527628</v>
      </c>
      <c r="I164">
        <v>6084</v>
      </c>
      <c r="J164">
        <v>8821778</v>
      </c>
      <c r="K164">
        <v>40810</v>
      </c>
      <c r="L164" t="s">
        <v>936</v>
      </c>
      <c r="M164" t="s">
        <v>940</v>
      </c>
    </row>
    <row r="165" spans="1:13" x14ac:dyDescent="0.3">
      <c r="A165" t="s">
        <v>866</v>
      </c>
      <c r="B165">
        <v>168</v>
      </c>
      <c r="C165">
        <v>5461575</v>
      </c>
      <c r="D165">
        <v>56359</v>
      </c>
      <c r="E165">
        <v>0</v>
      </c>
      <c r="F165">
        <v>0</v>
      </c>
      <c r="G165">
        <v>209928973</v>
      </c>
      <c r="H165">
        <v>1354466</v>
      </c>
      <c r="I165">
        <v>85493</v>
      </c>
      <c r="J165">
        <v>2792897</v>
      </c>
      <c r="K165">
        <v>34523</v>
      </c>
      <c r="L165" t="s">
        <v>936</v>
      </c>
      <c r="M165" t="s">
        <v>944</v>
      </c>
    </row>
    <row r="166" spans="1:13" x14ac:dyDescent="0.3">
      <c r="A166" t="s">
        <v>868</v>
      </c>
      <c r="B166">
        <v>166</v>
      </c>
      <c r="C166">
        <v>3147811</v>
      </c>
      <c r="D166">
        <v>53896</v>
      </c>
      <c r="E166">
        <v>0</v>
      </c>
      <c r="F166">
        <v>739689</v>
      </c>
      <c r="G166">
        <v>146653943</v>
      </c>
      <c r="H166">
        <v>1605375</v>
      </c>
      <c r="I166">
        <v>15497</v>
      </c>
      <c r="J166">
        <v>36851676</v>
      </c>
      <c r="K166">
        <v>35303</v>
      </c>
      <c r="L166" t="s">
        <v>936</v>
      </c>
      <c r="M166" t="s">
        <v>962</v>
      </c>
    </row>
    <row r="167" spans="1:13" x14ac:dyDescent="0.3">
      <c r="A167" t="s">
        <v>881</v>
      </c>
      <c r="B167">
        <v>177</v>
      </c>
      <c r="C167">
        <v>2623908</v>
      </c>
      <c r="D167">
        <v>52702</v>
      </c>
      <c r="E167">
        <v>0</v>
      </c>
      <c r="F167">
        <v>0</v>
      </c>
      <c r="G167">
        <v>148474477</v>
      </c>
      <c r="H167">
        <v>1225818</v>
      </c>
      <c r="I167">
        <v>5980</v>
      </c>
      <c r="J167">
        <v>3912709</v>
      </c>
      <c r="K167">
        <v>32133</v>
      </c>
      <c r="L167" t="s">
        <v>936</v>
      </c>
      <c r="M167" t="s">
        <v>940</v>
      </c>
    </row>
    <row r="168" spans="1:13" x14ac:dyDescent="0.3">
      <c r="A168" t="s">
        <v>819</v>
      </c>
      <c r="B168">
        <v>101</v>
      </c>
      <c r="C168">
        <v>2563675</v>
      </c>
      <c r="D168">
        <v>51288</v>
      </c>
      <c r="E168">
        <v>0</v>
      </c>
      <c r="F168">
        <v>0</v>
      </c>
      <c r="G168">
        <v>235370256</v>
      </c>
      <c r="H168">
        <v>3155325</v>
      </c>
      <c r="I168">
        <v>61557</v>
      </c>
      <c r="J168">
        <v>8640603</v>
      </c>
      <c r="K168">
        <v>28303</v>
      </c>
      <c r="L168" t="s">
        <v>936</v>
      </c>
      <c r="M168" t="s">
        <v>946</v>
      </c>
    </row>
    <row r="169" spans="1:13" x14ac:dyDescent="0.3">
      <c r="A169" t="s">
        <v>835</v>
      </c>
      <c r="B169">
        <v>129</v>
      </c>
      <c r="C169">
        <v>2244003</v>
      </c>
      <c r="D169">
        <v>50818</v>
      </c>
      <c r="E169">
        <v>0</v>
      </c>
      <c r="F169">
        <v>0</v>
      </c>
      <c r="G169">
        <v>256517584</v>
      </c>
      <c r="H169">
        <v>2303499</v>
      </c>
      <c r="I169">
        <v>32568</v>
      </c>
      <c r="J169">
        <v>4525150</v>
      </c>
      <c r="K169">
        <v>36713</v>
      </c>
      <c r="L169" t="s">
        <v>936</v>
      </c>
      <c r="M169" t="s">
        <v>944</v>
      </c>
    </row>
    <row r="170" spans="1:13" x14ac:dyDescent="0.3">
      <c r="A170" t="s">
        <v>888</v>
      </c>
      <c r="B170">
        <v>183</v>
      </c>
      <c r="C170">
        <v>3026051</v>
      </c>
      <c r="D170">
        <v>49530</v>
      </c>
      <c r="E170">
        <v>357</v>
      </c>
      <c r="F170">
        <v>0</v>
      </c>
      <c r="G170">
        <v>132808436</v>
      </c>
      <c r="H170">
        <v>956744</v>
      </c>
      <c r="I170">
        <v>29480</v>
      </c>
      <c r="J170">
        <v>10097123</v>
      </c>
      <c r="K170">
        <v>30930</v>
      </c>
      <c r="L170" t="s">
        <v>936</v>
      </c>
      <c r="M170" t="s">
        <v>937</v>
      </c>
    </row>
    <row r="171" spans="1:13" x14ac:dyDescent="0.3">
      <c r="A171" t="s">
        <v>832</v>
      </c>
      <c r="B171">
        <v>124</v>
      </c>
      <c r="C171">
        <v>2083096</v>
      </c>
      <c r="D171">
        <v>45463</v>
      </c>
      <c r="E171">
        <v>450</v>
      </c>
      <c r="F171">
        <v>0</v>
      </c>
      <c r="G171">
        <v>225153999</v>
      </c>
      <c r="H171">
        <v>2519769</v>
      </c>
      <c r="I171">
        <v>106302</v>
      </c>
      <c r="J171">
        <v>47067969</v>
      </c>
      <c r="K171">
        <v>30350</v>
      </c>
      <c r="L171" t="s">
        <v>936</v>
      </c>
      <c r="M171" t="s">
        <v>946</v>
      </c>
    </row>
    <row r="172" spans="1:13" x14ac:dyDescent="0.3">
      <c r="A172" t="s">
        <v>896</v>
      </c>
      <c r="B172">
        <v>189</v>
      </c>
      <c r="C172">
        <v>4547146</v>
      </c>
      <c r="D172">
        <v>44873</v>
      </c>
      <c r="E172">
        <v>0</v>
      </c>
      <c r="F172">
        <v>0</v>
      </c>
      <c r="G172">
        <v>157457956</v>
      </c>
      <c r="H172">
        <v>651822</v>
      </c>
      <c r="I172">
        <v>18837</v>
      </c>
      <c r="J172">
        <v>12551708</v>
      </c>
      <c r="K172">
        <v>29668</v>
      </c>
      <c r="L172" t="s">
        <v>936</v>
      </c>
      <c r="M172" t="s">
        <v>962</v>
      </c>
    </row>
    <row r="173" spans="1:13" x14ac:dyDescent="0.3">
      <c r="A173" t="s">
        <v>887</v>
      </c>
      <c r="B173">
        <v>182</v>
      </c>
      <c r="C173">
        <v>4950850</v>
      </c>
      <c r="D173">
        <v>44721</v>
      </c>
      <c r="E173">
        <v>5346</v>
      </c>
      <c r="F173">
        <v>0</v>
      </c>
      <c r="G173">
        <v>110370867</v>
      </c>
      <c r="H173">
        <v>1532023</v>
      </c>
      <c r="I173">
        <v>129180</v>
      </c>
      <c r="J173">
        <v>60926385</v>
      </c>
      <c r="K173">
        <v>21284</v>
      </c>
      <c r="L173" t="s">
        <v>936</v>
      </c>
      <c r="M173" t="s">
        <v>937</v>
      </c>
    </row>
    <row r="174" spans="1:13" x14ac:dyDescent="0.3">
      <c r="A174" t="s">
        <v>863</v>
      </c>
      <c r="B174">
        <v>153</v>
      </c>
      <c r="C174">
        <v>1987310</v>
      </c>
      <c r="D174">
        <v>40247</v>
      </c>
      <c r="E174">
        <v>192</v>
      </c>
      <c r="F174">
        <v>0</v>
      </c>
      <c r="G174">
        <v>205950576</v>
      </c>
      <c r="H174">
        <v>2042501</v>
      </c>
      <c r="I174">
        <v>17622</v>
      </c>
      <c r="J174">
        <v>33225234</v>
      </c>
      <c r="K174">
        <v>43360</v>
      </c>
      <c r="L174" t="s">
        <v>936</v>
      </c>
      <c r="M174" t="s">
        <v>959</v>
      </c>
    </row>
    <row r="175" spans="1:13" x14ac:dyDescent="0.3">
      <c r="A175" t="s">
        <v>980</v>
      </c>
      <c r="B175">
        <v>197</v>
      </c>
      <c r="C175">
        <v>741885</v>
      </c>
      <c r="D175">
        <v>39844</v>
      </c>
      <c r="E175">
        <v>5900</v>
      </c>
      <c r="F175">
        <v>0</v>
      </c>
      <c r="G175">
        <v>33041532</v>
      </c>
      <c r="H175">
        <v>246805</v>
      </c>
      <c r="I175">
        <v>39350</v>
      </c>
      <c r="J175">
        <v>68038712</v>
      </c>
      <c r="K175">
        <v>14640</v>
      </c>
      <c r="L175" t="s">
        <v>936</v>
      </c>
      <c r="M175" t="s">
        <v>959</v>
      </c>
    </row>
    <row r="176" spans="1:13" x14ac:dyDescent="0.3">
      <c r="A176" t="s">
        <v>877</v>
      </c>
      <c r="B176">
        <v>171</v>
      </c>
      <c r="C176">
        <v>1976150</v>
      </c>
      <c r="D176">
        <v>39534</v>
      </c>
      <c r="E176">
        <v>0</v>
      </c>
      <c r="F176">
        <v>0</v>
      </c>
      <c r="G176">
        <v>203642202</v>
      </c>
      <c r="H176">
        <v>1614460</v>
      </c>
      <c r="I176">
        <v>33253</v>
      </c>
      <c r="J176">
        <v>11408653</v>
      </c>
      <c r="K176">
        <v>37720</v>
      </c>
      <c r="L176" t="s">
        <v>936</v>
      </c>
      <c r="M176" t="s">
        <v>942</v>
      </c>
    </row>
    <row r="177" spans="1:13" x14ac:dyDescent="0.3">
      <c r="A177" t="s">
        <v>899</v>
      </c>
      <c r="B177">
        <v>194</v>
      </c>
      <c r="C177">
        <v>1035468</v>
      </c>
      <c r="D177">
        <v>39163</v>
      </c>
      <c r="E177">
        <v>1350</v>
      </c>
      <c r="F177">
        <v>0</v>
      </c>
      <c r="G177">
        <v>78929908</v>
      </c>
      <c r="H177">
        <v>624719</v>
      </c>
      <c r="I177">
        <v>38436</v>
      </c>
      <c r="J177">
        <v>64649956</v>
      </c>
      <c r="K177">
        <v>23300</v>
      </c>
      <c r="L177" t="s">
        <v>936</v>
      </c>
      <c r="M177" t="s">
        <v>945</v>
      </c>
    </row>
    <row r="178" spans="1:13" x14ac:dyDescent="0.3">
      <c r="A178" t="s">
        <v>860</v>
      </c>
      <c r="B178">
        <v>159</v>
      </c>
      <c r="C178">
        <v>1881150</v>
      </c>
      <c r="D178">
        <v>37632</v>
      </c>
      <c r="E178">
        <v>0</v>
      </c>
      <c r="F178">
        <v>0</v>
      </c>
      <c r="G178">
        <v>138319348</v>
      </c>
      <c r="H178">
        <v>1881019</v>
      </c>
      <c r="I178">
        <v>19570</v>
      </c>
      <c r="J178">
        <v>35790793</v>
      </c>
      <c r="K178">
        <v>31263</v>
      </c>
      <c r="L178" t="s">
        <v>936</v>
      </c>
      <c r="M178" t="s">
        <v>946</v>
      </c>
    </row>
    <row r="179" spans="1:13" x14ac:dyDescent="0.3">
      <c r="A179" t="s">
        <v>898</v>
      </c>
      <c r="B179">
        <v>192</v>
      </c>
      <c r="C179">
        <v>1671935</v>
      </c>
      <c r="D179">
        <v>36851</v>
      </c>
      <c r="E179">
        <v>178</v>
      </c>
      <c r="F179">
        <v>0</v>
      </c>
      <c r="G179">
        <v>86833836</v>
      </c>
      <c r="H179">
        <v>580477</v>
      </c>
      <c r="I179">
        <v>16144</v>
      </c>
      <c r="J179">
        <v>49390691</v>
      </c>
      <c r="K179">
        <v>22563</v>
      </c>
      <c r="L179" t="s">
        <v>936</v>
      </c>
      <c r="M179" t="s">
        <v>937</v>
      </c>
    </row>
    <row r="180" spans="1:13" x14ac:dyDescent="0.3">
      <c r="A180" t="s">
        <v>878</v>
      </c>
      <c r="B180">
        <v>175</v>
      </c>
      <c r="C180">
        <v>1834524</v>
      </c>
      <c r="D180">
        <v>36706</v>
      </c>
      <c r="E180">
        <v>0</v>
      </c>
      <c r="F180">
        <v>0</v>
      </c>
      <c r="G180">
        <v>161548378</v>
      </c>
      <c r="H180">
        <v>1315905</v>
      </c>
      <c r="I180">
        <v>26727</v>
      </c>
      <c r="J180">
        <v>3024324</v>
      </c>
      <c r="K180">
        <v>36390</v>
      </c>
      <c r="L180" t="s">
        <v>936</v>
      </c>
      <c r="M180" t="s">
        <v>962</v>
      </c>
    </row>
    <row r="181" spans="1:13" x14ac:dyDescent="0.3">
      <c r="A181" t="s">
        <v>875</v>
      </c>
      <c r="B181">
        <v>170</v>
      </c>
      <c r="C181">
        <v>2372233</v>
      </c>
      <c r="D181">
        <v>36214</v>
      </c>
      <c r="E181">
        <v>5898</v>
      </c>
      <c r="F181">
        <v>0</v>
      </c>
      <c r="G181">
        <v>247817541</v>
      </c>
      <c r="H181">
        <v>1372264</v>
      </c>
      <c r="I181">
        <v>53672</v>
      </c>
      <c r="J181">
        <v>16918918</v>
      </c>
      <c r="K181">
        <v>38193</v>
      </c>
      <c r="L181" t="s">
        <v>936</v>
      </c>
      <c r="M181" t="s">
        <v>962</v>
      </c>
    </row>
    <row r="182" spans="1:13" x14ac:dyDescent="0.3">
      <c r="A182" t="s">
        <v>970</v>
      </c>
      <c r="B182">
        <v>109</v>
      </c>
      <c r="C182">
        <v>1785105</v>
      </c>
      <c r="D182">
        <v>35715</v>
      </c>
      <c r="E182">
        <v>0</v>
      </c>
      <c r="F182">
        <v>0</v>
      </c>
      <c r="G182">
        <v>224841660</v>
      </c>
      <c r="H182">
        <v>2804502</v>
      </c>
      <c r="I182">
        <v>49317</v>
      </c>
      <c r="J182">
        <v>9585335</v>
      </c>
      <c r="K182">
        <v>33900</v>
      </c>
      <c r="L182" t="s">
        <v>936</v>
      </c>
      <c r="M182" t="s">
        <v>939</v>
      </c>
    </row>
    <row r="183" spans="1:13" x14ac:dyDescent="0.3">
      <c r="A183" t="s">
        <v>894</v>
      </c>
      <c r="B183">
        <v>188</v>
      </c>
      <c r="C183">
        <v>1783724</v>
      </c>
      <c r="D183">
        <v>35693</v>
      </c>
      <c r="E183">
        <v>0</v>
      </c>
      <c r="F183">
        <v>0</v>
      </c>
      <c r="G183">
        <v>105782951</v>
      </c>
      <c r="H183">
        <v>683991</v>
      </c>
      <c r="I183">
        <v>7644</v>
      </c>
      <c r="J183">
        <v>6188510</v>
      </c>
      <c r="K183">
        <v>25160</v>
      </c>
      <c r="L183" t="s">
        <v>936</v>
      </c>
      <c r="M183" t="s">
        <v>940</v>
      </c>
    </row>
    <row r="184" spans="1:13" x14ac:dyDescent="0.3">
      <c r="A184" t="s">
        <v>895</v>
      </c>
      <c r="B184">
        <v>191</v>
      </c>
      <c r="C184">
        <v>1612306</v>
      </c>
      <c r="D184">
        <v>32258</v>
      </c>
      <c r="E184">
        <v>0</v>
      </c>
      <c r="F184">
        <v>0</v>
      </c>
      <c r="G184">
        <v>123197876</v>
      </c>
      <c r="H184">
        <v>579485</v>
      </c>
      <c r="I184">
        <v>13297</v>
      </c>
      <c r="J184">
        <v>9629723</v>
      </c>
      <c r="K184">
        <v>33769</v>
      </c>
      <c r="L184" t="s">
        <v>936</v>
      </c>
      <c r="M184" t="s">
        <v>962</v>
      </c>
    </row>
    <row r="185" spans="1:13" x14ac:dyDescent="0.3">
      <c r="A185" t="s">
        <v>854</v>
      </c>
      <c r="B185">
        <v>152</v>
      </c>
      <c r="C185">
        <v>1479030</v>
      </c>
      <c r="D185">
        <v>29591</v>
      </c>
      <c r="E185">
        <v>0</v>
      </c>
      <c r="F185">
        <v>0</v>
      </c>
      <c r="G185">
        <v>216034267</v>
      </c>
      <c r="H185">
        <v>1824777</v>
      </c>
      <c r="I185">
        <v>26223</v>
      </c>
      <c r="J185">
        <v>3243805</v>
      </c>
      <c r="K185">
        <v>18793</v>
      </c>
      <c r="L185" t="s">
        <v>936</v>
      </c>
      <c r="M185" t="s">
        <v>942</v>
      </c>
    </row>
    <row r="186" spans="1:13" x14ac:dyDescent="0.3">
      <c r="A186" t="s">
        <v>891</v>
      </c>
      <c r="B186">
        <v>185</v>
      </c>
      <c r="C186">
        <v>1814724</v>
      </c>
      <c r="D186">
        <v>29554</v>
      </c>
      <c r="E186">
        <v>1100</v>
      </c>
      <c r="F186">
        <v>0</v>
      </c>
      <c r="G186">
        <v>67653311</v>
      </c>
      <c r="H186">
        <v>615300</v>
      </c>
      <c r="I186">
        <v>1100</v>
      </c>
      <c r="J186">
        <v>51514017</v>
      </c>
      <c r="K186">
        <v>23952</v>
      </c>
      <c r="L186" t="s">
        <v>973</v>
      </c>
      <c r="M186" t="s">
        <v>959</v>
      </c>
    </row>
    <row r="187" spans="1:13" x14ac:dyDescent="0.3">
      <c r="A187" t="s">
        <v>889</v>
      </c>
      <c r="B187">
        <v>184</v>
      </c>
      <c r="C187">
        <v>1350595</v>
      </c>
      <c r="D187">
        <v>27433</v>
      </c>
      <c r="E187">
        <v>0</v>
      </c>
      <c r="F187">
        <v>1027076</v>
      </c>
      <c r="G187">
        <v>135972132</v>
      </c>
      <c r="H187">
        <v>854754</v>
      </c>
      <c r="I187">
        <v>30181</v>
      </c>
      <c r="J187">
        <v>8027071</v>
      </c>
      <c r="K187">
        <v>30963</v>
      </c>
      <c r="L187" t="s">
        <v>936</v>
      </c>
      <c r="M187" t="s">
        <v>962</v>
      </c>
    </row>
    <row r="188" spans="1:13" x14ac:dyDescent="0.3">
      <c r="A188" t="s">
        <v>880</v>
      </c>
      <c r="B188">
        <v>179</v>
      </c>
      <c r="C188">
        <v>4523931</v>
      </c>
      <c r="D188">
        <v>27358</v>
      </c>
      <c r="E188">
        <v>0</v>
      </c>
      <c r="F188">
        <v>0</v>
      </c>
      <c r="G188">
        <v>164059509</v>
      </c>
      <c r="H188">
        <v>1165060</v>
      </c>
      <c r="I188">
        <v>49572</v>
      </c>
      <c r="J188">
        <v>2022935</v>
      </c>
      <c r="K188">
        <v>32560</v>
      </c>
      <c r="L188" t="s">
        <v>936</v>
      </c>
      <c r="M188" t="s">
        <v>942</v>
      </c>
    </row>
    <row r="189" spans="1:13" x14ac:dyDescent="0.3">
      <c r="A189" t="s">
        <v>856</v>
      </c>
      <c r="B189">
        <v>158</v>
      </c>
      <c r="C189">
        <v>840063</v>
      </c>
      <c r="D189">
        <v>24477</v>
      </c>
      <c r="E189">
        <v>350</v>
      </c>
      <c r="F189">
        <v>0</v>
      </c>
      <c r="G189">
        <v>125198410</v>
      </c>
      <c r="H189">
        <v>1726664</v>
      </c>
      <c r="I189">
        <v>38844</v>
      </c>
      <c r="J189">
        <v>37620030</v>
      </c>
      <c r="K189">
        <v>17348</v>
      </c>
      <c r="L189" t="s">
        <v>936</v>
      </c>
      <c r="M189" t="s">
        <v>939</v>
      </c>
    </row>
    <row r="190" spans="1:13" x14ac:dyDescent="0.3">
      <c r="A190" t="s">
        <v>890</v>
      </c>
      <c r="B190">
        <v>186</v>
      </c>
      <c r="C190">
        <v>2222325</v>
      </c>
      <c r="D190">
        <v>23497</v>
      </c>
      <c r="E190">
        <v>0</v>
      </c>
      <c r="F190">
        <v>0</v>
      </c>
      <c r="G190">
        <v>111487147</v>
      </c>
      <c r="H190">
        <v>827312</v>
      </c>
      <c r="I190">
        <v>11973</v>
      </c>
      <c r="J190">
        <v>11815276</v>
      </c>
      <c r="K190">
        <v>28830</v>
      </c>
      <c r="L190" t="s">
        <v>936</v>
      </c>
      <c r="M190" t="s">
        <v>942</v>
      </c>
    </row>
    <row r="191" spans="1:13" x14ac:dyDescent="0.3">
      <c r="A191" t="s">
        <v>883</v>
      </c>
      <c r="B191">
        <v>181</v>
      </c>
      <c r="C191">
        <v>1152773</v>
      </c>
      <c r="D191">
        <v>23064</v>
      </c>
      <c r="E191">
        <v>0</v>
      </c>
      <c r="F191">
        <v>0</v>
      </c>
      <c r="G191">
        <v>129366730</v>
      </c>
      <c r="H191">
        <v>1093224</v>
      </c>
      <c r="I191">
        <v>24675</v>
      </c>
      <c r="J191">
        <v>8057288</v>
      </c>
      <c r="K191">
        <v>35940</v>
      </c>
      <c r="L191" t="s">
        <v>936</v>
      </c>
      <c r="M191" t="s">
        <v>962</v>
      </c>
    </row>
    <row r="192" spans="1:13" x14ac:dyDescent="0.3">
      <c r="A192" t="s">
        <v>892</v>
      </c>
      <c r="B192">
        <v>187</v>
      </c>
      <c r="C192">
        <v>911997</v>
      </c>
      <c r="D192">
        <v>18247</v>
      </c>
      <c r="E192">
        <v>0</v>
      </c>
      <c r="F192">
        <v>0</v>
      </c>
      <c r="G192">
        <v>112845343</v>
      </c>
      <c r="H192">
        <v>697802</v>
      </c>
      <c r="I192">
        <v>4977</v>
      </c>
      <c r="J192">
        <v>15924862</v>
      </c>
      <c r="K192">
        <v>33503</v>
      </c>
      <c r="L192" t="s">
        <v>936</v>
      </c>
      <c r="M192" t="s">
        <v>962</v>
      </c>
    </row>
    <row r="193" spans="1:13" x14ac:dyDescent="0.3">
      <c r="A193" t="s">
        <v>900</v>
      </c>
      <c r="B193">
        <v>195</v>
      </c>
      <c r="C193">
        <v>750675</v>
      </c>
      <c r="D193">
        <v>15699</v>
      </c>
      <c r="E193">
        <v>1160</v>
      </c>
      <c r="F193">
        <v>0</v>
      </c>
      <c r="G193">
        <v>52990576</v>
      </c>
      <c r="H193">
        <v>334868</v>
      </c>
      <c r="I193">
        <v>20235</v>
      </c>
      <c r="J193">
        <v>77322327</v>
      </c>
      <c r="K193">
        <v>17470</v>
      </c>
      <c r="L193" t="s">
        <v>936</v>
      </c>
      <c r="M193" t="s">
        <v>937</v>
      </c>
    </row>
    <row r="194" spans="1:13" x14ac:dyDescent="0.3">
      <c r="A194" t="s">
        <v>851</v>
      </c>
      <c r="B194">
        <v>149</v>
      </c>
      <c r="C194">
        <v>580308</v>
      </c>
      <c r="D194">
        <v>15352</v>
      </c>
      <c r="E194">
        <v>1350</v>
      </c>
      <c r="F194">
        <v>0</v>
      </c>
      <c r="G194">
        <v>166105765</v>
      </c>
      <c r="H194">
        <v>1904386</v>
      </c>
      <c r="I194">
        <v>51320</v>
      </c>
      <c r="J194">
        <v>4801442</v>
      </c>
      <c r="K194">
        <v>30640</v>
      </c>
      <c r="L194" t="s">
        <v>936</v>
      </c>
      <c r="M194" t="s">
        <v>940</v>
      </c>
    </row>
    <row r="195" spans="1:13" x14ac:dyDescent="0.3">
      <c r="A195" t="s">
        <v>901</v>
      </c>
      <c r="B195">
        <v>196</v>
      </c>
      <c r="C195">
        <v>2315643</v>
      </c>
      <c r="D195">
        <v>5868</v>
      </c>
      <c r="E195">
        <v>0</v>
      </c>
      <c r="F195">
        <v>0</v>
      </c>
      <c r="G195">
        <v>106141582</v>
      </c>
      <c r="H195">
        <v>262840</v>
      </c>
      <c r="I195">
        <v>23752</v>
      </c>
      <c r="J195">
        <v>54100651</v>
      </c>
      <c r="K195">
        <v>23710</v>
      </c>
      <c r="L195" t="s">
        <v>936</v>
      </c>
      <c r="M195" t="s">
        <v>937</v>
      </c>
    </row>
    <row r="196" spans="1:13" x14ac:dyDescent="0.3">
      <c r="A196" t="s">
        <v>893</v>
      </c>
      <c r="B196">
        <v>190</v>
      </c>
      <c r="C196">
        <v>203209</v>
      </c>
      <c r="D196">
        <v>2309</v>
      </c>
      <c r="E196">
        <v>0</v>
      </c>
      <c r="F196">
        <v>8777575</v>
      </c>
      <c r="G196">
        <v>43095206</v>
      </c>
      <c r="H196">
        <v>456480</v>
      </c>
      <c r="I196">
        <v>76192</v>
      </c>
      <c r="J196">
        <v>298364043</v>
      </c>
      <c r="K196">
        <v>20506</v>
      </c>
      <c r="L196" t="s">
        <v>936</v>
      </c>
      <c r="M196" t="s">
        <v>937</v>
      </c>
    </row>
    <row r="197" spans="1:13" x14ac:dyDescent="0.3">
      <c r="A197" t="s">
        <v>897</v>
      </c>
      <c r="B197">
        <v>193</v>
      </c>
      <c r="C197">
        <v>0</v>
      </c>
      <c r="D197">
        <v>0</v>
      </c>
      <c r="E197">
        <v>0</v>
      </c>
      <c r="F197">
        <v>0</v>
      </c>
      <c r="G197">
        <v>57051857</v>
      </c>
      <c r="H197">
        <v>312495</v>
      </c>
      <c r="I197">
        <v>5816</v>
      </c>
      <c r="J197">
        <v>2216756</v>
      </c>
      <c r="K197">
        <v>23480</v>
      </c>
      <c r="L197" t="s">
        <v>936</v>
      </c>
      <c r="M197" t="s">
        <v>937</v>
      </c>
    </row>
    <row r="198" spans="1:13" x14ac:dyDescent="0.3">
      <c r="A198" t="s">
        <v>975</v>
      </c>
      <c r="B198">
        <v>157</v>
      </c>
      <c r="C198">
        <v>0</v>
      </c>
      <c r="D198">
        <v>0</v>
      </c>
      <c r="E198">
        <v>0</v>
      </c>
      <c r="F198">
        <v>0</v>
      </c>
      <c r="G198">
        <v>162579785</v>
      </c>
      <c r="H198">
        <v>1808445</v>
      </c>
      <c r="I198">
        <v>60531</v>
      </c>
      <c r="J198">
        <v>5539743</v>
      </c>
      <c r="K198">
        <v>35100</v>
      </c>
      <c r="L198" t="s">
        <v>936</v>
      </c>
      <c r="M198" t="s">
        <v>945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EEB6-65D0-42BD-83CC-7285A6125ECE}">
  <dimension ref="A1:M197"/>
  <sheetViews>
    <sheetView workbookViewId="0">
      <selection activeCell="M11" sqref="M11"/>
    </sheetView>
  </sheetViews>
  <sheetFormatPr defaultRowHeight="16.5" x14ac:dyDescent="0.3"/>
  <sheetData>
    <row r="1" spans="1:13" x14ac:dyDescent="0.3">
      <c r="A1" t="s">
        <v>923</v>
      </c>
      <c r="B1" t="s">
        <v>924</v>
      </c>
      <c r="C1" t="s">
        <v>925</v>
      </c>
      <c r="D1" t="s">
        <v>926</v>
      </c>
      <c r="E1" t="s">
        <v>927</v>
      </c>
      <c r="F1" t="s">
        <v>928</v>
      </c>
      <c r="G1" t="s">
        <v>929</v>
      </c>
      <c r="H1" t="s">
        <v>930</v>
      </c>
      <c r="I1" t="s">
        <v>931</v>
      </c>
      <c r="J1" t="s">
        <v>932</v>
      </c>
      <c r="K1" t="s">
        <v>933</v>
      </c>
      <c r="L1" t="s">
        <v>934</v>
      </c>
      <c r="M1" t="s">
        <v>935</v>
      </c>
    </row>
    <row r="2" spans="1:13" x14ac:dyDescent="0.3">
      <c r="A2" t="s">
        <v>746</v>
      </c>
      <c r="B2">
        <v>9</v>
      </c>
      <c r="C2">
        <v>22792071</v>
      </c>
      <c r="D2">
        <v>488489</v>
      </c>
      <c r="E2">
        <v>958</v>
      </c>
      <c r="F2">
        <v>0</v>
      </c>
      <c r="G2">
        <v>472385925</v>
      </c>
      <c r="H2">
        <v>7216897</v>
      </c>
      <c r="I2">
        <v>61603</v>
      </c>
      <c r="J2">
        <v>2964363</v>
      </c>
      <c r="K2">
        <v>38543</v>
      </c>
      <c r="L2" t="s">
        <v>936</v>
      </c>
      <c r="M2" t="s">
        <v>943</v>
      </c>
    </row>
    <row r="3" spans="1:13" x14ac:dyDescent="0.3">
      <c r="A3" t="s">
        <v>752</v>
      </c>
      <c r="B3">
        <v>12</v>
      </c>
      <c r="C3">
        <v>24361360</v>
      </c>
      <c r="D3">
        <v>530177</v>
      </c>
      <c r="E3">
        <v>3150</v>
      </c>
      <c r="F3">
        <v>0</v>
      </c>
      <c r="G3">
        <v>461895590</v>
      </c>
      <c r="H3">
        <v>6692983</v>
      </c>
      <c r="I3">
        <v>67205</v>
      </c>
      <c r="J3">
        <v>3457225</v>
      </c>
      <c r="K3">
        <v>44840</v>
      </c>
      <c r="L3" t="s">
        <v>936</v>
      </c>
      <c r="M3" t="s">
        <v>943</v>
      </c>
    </row>
    <row r="4" spans="1:13" x14ac:dyDescent="0.3">
      <c r="A4" t="s">
        <v>745</v>
      </c>
      <c r="B4">
        <v>10</v>
      </c>
      <c r="C4">
        <v>19570938</v>
      </c>
      <c r="D4">
        <v>428909</v>
      </c>
      <c r="E4">
        <v>531</v>
      </c>
      <c r="F4">
        <v>0</v>
      </c>
      <c r="G4">
        <v>476944455</v>
      </c>
      <c r="H4">
        <v>7338430</v>
      </c>
      <c r="I4">
        <v>63170</v>
      </c>
      <c r="J4">
        <v>3058362</v>
      </c>
      <c r="K4">
        <v>42190</v>
      </c>
      <c r="L4" t="s">
        <v>936</v>
      </c>
      <c r="M4" t="s">
        <v>943</v>
      </c>
    </row>
    <row r="5" spans="1:13" x14ac:dyDescent="0.3">
      <c r="A5" t="s">
        <v>798</v>
      </c>
      <c r="B5">
        <v>75</v>
      </c>
      <c r="C5">
        <v>9910459</v>
      </c>
      <c r="D5">
        <v>214241</v>
      </c>
      <c r="E5">
        <v>2300</v>
      </c>
      <c r="F5">
        <v>0</v>
      </c>
      <c r="G5">
        <v>339196530</v>
      </c>
      <c r="H5">
        <v>4573485</v>
      </c>
      <c r="I5">
        <v>130411</v>
      </c>
      <c r="J5">
        <v>4290497</v>
      </c>
      <c r="K5">
        <v>39450</v>
      </c>
      <c r="L5" t="s">
        <v>936</v>
      </c>
      <c r="M5" t="s">
        <v>946</v>
      </c>
    </row>
    <row r="6" spans="1:13" x14ac:dyDescent="0.3">
      <c r="A6" t="s">
        <v>795</v>
      </c>
      <c r="B6">
        <v>64</v>
      </c>
      <c r="C6">
        <v>17420001</v>
      </c>
      <c r="D6">
        <v>368699</v>
      </c>
      <c r="E6">
        <v>346</v>
      </c>
      <c r="F6">
        <v>0</v>
      </c>
      <c r="G6">
        <v>343895236</v>
      </c>
      <c r="H6">
        <v>4616219</v>
      </c>
      <c r="I6">
        <v>43225</v>
      </c>
      <c r="J6">
        <v>3989749</v>
      </c>
      <c r="K6">
        <v>41273</v>
      </c>
      <c r="L6" t="s">
        <v>936</v>
      </c>
      <c r="M6" t="s">
        <v>939</v>
      </c>
    </row>
    <row r="7" spans="1:13" x14ac:dyDescent="0.3">
      <c r="A7" t="s">
        <v>747</v>
      </c>
      <c r="B7">
        <v>11</v>
      </c>
      <c r="C7">
        <v>22391565</v>
      </c>
      <c r="D7">
        <v>451678</v>
      </c>
      <c r="E7">
        <v>6356</v>
      </c>
      <c r="F7">
        <v>0</v>
      </c>
      <c r="G7">
        <v>507191568</v>
      </c>
      <c r="H7">
        <v>6779246</v>
      </c>
      <c r="I7">
        <v>115929</v>
      </c>
      <c r="J7">
        <v>2761789</v>
      </c>
      <c r="K7">
        <v>42130</v>
      </c>
      <c r="L7" t="s">
        <v>936</v>
      </c>
      <c r="M7" t="s">
        <v>943</v>
      </c>
    </row>
    <row r="8" spans="1:13" x14ac:dyDescent="0.3">
      <c r="A8" t="s">
        <v>742</v>
      </c>
      <c r="B8">
        <v>2</v>
      </c>
      <c r="C8">
        <v>31816786</v>
      </c>
      <c r="D8">
        <v>670298</v>
      </c>
      <c r="E8">
        <v>1099</v>
      </c>
      <c r="F8">
        <v>0</v>
      </c>
      <c r="G8">
        <v>582599692</v>
      </c>
      <c r="H8">
        <v>8624009</v>
      </c>
      <c r="I8">
        <v>56718</v>
      </c>
      <c r="J8">
        <v>2762893</v>
      </c>
      <c r="K8">
        <v>42170</v>
      </c>
      <c r="L8" t="s">
        <v>936</v>
      </c>
      <c r="M8" t="s">
        <v>937</v>
      </c>
    </row>
    <row r="9" spans="1:13" x14ac:dyDescent="0.3">
      <c r="A9" t="s">
        <v>744</v>
      </c>
      <c r="B9">
        <v>7</v>
      </c>
      <c r="C9">
        <v>25484210</v>
      </c>
      <c r="D9">
        <v>525865</v>
      </c>
      <c r="E9">
        <v>0</v>
      </c>
      <c r="F9">
        <v>0</v>
      </c>
      <c r="G9">
        <v>543153026</v>
      </c>
      <c r="H9">
        <v>7655110</v>
      </c>
      <c r="I9">
        <v>47662</v>
      </c>
      <c r="J9">
        <v>8203813</v>
      </c>
      <c r="K9">
        <v>47220</v>
      </c>
      <c r="L9" t="s">
        <v>936</v>
      </c>
      <c r="M9" t="s">
        <v>939</v>
      </c>
    </row>
    <row r="10" spans="1:13" x14ac:dyDescent="0.3">
      <c r="A10" t="s">
        <v>740</v>
      </c>
      <c r="B10">
        <v>1</v>
      </c>
      <c r="C10">
        <v>24395314</v>
      </c>
      <c r="D10">
        <v>469876</v>
      </c>
      <c r="E10">
        <v>5400</v>
      </c>
      <c r="F10">
        <v>0</v>
      </c>
      <c r="G10">
        <v>582766635</v>
      </c>
      <c r="H10">
        <v>8749602</v>
      </c>
      <c r="I10">
        <v>120025</v>
      </c>
      <c r="J10">
        <v>2709594</v>
      </c>
      <c r="K10">
        <v>42960</v>
      </c>
      <c r="L10" t="s">
        <v>936</v>
      </c>
      <c r="M10" t="s">
        <v>944</v>
      </c>
    </row>
    <row r="11" spans="1:13" x14ac:dyDescent="0.3">
      <c r="A11" t="s">
        <v>741</v>
      </c>
      <c r="B11">
        <v>6</v>
      </c>
      <c r="C11">
        <v>21705973</v>
      </c>
      <c r="D11">
        <v>423932</v>
      </c>
      <c r="E11">
        <v>350</v>
      </c>
      <c r="F11">
        <v>0</v>
      </c>
      <c r="G11">
        <v>487593764</v>
      </c>
      <c r="H11">
        <v>7516614</v>
      </c>
      <c r="I11">
        <v>31973</v>
      </c>
      <c r="J11">
        <v>2802676</v>
      </c>
      <c r="K11">
        <v>35840</v>
      </c>
      <c r="L11" t="s">
        <v>936</v>
      </c>
      <c r="M11" t="s">
        <v>940</v>
      </c>
    </row>
    <row r="12" spans="1:13" x14ac:dyDescent="0.3">
      <c r="A12" t="s">
        <v>753</v>
      </c>
      <c r="B12">
        <v>14</v>
      </c>
      <c r="C12">
        <v>21023149</v>
      </c>
      <c r="D12">
        <v>444448</v>
      </c>
      <c r="E12">
        <v>0</v>
      </c>
      <c r="F12">
        <v>0</v>
      </c>
      <c r="G12">
        <v>498377631</v>
      </c>
      <c r="H12">
        <v>6289113</v>
      </c>
      <c r="I12">
        <v>41451</v>
      </c>
      <c r="J12">
        <v>2702231</v>
      </c>
      <c r="K12">
        <v>38430</v>
      </c>
      <c r="L12" t="s">
        <v>936</v>
      </c>
      <c r="M12" t="s">
        <v>939</v>
      </c>
    </row>
    <row r="13" spans="1:13" x14ac:dyDescent="0.3">
      <c r="A13" t="s">
        <v>754</v>
      </c>
      <c r="B13">
        <v>20</v>
      </c>
      <c r="C13">
        <v>15588363</v>
      </c>
      <c r="D13">
        <v>298855</v>
      </c>
      <c r="E13">
        <v>0</v>
      </c>
      <c r="F13">
        <v>0</v>
      </c>
      <c r="G13">
        <v>391649500</v>
      </c>
      <c r="H13">
        <v>5581847</v>
      </c>
      <c r="I13">
        <v>32007</v>
      </c>
      <c r="J13">
        <v>3859526</v>
      </c>
      <c r="K13">
        <v>42403</v>
      </c>
      <c r="L13" t="s">
        <v>936</v>
      </c>
      <c r="M13" t="s">
        <v>942</v>
      </c>
    </row>
    <row r="14" spans="1:13" x14ac:dyDescent="0.3">
      <c r="A14" t="s">
        <v>751</v>
      </c>
      <c r="B14">
        <v>16</v>
      </c>
      <c r="C14">
        <v>14359006</v>
      </c>
      <c r="D14">
        <v>310806</v>
      </c>
      <c r="E14">
        <v>0</v>
      </c>
      <c r="F14">
        <v>0</v>
      </c>
      <c r="G14">
        <v>413898354</v>
      </c>
      <c r="H14">
        <v>6276683</v>
      </c>
      <c r="I14">
        <v>46851</v>
      </c>
      <c r="J14">
        <v>4819625</v>
      </c>
      <c r="K14">
        <v>39960</v>
      </c>
      <c r="L14" t="s">
        <v>936</v>
      </c>
      <c r="M14" t="s">
        <v>939</v>
      </c>
    </row>
    <row r="15" spans="1:13" x14ac:dyDescent="0.3">
      <c r="A15" t="s">
        <v>792</v>
      </c>
      <c r="B15">
        <v>58</v>
      </c>
      <c r="C15">
        <v>13676289</v>
      </c>
      <c r="D15">
        <v>282558</v>
      </c>
      <c r="E15">
        <v>0</v>
      </c>
      <c r="F15">
        <v>0</v>
      </c>
      <c r="G15">
        <v>338738854</v>
      </c>
      <c r="H15">
        <v>4810815</v>
      </c>
      <c r="I15">
        <v>125889</v>
      </c>
      <c r="J15">
        <v>5387592</v>
      </c>
      <c r="K15">
        <v>37809</v>
      </c>
      <c r="L15" t="s">
        <v>936</v>
      </c>
      <c r="M15" t="s">
        <v>943</v>
      </c>
    </row>
    <row r="16" spans="1:13" x14ac:dyDescent="0.3">
      <c r="A16" t="s">
        <v>964</v>
      </c>
      <c r="B16">
        <v>103</v>
      </c>
      <c r="C16">
        <v>12644691</v>
      </c>
      <c r="D16">
        <v>267575</v>
      </c>
      <c r="E16">
        <v>0</v>
      </c>
      <c r="F16">
        <v>0</v>
      </c>
      <c r="G16">
        <v>256640094</v>
      </c>
      <c r="H16">
        <v>3480538</v>
      </c>
      <c r="I16">
        <v>55883</v>
      </c>
      <c r="J16">
        <v>3037846</v>
      </c>
      <c r="K16">
        <v>33640</v>
      </c>
      <c r="L16" t="s">
        <v>936</v>
      </c>
      <c r="M16" t="s">
        <v>939</v>
      </c>
    </row>
    <row r="17" spans="1:13" x14ac:dyDescent="0.3">
      <c r="A17" t="s">
        <v>957</v>
      </c>
      <c r="B17">
        <v>51</v>
      </c>
      <c r="C17">
        <v>12439177</v>
      </c>
      <c r="D17">
        <v>236834</v>
      </c>
      <c r="E17">
        <v>9133</v>
      </c>
      <c r="F17">
        <v>0</v>
      </c>
      <c r="G17">
        <v>362432065</v>
      </c>
      <c r="H17">
        <v>4723786</v>
      </c>
      <c r="I17">
        <v>53360</v>
      </c>
      <c r="J17">
        <v>2705997</v>
      </c>
      <c r="K17">
        <v>40660</v>
      </c>
      <c r="L17" t="s">
        <v>936</v>
      </c>
      <c r="M17" t="s">
        <v>943</v>
      </c>
    </row>
    <row r="18" spans="1:13" x14ac:dyDescent="0.3">
      <c r="A18" t="s">
        <v>853</v>
      </c>
      <c r="B18">
        <v>147</v>
      </c>
      <c r="C18">
        <v>10835604</v>
      </c>
      <c r="D18">
        <v>199438</v>
      </c>
      <c r="E18">
        <v>0</v>
      </c>
      <c r="F18">
        <v>0</v>
      </c>
      <c r="G18">
        <v>187419548</v>
      </c>
      <c r="H18">
        <v>2079920</v>
      </c>
      <c r="I18">
        <v>36309</v>
      </c>
      <c r="J18">
        <v>53580116</v>
      </c>
      <c r="K18">
        <v>32053</v>
      </c>
      <c r="L18" t="s">
        <v>936</v>
      </c>
      <c r="M18" t="s">
        <v>943</v>
      </c>
    </row>
    <row r="19" spans="1:13" x14ac:dyDescent="0.3">
      <c r="A19" t="s">
        <v>806</v>
      </c>
      <c r="B19">
        <v>74</v>
      </c>
      <c r="C19">
        <v>28667306</v>
      </c>
      <c r="D19">
        <v>491063</v>
      </c>
      <c r="E19">
        <v>0</v>
      </c>
      <c r="F19">
        <v>0</v>
      </c>
      <c r="G19">
        <v>436463969</v>
      </c>
      <c r="H19">
        <v>4219656</v>
      </c>
      <c r="I19">
        <v>34958</v>
      </c>
      <c r="J19">
        <v>4581119</v>
      </c>
      <c r="K19">
        <v>46120</v>
      </c>
      <c r="L19" t="s">
        <v>936</v>
      </c>
      <c r="M19" t="s">
        <v>939</v>
      </c>
    </row>
    <row r="20" spans="1:13" x14ac:dyDescent="0.3">
      <c r="A20" t="s">
        <v>748</v>
      </c>
      <c r="B20">
        <v>13</v>
      </c>
      <c r="C20">
        <v>26576532</v>
      </c>
      <c r="D20">
        <v>410566</v>
      </c>
      <c r="E20">
        <v>0</v>
      </c>
      <c r="F20">
        <v>0</v>
      </c>
      <c r="G20">
        <v>492890406</v>
      </c>
      <c r="H20">
        <v>6063790</v>
      </c>
      <c r="I20">
        <v>29239</v>
      </c>
      <c r="J20">
        <v>2770716</v>
      </c>
      <c r="K20">
        <v>36793</v>
      </c>
      <c r="L20" t="s">
        <v>936</v>
      </c>
      <c r="M20" t="s">
        <v>937</v>
      </c>
    </row>
    <row r="21" spans="1:13" x14ac:dyDescent="0.3">
      <c r="A21" t="s">
        <v>786</v>
      </c>
      <c r="B21">
        <v>47</v>
      </c>
      <c r="C21">
        <v>25808537</v>
      </c>
      <c r="D21">
        <v>321336</v>
      </c>
      <c r="E21">
        <v>6750</v>
      </c>
      <c r="F21">
        <v>0</v>
      </c>
      <c r="G21">
        <v>428852085</v>
      </c>
      <c r="H21">
        <v>4962867</v>
      </c>
      <c r="I21">
        <v>88425</v>
      </c>
      <c r="J21">
        <v>2065216</v>
      </c>
      <c r="K21">
        <v>38170</v>
      </c>
      <c r="L21" t="s">
        <v>936</v>
      </c>
      <c r="M21" t="s">
        <v>940</v>
      </c>
    </row>
    <row r="22" spans="1:13" x14ac:dyDescent="0.3">
      <c r="A22" t="s">
        <v>598</v>
      </c>
      <c r="B22">
        <v>3</v>
      </c>
      <c r="C22">
        <v>24859565</v>
      </c>
      <c r="D22">
        <v>495420</v>
      </c>
      <c r="E22">
        <v>700</v>
      </c>
      <c r="F22">
        <v>0</v>
      </c>
      <c r="G22">
        <v>544827034</v>
      </c>
      <c r="H22">
        <v>7833458</v>
      </c>
      <c r="I22">
        <v>54605</v>
      </c>
      <c r="J22">
        <v>3882655</v>
      </c>
      <c r="K22">
        <v>41310</v>
      </c>
      <c r="L22" t="s">
        <v>936</v>
      </c>
      <c r="M22" t="s">
        <v>945</v>
      </c>
    </row>
    <row r="23" spans="1:13" x14ac:dyDescent="0.3">
      <c r="A23" t="s">
        <v>743</v>
      </c>
      <c r="B23">
        <v>5</v>
      </c>
      <c r="C23">
        <v>24854728</v>
      </c>
      <c r="D23">
        <v>457820</v>
      </c>
      <c r="E23">
        <v>0</v>
      </c>
      <c r="F23">
        <v>0</v>
      </c>
      <c r="G23">
        <v>514314068</v>
      </c>
      <c r="H23">
        <v>7795829</v>
      </c>
      <c r="I23">
        <v>54477</v>
      </c>
      <c r="J23">
        <v>2727930</v>
      </c>
      <c r="K23">
        <v>40920</v>
      </c>
      <c r="L23" t="s">
        <v>936</v>
      </c>
      <c r="M23" t="s">
        <v>940</v>
      </c>
    </row>
    <row r="24" spans="1:13" x14ac:dyDescent="0.3">
      <c r="A24" t="s">
        <v>804</v>
      </c>
      <c r="B24">
        <v>54</v>
      </c>
      <c r="C24">
        <v>23655780</v>
      </c>
      <c r="D24">
        <v>500805</v>
      </c>
      <c r="E24">
        <v>0</v>
      </c>
      <c r="F24">
        <v>0</v>
      </c>
      <c r="G24">
        <v>433946172</v>
      </c>
      <c r="H24">
        <v>5326904</v>
      </c>
      <c r="I24">
        <v>15311</v>
      </c>
      <c r="J24">
        <v>12260817</v>
      </c>
      <c r="K24">
        <v>39860</v>
      </c>
      <c r="L24" t="s">
        <v>936</v>
      </c>
      <c r="M24" t="s">
        <v>937</v>
      </c>
    </row>
    <row r="25" spans="1:13" x14ac:dyDescent="0.3">
      <c r="A25" t="s">
        <v>760</v>
      </c>
      <c r="B25">
        <v>23</v>
      </c>
      <c r="C25">
        <v>23553090</v>
      </c>
      <c r="D25">
        <v>350478</v>
      </c>
      <c r="E25">
        <v>0</v>
      </c>
      <c r="F25">
        <v>0</v>
      </c>
      <c r="G25">
        <v>643658328</v>
      </c>
      <c r="H25">
        <v>5598658</v>
      </c>
      <c r="I25">
        <v>35635</v>
      </c>
      <c r="J25">
        <v>4082120</v>
      </c>
      <c r="K25">
        <v>44383</v>
      </c>
      <c r="L25" t="s">
        <v>936</v>
      </c>
      <c r="M25" t="s">
        <v>940</v>
      </c>
    </row>
    <row r="26" spans="1:13" x14ac:dyDescent="0.3">
      <c r="A26" t="s">
        <v>841</v>
      </c>
      <c r="B26">
        <v>132</v>
      </c>
      <c r="C26">
        <v>22994468</v>
      </c>
      <c r="D26">
        <v>183336</v>
      </c>
      <c r="E26">
        <v>9000</v>
      </c>
      <c r="F26">
        <v>0</v>
      </c>
      <c r="G26">
        <v>205356140</v>
      </c>
      <c r="H26">
        <v>2676629</v>
      </c>
      <c r="I26">
        <v>88503</v>
      </c>
      <c r="J26">
        <v>37062837</v>
      </c>
      <c r="K26">
        <v>30390</v>
      </c>
      <c r="L26" t="s">
        <v>936</v>
      </c>
      <c r="M26" t="s">
        <v>945</v>
      </c>
    </row>
    <row r="27" spans="1:13" x14ac:dyDescent="0.3">
      <c r="A27" t="s">
        <v>938</v>
      </c>
      <c r="B27">
        <v>4</v>
      </c>
      <c r="C27">
        <v>22949105</v>
      </c>
      <c r="D27">
        <v>476059</v>
      </c>
      <c r="E27">
        <v>400</v>
      </c>
      <c r="F27">
        <v>0</v>
      </c>
      <c r="G27">
        <v>559462494</v>
      </c>
      <c r="H27">
        <v>7916868</v>
      </c>
      <c r="I27">
        <v>35838</v>
      </c>
      <c r="J27">
        <v>3237273</v>
      </c>
      <c r="K27">
        <v>45140</v>
      </c>
      <c r="L27" t="s">
        <v>936</v>
      </c>
      <c r="M27" t="s">
        <v>939</v>
      </c>
    </row>
    <row r="28" spans="1:13" x14ac:dyDescent="0.3">
      <c r="A28" t="s">
        <v>799</v>
      </c>
      <c r="B28">
        <v>69</v>
      </c>
      <c r="C28">
        <v>22468773</v>
      </c>
      <c r="D28">
        <v>318845</v>
      </c>
      <c r="E28">
        <v>1430</v>
      </c>
      <c r="F28">
        <v>0</v>
      </c>
      <c r="G28">
        <v>521450158</v>
      </c>
      <c r="H28">
        <v>4661277</v>
      </c>
      <c r="I28">
        <v>51486</v>
      </c>
      <c r="J28">
        <v>3345422</v>
      </c>
      <c r="K28">
        <v>45386</v>
      </c>
      <c r="L28" t="s">
        <v>936</v>
      </c>
      <c r="M28" t="s">
        <v>940</v>
      </c>
    </row>
    <row r="29" spans="1:13" x14ac:dyDescent="0.3">
      <c r="A29" t="s">
        <v>809</v>
      </c>
      <c r="B29">
        <v>91</v>
      </c>
      <c r="C29">
        <v>22014769</v>
      </c>
      <c r="D29">
        <v>254600</v>
      </c>
      <c r="E29">
        <v>50</v>
      </c>
      <c r="F29">
        <v>0</v>
      </c>
      <c r="G29">
        <v>328630582</v>
      </c>
      <c r="H29">
        <v>3707553</v>
      </c>
      <c r="I29">
        <v>49182</v>
      </c>
      <c r="J29">
        <v>5987927</v>
      </c>
      <c r="K29">
        <v>42980</v>
      </c>
      <c r="L29" t="s">
        <v>936</v>
      </c>
      <c r="M29" t="s">
        <v>939</v>
      </c>
    </row>
    <row r="30" spans="1:13" x14ac:dyDescent="0.3">
      <c r="A30" t="s">
        <v>960</v>
      </c>
      <c r="B30">
        <v>88</v>
      </c>
      <c r="C30">
        <v>21806372</v>
      </c>
      <c r="D30">
        <v>246580</v>
      </c>
      <c r="E30">
        <v>0</v>
      </c>
      <c r="F30">
        <v>0</v>
      </c>
      <c r="G30">
        <v>352913583</v>
      </c>
      <c r="H30">
        <v>4072785</v>
      </c>
      <c r="I30">
        <v>23200</v>
      </c>
      <c r="J30">
        <v>6151726</v>
      </c>
      <c r="K30">
        <v>36360</v>
      </c>
      <c r="L30" t="s">
        <v>936</v>
      </c>
      <c r="M30" t="s">
        <v>945</v>
      </c>
    </row>
    <row r="31" spans="1:13" x14ac:dyDescent="0.3">
      <c r="A31" t="s">
        <v>961</v>
      </c>
      <c r="B31">
        <v>53</v>
      </c>
      <c r="C31">
        <v>21115980</v>
      </c>
      <c r="D31">
        <v>283987</v>
      </c>
      <c r="E31">
        <v>0</v>
      </c>
      <c r="F31">
        <v>0</v>
      </c>
      <c r="G31">
        <v>358998994</v>
      </c>
      <c r="H31">
        <v>4717873</v>
      </c>
      <c r="I31">
        <v>44537</v>
      </c>
      <c r="J31">
        <v>3480620</v>
      </c>
      <c r="K31">
        <v>38829</v>
      </c>
      <c r="L31" t="s">
        <v>987</v>
      </c>
      <c r="M31" t="s">
        <v>946</v>
      </c>
    </row>
    <row r="32" spans="1:13" x14ac:dyDescent="0.3">
      <c r="A32" t="s">
        <v>967</v>
      </c>
      <c r="B32">
        <v>114</v>
      </c>
      <c r="C32">
        <v>20609116</v>
      </c>
      <c r="D32">
        <v>194021</v>
      </c>
      <c r="E32">
        <v>0</v>
      </c>
      <c r="F32">
        <v>0</v>
      </c>
      <c r="G32">
        <v>347022918</v>
      </c>
      <c r="H32">
        <v>3440747</v>
      </c>
      <c r="I32">
        <v>32145</v>
      </c>
      <c r="J32">
        <v>3722185</v>
      </c>
      <c r="K32">
        <v>44630</v>
      </c>
      <c r="L32" t="s">
        <v>936</v>
      </c>
      <c r="M32" t="s">
        <v>942</v>
      </c>
    </row>
    <row r="33" spans="1:13" x14ac:dyDescent="0.3">
      <c r="A33" t="s">
        <v>773</v>
      </c>
      <c r="B33">
        <v>37</v>
      </c>
      <c r="C33">
        <v>19901131</v>
      </c>
      <c r="D33">
        <v>351814</v>
      </c>
      <c r="E33">
        <v>0</v>
      </c>
      <c r="F33">
        <v>0</v>
      </c>
      <c r="G33">
        <v>381346288</v>
      </c>
      <c r="H33">
        <v>5220850</v>
      </c>
      <c r="I33">
        <v>63434</v>
      </c>
      <c r="J33">
        <v>3727713</v>
      </c>
      <c r="K33">
        <v>42696</v>
      </c>
      <c r="L33" t="s">
        <v>936</v>
      </c>
      <c r="M33" t="s">
        <v>946</v>
      </c>
    </row>
    <row r="34" spans="1:13" x14ac:dyDescent="0.3">
      <c r="A34" t="s">
        <v>845</v>
      </c>
      <c r="B34">
        <v>129</v>
      </c>
      <c r="C34">
        <v>19670244</v>
      </c>
      <c r="D34">
        <v>139872</v>
      </c>
      <c r="E34">
        <v>350</v>
      </c>
      <c r="F34">
        <v>0</v>
      </c>
      <c r="G34">
        <v>299877702</v>
      </c>
      <c r="H34">
        <v>2663407</v>
      </c>
      <c r="I34">
        <v>35955</v>
      </c>
      <c r="J34">
        <v>20487871</v>
      </c>
      <c r="K34">
        <v>39440</v>
      </c>
      <c r="L34" t="s">
        <v>936</v>
      </c>
      <c r="M34" t="s">
        <v>944</v>
      </c>
    </row>
    <row r="35" spans="1:13" x14ac:dyDescent="0.3">
      <c r="A35" t="s">
        <v>777</v>
      </c>
      <c r="B35">
        <v>43</v>
      </c>
      <c r="C35">
        <v>19554420</v>
      </c>
      <c r="D35">
        <v>356492</v>
      </c>
      <c r="E35">
        <v>11250</v>
      </c>
      <c r="F35">
        <v>0</v>
      </c>
      <c r="G35">
        <v>337889182</v>
      </c>
      <c r="H35">
        <v>4825261</v>
      </c>
      <c r="I35">
        <v>107642</v>
      </c>
      <c r="J35">
        <v>5085296</v>
      </c>
      <c r="K35">
        <v>37633</v>
      </c>
      <c r="L35" t="s">
        <v>936</v>
      </c>
      <c r="M35" t="s">
        <v>940</v>
      </c>
    </row>
    <row r="36" spans="1:13" x14ac:dyDescent="0.3">
      <c r="A36" t="s">
        <v>776</v>
      </c>
      <c r="B36">
        <v>36</v>
      </c>
      <c r="C36">
        <v>19464638</v>
      </c>
      <c r="D36">
        <v>399385</v>
      </c>
      <c r="E36">
        <v>0</v>
      </c>
      <c r="F36">
        <v>0</v>
      </c>
      <c r="G36">
        <v>389307217</v>
      </c>
      <c r="H36">
        <v>5262555</v>
      </c>
      <c r="I36">
        <v>31461</v>
      </c>
      <c r="J36">
        <v>19401162</v>
      </c>
      <c r="K36">
        <v>42890</v>
      </c>
      <c r="L36" t="s">
        <v>936</v>
      </c>
      <c r="M36" t="s">
        <v>939</v>
      </c>
    </row>
    <row r="37" spans="1:13" x14ac:dyDescent="0.3">
      <c r="A37" t="s">
        <v>812</v>
      </c>
      <c r="B37">
        <v>81</v>
      </c>
      <c r="C37">
        <v>19436534</v>
      </c>
      <c r="D37">
        <v>371989</v>
      </c>
      <c r="E37">
        <v>303</v>
      </c>
      <c r="F37">
        <v>0</v>
      </c>
      <c r="G37">
        <v>341086918</v>
      </c>
      <c r="H37">
        <v>4638202</v>
      </c>
      <c r="I37">
        <v>5276</v>
      </c>
      <c r="J37">
        <v>10589521</v>
      </c>
      <c r="K37">
        <v>43200</v>
      </c>
      <c r="L37" t="s">
        <v>936</v>
      </c>
      <c r="M37" t="s">
        <v>940</v>
      </c>
    </row>
    <row r="38" spans="1:13" x14ac:dyDescent="0.3">
      <c r="A38" t="s">
        <v>761</v>
      </c>
      <c r="B38">
        <v>25</v>
      </c>
      <c r="C38">
        <v>18815328</v>
      </c>
      <c r="D38">
        <v>406258</v>
      </c>
      <c r="E38">
        <v>1503</v>
      </c>
      <c r="F38">
        <v>0</v>
      </c>
      <c r="G38">
        <v>436520684</v>
      </c>
      <c r="H38">
        <v>5870864</v>
      </c>
      <c r="I38">
        <v>65626</v>
      </c>
      <c r="J38">
        <v>5426407</v>
      </c>
      <c r="K38">
        <v>40730</v>
      </c>
      <c r="L38" t="s">
        <v>936</v>
      </c>
      <c r="M38" t="s">
        <v>945</v>
      </c>
    </row>
    <row r="39" spans="1:13" x14ac:dyDescent="0.3">
      <c r="A39" t="s">
        <v>864</v>
      </c>
      <c r="B39">
        <v>142</v>
      </c>
      <c r="C39">
        <v>18631941</v>
      </c>
      <c r="D39">
        <v>325984</v>
      </c>
      <c r="E39">
        <v>0</v>
      </c>
      <c r="F39">
        <v>0</v>
      </c>
      <c r="G39">
        <v>261689405</v>
      </c>
      <c r="H39">
        <v>2668352</v>
      </c>
      <c r="I39">
        <v>15455</v>
      </c>
      <c r="J39">
        <v>3144058</v>
      </c>
      <c r="K39">
        <v>43973</v>
      </c>
      <c r="L39" t="s">
        <v>936</v>
      </c>
      <c r="M39" t="s">
        <v>937</v>
      </c>
    </row>
    <row r="40" spans="1:13" x14ac:dyDescent="0.3">
      <c r="A40" t="s">
        <v>941</v>
      </c>
      <c r="B40">
        <v>8</v>
      </c>
      <c r="C40">
        <v>18137478</v>
      </c>
      <c r="D40">
        <v>367529</v>
      </c>
      <c r="E40">
        <v>150</v>
      </c>
      <c r="F40">
        <v>0</v>
      </c>
      <c r="G40">
        <v>499949175</v>
      </c>
      <c r="H40">
        <v>7268013</v>
      </c>
      <c r="I40">
        <v>41499</v>
      </c>
      <c r="J40">
        <v>2702688</v>
      </c>
      <c r="K40">
        <v>41483</v>
      </c>
      <c r="L40" t="s">
        <v>936</v>
      </c>
      <c r="M40" t="s">
        <v>942</v>
      </c>
    </row>
    <row r="41" spans="1:13" x14ac:dyDescent="0.3">
      <c r="A41" t="s">
        <v>814</v>
      </c>
      <c r="B41">
        <v>84</v>
      </c>
      <c r="C41">
        <v>18122837</v>
      </c>
      <c r="D41">
        <v>300339</v>
      </c>
      <c r="E41">
        <v>350</v>
      </c>
      <c r="F41">
        <v>0</v>
      </c>
      <c r="G41">
        <v>332962256</v>
      </c>
      <c r="H41">
        <v>3992535</v>
      </c>
      <c r="I41">
        <v>37852</v>
      </c>
      <c r="J41">
        <v>6353831</v>
      </c>
      <c r="K41">
        <v>42100</v>
      </c>
      <c r="L41" t="s">
        <v>936</v>
      </c>
      <c r="M41" t="s">
        <v>940</v>
      </c>
    </row>
    <row r="42" spans="1:13" x14ac:dyDescent="0.3">
      <c r="A42" t="s">
        <v>759</v>
      </c>
      <c r="B42">
        <v>26</v>
      </c>
      <c r="C42">
        <v>18072117</v>
      </c>
      <c r="D42">
        <v>356356</v>
      </c>
      <c r="E42">
        <v>1350</v>
      </c>
      <c r="F42">
        <v>0</v>
      </c>
      <c r="G42">
        <v>419830595</v>
      </c>
      <c r="H42">
        <v>5530372</v>
      </c>
      <c r="I42">
        <v>69239</v>
      </c>
      <c r="J42">
        <v>3467961</v>
      </c>
      <c r="K42">
        <v>46766</v>
      </c>
      <c r="L42" t="s">
        <v>987</v>
      </c>
      <c r="M42" t="s">
        <v>946</v>
      </c>
    </row>
    <row r="43" spans="1:13" x14ac:dyDescent="0.3">
      <c r="A43" t="s">
        <v>755</v>
      </c>
      <c r="B43">
        <v>18</v>
      </c>
      <c r="C43">
        <v>17978034</v>
      </c>
      <c r="D43">
        <v>360686</v>
      </c>
      <c r="E43">
        <v>6502</v>
      </c>
      <c r="F43">
        <v>0</v>
      </c>
      <c r="G43">
        <v>445310336</v>
      </c>
      <c r="H43">
        <v>6061466</v>
      </c>
      <c r="I43">
        <v>131024</v>
      </c>
      <c r="J43">
        <v>6912971</v>
      </c>
      <c r="K43">
        <v>40470</v>
      </c>
      <c r="L43" t="s">
        <v>936</v>
      </c>
      <c r="M43" t="s">
        <v>940</v>
      </c>
    </row>
    <row r="44" spans="1:13" x14ac:dyDescent="0.3">
      <c r="A44" t="s">
        <v>947</v>
      </c>
      <c r="B44">
        <v>55</v>
      </c>
      <c r="C44">
        <v>17968574</v>
      </c>
      <c r="D44">
        <v>363576</v>
      </c>
      <c r="E44">
        <v>303</v>
      </c>
      <c r="F44">
        <v>0</v>
      </c>
      <c r="G44">
        <v>378194516</v>
      </c>
      <c r="H44">
        <v>4970092</v>
      </c>
      <c r="I44">
        <v>45494</v>
      </c>
      <c r="J44">
        <v>9110940</v>
      </c>
      <c r="K44">
        <v>42370</v>
      </c>
      <c r="L44" t="s">
        <v>936</v>
      </c>
      <c r="M44" t="s">
        <v>939</v>
      </c>
    </row>
    <row r="45" spans="1:13" x14ac:dyDescent="0.3">
      <c r="A45" t="s">
        <v>808</v>
      </c>
      <c r="B45">
        <v>79</v>
      </c>
      <c r="C45">
        <v>17704898</v>
      </c>
      <c r="D45">
        <v>254729</v>
      </c>
      <c r="E45">
        <v>540</v>
      </c>
      <c r="F45">
        <v>0</v>
      </c>
      <c r="G45">
        <v>363569191</v>
      </c>
      <c r="H45">
        <v>4490044</v>
      </c>
      <c r="I45">
        <v>31829</v>
      </c>
      <c r="J45">
        <v>3174407</v>
      </c>
      <c r="K45">
        <v>34030</v>
      </c>
      <c r="L45" t="s">
        <v>936</v>
      </c>
      <c r="M45" t="s">
        <v>946</v>
      </c>
    </row>
    <row r="46" spans="1:13" x14ac:dyDescent="0.3">
      <c r="A46" t="s">
        <v>784</v>
      </c>
      <c r="B46">
        <v>42</v>
      </c>
      <c r="C46">
        <v>17686444</v>
      </c>
      <c r="D46">
        <v>353203</v>
      </c>
      <c r="E46">
        <v>0</v>
      </c>
      <c r="F46">
        <v>0</v>
      </c>
      <c r="G46">
        <v>396203261</v>
      </c>
      <c r="H46">
        <v>5047419</v>
      </c>
      <c r="I46">
        <v>69120</v>
      </c>
      <c r="J46">
        <v>5913914</v>
      </c>
      <c r="K46">
        <v>43190</v>
      </c>
      <c r="L46" t="s">
        <v>936</v>
      </c>
      <c r="M46" t="s">
        <v>942</v>
      </c>
    </row>
    <row r="47" spans="1:13" x14ac:dyDescent="0.3">
      <c r="A47" t="s">
        <v>783</v>
      </c>
      <c r="B47">
        <v>40</v>
      </c>
      <c r="C47">
        <v>17046299</v>
      </c>
      <c r="D47">
        <v>320299</v>
      </c>
      <c r="E47">
        <v>3710</v>
      </c>
      <c r="F47">
        <v>0</v>
      </c>
      <c r="G47">
        <v>382335133</v>
      </c>
      <c r="H47">
        <v>5016261</v>
      </c>
      <c r="I47">
        <v>61301</v>
      </c>
      <c r="J47">
        <v>2823608</v>
      </c>
      <c r="K47">
        <v>42030</v>
      </c>
      <c r="L47" t="s">
        <v>936</v>
      </c>
      <c r="M47" t="s">
        <v>945</v>
      </c>
    </row>
    <row r="48" spans="1:13" x14ac:dyDescent="0.3">
      <c r="A48" t="s">
        <v>874</v>
      </c>
      <c r="B48">
        <v>167</v>
      </c>
      <c r="C48">
        <v>17016398</v>
      </c>
      <c r="D48">
        <v>155857</v>
      </c>
      <c r="E48">
        <v>10489</v>
      </c>
      <c r="F48">
        <v>0</v>
      </c>
      <c r="G48">
        <v>230626680</v>
      </c>
      <c r="H48">
        <v>1681817</v>
      </c>
      <c r="I48">
        <v>19852</v>
      </c>
      <c r="J48">
        <v>8549159</v>
      </c>
      <c r="K48">
        <v>39445</v>
      </c>
      <c r="L48" t="s">
        <v>936</v>
      </c>
      <c r="M48" t="s">
        <v>937</v>
      </c>
    </row>
    <row r="49" spans="1:13" x14ac:dyDescent="0.3">
      <c r="A49" t="s">
        <v>757</v>
      </c>
      <c r="B49">
        <v>22</v>
      </c>
      <c r="C49">
        <v>16878223</v>
      </c>
      <c r="D49">
        <v>371479</v>
      </c>
      <c r="E49">
        <v>0</v>
      </c>
      <c r="F49">
        <v>0</v>
      </c>
      <c r="G49">
        <v>396735177</v>
      </c>
      <c r="H49">
        <v>5787601</v>
      </c>
      <c r="I49">
        <v>37588</v>
      </c>
      <c r="J49">
        <v>2782290</v>
      </c>
      <c r="K49">
        <v>37803</v>
      </c>
      <c r="L49" t="s">
        <v>936</v>
      </c>
      <c r="M49" t="s">
        <v>942</v>
      </c>
    </row>
    <row r="50" spans="1:13" x14ac:dyDescent="0.3">
      <c r="A50" t="s">
        <v>788</v>
      </c>
      <c r="B50">
        <v>63</v>
      </c>
      <c r="C50">
        <v>16849725</v>
      </c>
      <c r="D50">
        <v>324432</v>
      </c>
      <c r="E50">
        <v>0</v>
      </c>
      <c r="F50">
        <v>0</v>
      </c>
      <c r="G50">
        <v>350739932</v>
      </c>
      <c r="H50">
        <v>4241395</v>
      </c>
      <c r="I50">
        <v>48763</v>
      </c>
      <c r="J50">
        <v>3359356</v>
      </c>
      <c r="K50">
        <v>47020</v>
      </c>
      <c r="L50" t="s">
        <v>936</v>
      </c>
      <c r="M50" t="s">
        <v>944</v>
      </c>
    </row>
    <row r="51" spans="1:13" x14ac:dyDescent="0.3">
      <c r="A51" t="s">
        <v>805</v>
      </c>
      <c r="B51">
        <v>72</v>
      </c>
      <c r="C51">
        <v>16726722</v>
      </c>
      <c r="D51">
        <v>343879</v>
      </c>
      <c r="E51">
        <v>2367</v>
      </c>
      <c r="F51">
        <v>0</v>
      </c>
      <c r="G51">
        <v>371441062</v>
      </c>
      <c r="H51">
        <v>4717418</v>
      </c>
      <c r="I51">
        <v>32645</v>
      </c>
      <c r="J51">
        <v>3701831</v>
      </c>
      <c r="K51">
        <v>41010</v>
      </c>
      <c r="L51" t="s">
        <v>936</v>
      </c>
      <c r="M51" t="s">
        <v>940</v>
      </c>
    </row>
    <row r="52" spans="1:13" x14ac:dyDescent="0.3">
      <c r="A52" t="s">
        <v>769</v>
      </c>
      <c r="B52">
        <v>34</v>
      </c>
      <c r="C52">
        <v>16671032</v>
      </c>
      <c r="D52">
        <v>371039</v>
      </c>
      <c r="E52">
        <v>802</v>
      </c>
      <c r="F52">
        <v>0</v>
      </c>
      <c r="G52">
        <v>357240576</v>
      </c>
      <c r="H52">
        <v>5304687</v>
      </c>
      <c r="I52">
        <v>46527</v>
      </c>
      <c r="J52">
        <v>3310084</v>
      </c>
      <c r="K52">
        <v>41630</v>
      </c>
      <c r="L52" t="s">
        <v>936</v>
      </c>
      <c r="M52" t="s">
        <v>939</v>
      </c>
    </row>
    <row r="53" spans="1:13" x14ac:dyDescent="0.3">
      <c r="A53" t="s">
        <v>780</v>
      </c>
      <c r="B53">
        <v>45</v>
      </c>
      <c r="C53">
        <v>16578428</v>
      </c>
      <c r="D53">
        <v>310833</v>
      </c>
      <c r="E53">
        <v>0</v>
      </c>
      <c r="F53">
        <v>0</v>
      </c>
      <c r="G53">
        <v>414398000</v>
      </c>
      <c r="H53">
        <v>4928955</v>
      </c>
      <c r="I53">
        <v>50577</v>
      </c>
      <c r="J53">
        <v>3385461</v>
      </c>
      <c r="K53">
        <v>39920</v>
      </c>
      <c r="L53" t="s">
        <v>936</v>
      </c>
      <c r="M53" t="s">
        <v>942</v>
      </c>
    </row>
    <row r="54" spans="1:13" x14ac:dyDescent="0.3">
      <c r="A54" t="s">
        <v>803</v>
      </c>
      <c r="B54">
        <v>70</v>
      </c>
      <c r="C54">
        <v>16369175</v>
      </c>
      <c r="D54">
        <v>336667</v>
      </c>
      <c r="E54">
        <v>0</v>
      </c>
      <c r="F54">
        <v>0</v>
      </c>
      <c r="G54">
        <v>330158898</v>
      </c>
      <c r="H54">
        <v>4582081</v>
      </c>
      <c r="I54">
        <v>47397</v>
      </c>
      <c r="J54">
        <v>52282692</v>
      </c>
      <c r="K54">
        <v>42030</v>
      </c>
      <c r="L54" t="s">
        <v>936</v>
      </c>
      <c r="M54" t="s">
        <v>939</v>
      </c>
    </row>
    <row r="55" spans="1:13" x14ac:dyDescent="0.3">
      <c r="A55" t="s">
        <v>836</v>
      </c>
      <c r="B55">
        <v>123</v>
      </c>
      <c r="C55">
        <v>16213245</v>
      </c>
      <c r="D55">
        <v>200600</v>
      </c>
      <c r="E55">
        <v>0</v>
      </c>
      <c r="F55">
        <v>0</v>
      </c>
      <c r="G55">
        <v>315997013</v>
      </c>
      <c r="H55">
        <v>3026840</v>
      </c>
      <c r="I55">
        <v>22159</v>
      </c>
      <c r="J55">
        <v>3937082</v>
      </c>
      <c r="K55">
        <v>39220</v>
      </c>
      <c r="L55" t="s">
        <v>936</v>
      </c>
      <c r="M55" t="s">
        <v>940</v>
      </c>
    </row>
    <row r="56" spans="1:13" x14ac:dyDescent="0.3">
      <c r="A56" t="s">
        <v>599</v>
      </c>
      <c r="B56">
        <v>17</v>
      </c>
      <c r="C56">
        <v>16200719</v>
      </c>
      <c r="D56">
        <v>346368</v>
      </c>
      <c r="E56">
        <v>0</v>
      </c>
      <c r="F56">
        <v>0</v>
      </c>
      <c r="G56">
        <v>442671465</v>
      </c>
      <c r="H56">
        <v>6158549</v>
      </c>
      <c r="I56">
        <v>43491</v>
      </c>
      <c r="J56">
        <v>2707023</v>
      </c>
      <c r="K56">
        <v>42370</v>
      </c>
      <c r="L56" t="s">
        <v>936</v>
      </c>
      <c r="M56" t="s">
        <v>945</v>
      </c>
    </row>
    <row r="57" spans="1:13" x14ac:dyDescent="0.3">
      <c r="A57" t="s">
        <v>793</v>
      </c>
      <c r="B57">
        <v>56</v>
      </c>
      <c r="C57">
        <v>15946961</v>
      </c>
      <c r="D57">
        <v>340305</v>
      </c>
      <c r="E57">
        <v>0</v>
      </c>
      <c r="F57">
        <v>0</v>
      </c>
      <c r="G57">
        <v>366549641</v>
      </c>
      <c r="H57">
        <v>4778461</v>
      </c>
      <c r="I57">
        <v>44332</v>
      </c>
      <c r="J57">
        <v>3522751</v>
      </c>
      <c r="K57">
        <v>39940</v>
      </c>
      <c r="L57" t="s">
        <v>936</v>
      </c>
      <c r="M57" t="s">
        <v>937</v>
      </c>
    </row>
    <row r="58" spans="1:13" x14ac:dyDescent="0.3">
      <c r="A58" t="s">
        <v>794</v>
      </c>
      <c r="B58">
        <v>68</v>
      </c>
      <c r="C58">
        <v>15929196</v>
      </c>
      <c r="D58">
        <v>239435</v>
      </c>
      <c r="E58">
        <v>0</v>
      </c>
      <c r="F58">
        <v>0</v>
      </c>
      <c r="G58">
        <v>342212312</v>
      </c>
      <c r="H58">
        <v>4108075</v>
      </c>
      <c r="I58">
        <v>29325</v>
      </c>
      <c r="J58">
        <v>6477417</v>
      </c>
      <c r="K58">
        <v>43130</v>
      </c>
      <c r="L58" t="s">
        <v>936</v>
      </c>
      <c r="M58" t="s">
        <v>942</v>
      </c>
    </row>
    <row r="59" spans="1:13" x14ac:dyDescent="0.3">
      <c r="A59" t="s">
        <v>749</v>
      </c>
      <c r="B59">
        <v>15</v>
      </c>
      <c r="C59">
        <v>15921806</v>
      </c>
      <c r="D59">
        <v>312095</v>
      </c>
      <c r="E59">
        <v>350</v>
      </c>
      <c r="F59">
        <v>0</v>
      </c>
      <c r="G59">
        <v>445364045</v>
      </c>
      <c r="H59">
        <v>6081980</v>
      </c>
      <c r="I59">
        <v>44718</v>
      </c>
      <c r="J59">
        <v>3448225</v>
      </c>
      <c r="K59">
        <v>46050</v>
      </c>
      <c r="L59" t="s">
        <v>936</v>
      </c>
      <c r="M59" t="s">
        <v>940</v>
      </c>
    </row>
    <row r="60" spans="1:13" x14ac:dyDescent="0.3">
      <c r="A60" t="s">
        <v>772</v>
      </c>
      <c r="B60">
        <v>33</v>
      </c>
      <c r="C60">
        <v>15853743</v>
      </c>
      <c r="D60">
        <v>340289</v>
      </c>
      <c r="E60">
        <v>472</v>
      </c>
      <c r="F60">
        <v>0</v>
      </c>
      <c r="G60">
        <v>387430045</v>
      </c>
      <c r="H60">
        <v>5129310</v>
      </c>
      <c r="I60">
        <v>62875</v>
      </c>
      <c r="J60">
        <v>2504414</v>
      </c>
      <c r="K60">
        <v>39103</v>
      </c>
      <c r="L60" t="s">
        <v>936</v>
      </c>
      <c r="M60" t="s">
        <v>946</v>
      </c>
    </row>
    <row r="61" spans="1:13" x14ac:dyDescent="0.3">
      <c r="A61" t="s">
        <v>797</v>
      </c>
      <c r="B61">
        <v>60</v>
      </c>
      <c r="C61">
        <v>15785160</v>
      </c>
      <c r="D61">
        <v>366592</v>
      </c>
      <c r="E61">
        <v>9652</v>
      </c>
      <c r="F61">
        <v>0</v>
      </c>
      <c r="G61">
        <v>354239795</v>
      </c>
      <c r="H61">
        <v>5411647</v>
      </c>
      <c r="I61">
        <v>167669</v>
      </c>
      <c r="J61">
        <v>5856448</v>
      </c>
      <c r="K61">
        <v>39310</v>
      </c>
      <c r="L61" t="s">
        <v>936</v>
      </c>
      <c r="M61" t="s">
        <v>939</v>
      </c>
    </row>
    <row r="62" spans="1:13" x14ac:dyDescent="0.3">
      <c r="A62" t="s">
        <v>758</v>
      </c>
      <c r="B62">
        <v>21</v>
      </c>
      <c r="C62">
        <v>15735201</v>
      </c>
      <c r="D62">
        <v>320331</v>
      </c>
      <c r="E62">
        <v>246</v>
      </c>
      <c r="F62">
        <v>0</v>
      </c>
      <c r="G62">
        <v>418524889</v>
      </c>
      <c r="H62">
        <v>5907875</v>
      </c>
      <c r="I62">
        <v>47340</v>
      </c>
      <c r="J62">
        <v>2705074</v>
      </c>
      <c r="K62">
        <v>40543</v>
      </c>
      <c r="L62" t="s">
        <v>936</v>
      </c>
      <c r="M62" t="s">
        <v>939</v>
      </c>
    </row>
    <row r="63" spans="1:13" x14ac:dyDescent="0.3">
      <c r="A63" t="s">
        <v>948</v>
      </c>
      <c r="B63">
        <v>82</v>
      </c>
      <c r="C63">
        <v>15587408</v>
      </c>
      <c r="D63">
        <v>322521</v>
      </c>
      <c r="E63">
        <v>762</v>
      </c>
      <c r="F63">
        <v>0</v>
      </c>
      <c r="G63">
        <v>348820030</v>
      </c>
      <c r="H63">
        <v>4399125</v>
      </c>
      <c r="I63">
        <v>60626</v>
      </c>
      <c r="J63">
        <v>3007799</v>
      </c>
      <c r="K63">
        <v>40276</v>
      </c>
      <c r="L63" t="s">
        <v>936</v>
      </c>
      <c r="M63" t="s">
        <v>942</v>
      </c>
    </row>
    <row r="64" spans="1:13" x14ac:dyDescent="0.3">
      <c r="A64" t="s">
        <v>770</v>
      </c>
      <c r="B64">
        <v>32</v>
      </c>
      <c r="C64">
        <v>15565494</v>
      </c>
      <c r="D64">
        <v>312459</v>
      </c>
      <c r="E64">
        <v>8220</v>
      </c>
      <c r="F64">
        <v>0</v>
      </c>
      <c r="G64">
        <v>412450750</v>
      </c>
      <c r="H64">
        <v>5087485</v>
      </c>
      <c r="I64">
        <v>76224</v>
      </c>
      <c r="J64">
        <v>2702575</v>
      </c>
      <c r="K64">
        <v>39510</v>
      </c>
      <c r="L64" t="s">
        <v>936</v>
      </c>
      <c r="M64" t="s">
        <v>940</v>
      </c>
    </row>
    <row r="65" spans="1:13" x14ac:dyDescent="0.3">
      <c r="A65" t="s">
        <v>949</v>
      </c>
      <c r="B65">
        <v>30</v>
      </c>
      <c r="C65">
        <v>15344000</v>
      </c>
      <c r="D65">
        <v>327946</v>
      </c>
      <c r="E65">
        <v>0</v>
      </c>
      <c r="F65">
        <v>0</v>
      </c>
      <c r="G65">
        <v>366514700</v>
      </c>
      <c r="H65">
        <v>5427499</v>
      </c>
      <c r="I65">
        <v>61840</v>
      </c>
      <c r="J65">
        <v>3815296</v>
      </c>
      <c r="K65">
        <v>39300</v>
      </c>
      <c r="L65" t="s">
        <v>936</v>
      </c>
      <c r="M65" t="s">
        <v>945</v>
      </c>
    </row>
    <row r="66" spans="1:13" x14ac:dyDescent="0.3">
      <c r="A66" t="s">
        <v>785</v>
      </c>
      <c r="B66">
        <v>49</v>
      </c>
      <c r="C66">
        <v>15319436</v>
      </c>
      <c r="D66">
        <v>337993</v>
      </c>
      <c r="E66">
        <v>8838</v>
      </c>
      <c r="F66">
        <v>0</v>
      </c>
      <c r="G66">
        <v>329952255</v>
      </c>
      <c r="H66">
        <v>5454854</v>
      </c>
      <c r="I66">
        <v>146670</v>
      </c>
      <c r="J66">
        <v>3404300</v>
      </c>
      <c r="K66">
        <v>38656</v>
      </c>
      <c r="L66" t="s">
        <v>936</v>
      </c>
      <c r="M66" t="s">
        <v>946</v>
      </c>
    </row>
    <row r="67" spans="1:13" x14ac:dyDescent="0.3">
      <c r="A67" t="s">
        <v>765</v>
      </c>
      <c r="B67">
        <v>29</v>
      </c>
      <c r="C67">
        <v>15201542</v>
      </c>
      <c r="D67">
        <v>328470</v>
      </c>
      <c r="E67">
        <v>2700</v>
      </c>
      <c r="F67">
        <v>384740</v>
      </c>
      <c r="G67">
        <v>414418686</v>
      </c>
      <c r="H67">
        <v>5471693</v>
      </c>
      <c r="I67">
        <v>80924</v>
      </c>
      <c r="J67">
        <v>3848650</v>
      </c>
      <c r="K67">
        <v>42520</v>
      </c>
      <c r="L67" t="s">
        <v>936</v>
      </c>
      <c r="M67" t="s">
        <v>946</v>
      </c>
    </row>
    <row r="68" spans="1:13" x14ac:dyDescent="0.3">
      <c r="A68" t="s">
        <v>952</v>
      </c>
      <c r="B68">
        <v>71</v>
      </c>
      <c r="C68">
        <v>15128967</v>
      </c>
      <c r="D68">
        <v>340954</v>
      </c>
      <c r="E68">
        <v>1203</v>
      </c>
      <c r="F68">
        <v>0</v>
      </c>
      <c r="G68">
        <v>397400716</v>
      </c>
      <c r="H68">
        <v>4837887</v>
      </c>
      <c r="I68">
        <v>56438</v>
      </c>
      <c r="J68">
        <v>3312487</v>
      </c>
      <c r="K68">
        <v>36950</v>
      </c>
      <c r="L68" t="s">
        <v>936</v>
      </c>
      <c r="M68" t="s">
        <v>942</v>
      </c>
    </row>
    <row r="69" spans="1:13" x14ac:dyDescent="0.3">
      <c r="A69" t="s">
        <v>762</v>
      </c>
      <c r="B69">
        <v>27</v>
      </c>
      <c r="C69">
        <v>14842241</v>
      </c>
      <c r="D69">
        <v>298790</v>
      </c>
      <c r="E69">
        <v>0</v>
      </c>
      <c r="F69">
        <v>0</v>
      </c>
      <c r="G69">
        <v>439557901</v>
      </c>
      <c r="H69">
        <v>5269015</v>
      </c>
      <c r="I69">
        <v>73347</v>
      </c>
      <c r="J69">
        <v>4079718</v>
      </c>
      <c r="K69">
        <v>43566</v>
      </c>
      <c r="L69" t="s">
        <v>936</v>
      </c>
      <c r="M69" t="s">
        <v>937</v>
      </c>
    </row>
    <row r="70" spans="1:13" x14ac:dyDescent="0.3">
      <c r="A70" t="s">
        <v>768</v>
      </c>
      <c r="B70">
        <v>39</v>
      </c>
      <c r="C70">
        <v>14796018</v>
      </c>
      <c r="D70">
        <v>299473</v>
      </c>
      <c r="E70">
        <v>0</v>
      </c>
      <c r="F70">
        <v>0</v>
      </c>
      <c r="G70">
        <v>355320162</v>
      </c>
      <c r="H70">
        <v>4659445</v>
      </c>
      <c r="I70">
        <v>49944</v>
      </c>
      <c r="J70">
        <v>2817074</v>
      </c>
      <c r="K70">
        <v>39920</v>
      </c>
      <c r="L70" t="s">
        <v>936</v>
      </c>
      <c r="M70" t="s">
        <v>937</v>
      </c>
    </row>
    <row r="71" spans="1:13" x14ac:dyDescent="0.3">
      <c r="A71" t="s">
        <v>802</v>
      </c>
      <c r="B71">
        <v>80</v>
      </c>
      <c r="C71">
        <v>14788842</v>
      </c>
      <c r="D71">
        <v>316190</v>
      </c>
      <c r="E71">
        <v>1672</v>
      </c>
      <c r="F71">
        <v>0</v>
      </c>
      <c r="G71">
        <v>370725658</v>
      </c>
      <c r="H71">
        <v>4450735</v>
      </c>
      <c r="I71">
        <v>46536</v>
      </c>
      <c r="J71">
        <v>2912558</v>
      </c>
      <c r="K71">
        <v>39880</v>
      </c>
      <c r="L71" t="s">
        <v>936</v>
      </c>
      <c r="M71" t="s">
        <v>937</v>
      </c>
    </row>
    <row r="72" spans="1:13" x14ac:dyDescent="0.3">
      <c r="A72" t="s">
        <v>778</v>
      </c>
      <c r="B72">
        <v>50</v>
      </c>
      <c r="C72">
        <v>14782278</v>
      </c>
      <c r="D72">
        <v>304512</v>
      </c>
      <c r="E72">
        <v>1350</v>
      </c>
      <c r="F72">
        <v>0</v>
      </c>
      <c r="G72">
        <v>429835044</v>
      </c>
      <c r="H72">
        <v>4651351</v>
      </c>
      <c r="I72">
        <v>48308</v>
      </c>
      <c r="J72">
        <v>2712776</v>
      </c>
      <c r="K72">
        <v>39030</v>
      </c>
      <c r="L72" t="s">
        <v>936</v>
      </c>
      <c r="M72" t="s">
        <v>937</v>
      </c>
    </row>
    <row r="73" spans="1:13" x14ac:dyDescent="0.3">
      <c r="A73" t="s">
        <v>600</v>
      </c>
      <c r="B73">
        <v>76</v>
      </c>
      <c r="C73">
        <v>14760552</v>
      </c>
      <c r="D73">
        <v>316972</v>
      </c>
      <c r="E73">
        <v>0</v>
      </c>
      <c r="F73">
        <v>0</v>
      </c>
      <c r="G73">
        <v>328210869</v>
      </c>
      <c r="H73">
        <v>4459432</v>
      </c>
      <c r="I73">
        <v>30179</v>
      </c>
      <c r="J73">
        <v>6107671</v>
      </c>
      <c r="K73">
        <v>40690</v>
      </c>
      <c r="L73" t="s">
        <v>936</v>
      </c>
      <c r="M73" t="s">
        <v>945</v>
      </c>
    </row>
    <row r="74" spans="1:13" x14ac:dyDescent="0.3">
      <c r="A74" t="s">
        <v>800</v>
      </c>
      <c r="B74">
        <v>65</v>
      </c>
      <c r="C74">
        <v>14573166</v>
      </c>
      <c r="D74">
        <v>259324</v>
      </c>
      <c r="E74">
        <v>303</v>
      </c>
      <c r="F74">
        <v>0</v>
      </c>
      <c r="G74">
        <v>347656159</v>
      </c>
      <c r="H74">
        <v>4632171</v>
      </c>
      <c r="I74">
        <v>128138</v>
      </c>
      <c r="J74">
        <v>6872085</v>
      </c>
      <c r="K74">
        <v>39660</v>
      </c>
      <c r="L74" t="s">
        <v>936</v>
      </c>
      <c r="M74" t="s">
        <v>945</v>
      </c>
    </row>
    <row r="75" spans="1:13" x14ac:dyDescent="0.3">
      <c r="A75" t="s">
        <v>955</v>
      </c>
      <c r="B75">
        <v>46</v>
      </c>
      <c r="C75">
        <v>14543487</v>
      </c>
      <c r="D75">
        <v>317343</v>
      </c>
      <c r="E75">
        <v>300</v>
      </c>
      <c r="F75">
        <v>0</v>
      </c>
      <c r="G75">
        <v>395301764</v>
      </c>
      <c r="H75">
        <v>4985190</v>
      </c>
      <c r="I75">
        <v>58262</v>
      </c>
      <c r="J75">
        <v>2743373</v>
      </c>
      <c r="K75">
        <v>42300</v>
      </c>
      <c r="L75" t="s">
        <v>936</v>
      </c>
      <c r="M75" t="s">
        <v>939</v>
      </c>
    </row>
    <row r="76" spans="1:13" x14ac:dyDescent="0.3">
      <c r="A76" t="s">
        <v>781</v>
      </c>
      <c r="B76">
        <v>44</v>
      </c>
      <c r="C76">
        <v>14513988</v>
      </c>
      <c r="D76">
        <v>292352</v>
      </c>
      <c r="E76">
        <v>0</v>
      </c>
      <c r="F76">
        <v>0</v>
      </c>
      <c r="G76">
        <v>357985013</v>
      </c>
      <c r="H76">
        <v>4674758</v>
      </c>
      <c r="I76">
        <v>44811</v>
      </c>
      <c r="J76">
        <v>2870594</v>
      </c>
      <c r="K76">
        <v>41040</v>
      </c>
      <c r="L76" t="s">
        <v>936</v>
      </c>
      <c r="M76" t="s">
        <v>944</v>
      </c>
    </row>
    <row r="77" spans="1:13" x14ac:dyDescent="0.3">
      <c r="A77" t="s">
        <v>953</v>
      </c>
      <c r="B77">
        <v>85</v>
      </c>
      <c r="C77">
        <v>14461303</v>
      </c>
      <c r="D77">
        <v>290450</v>
      </c>
      <c r="E77">
        <v>101</v>
      </c>
      <c r="F77">
        <v>0</v>
      </c>
      <c r="G77">
        <v>360907177</v>
      </c>
      <c r="H77">
        <v>4300660</v>
      </c>
      <c r="I77">
        <v>32342</v>
      </c>
      <c r="J77">
        <v>3306963</v>
      </c>
      <c r="K77">
        <v>40636</v>
      </c>
      <c r="L77" t="s">
        <v>936</v>
      </c>
      <c r="M77" t="s">
        <v>942</v>
      </c>
    </row>
    <row r="78" spans="1:13" x14ac:dyDescent="0.3">
      <c r="A78" t="s">
        <v>602</v>
      </c>
      <c r="B78">
        <v>96</v>
      </c>
      <c r="C78">
        <v>14325043</v>
      </c>
      <c r="D78">
        <v>281010</v>
      </c>
      <c r="E78">
        <v>1523</v>
      </c>
      <c r="F78">
        <v>0</v>
      </c>
      <c r="G78">
        <v>305735765</v>
      </c>
      <c r="H78">
        <v>3752559</v>
      </c>
      <c r="I78">
        <v>64985</v>
      </c>
      <c r="J78">
        <v>6527035</v>
      </c>
      <c r="K78">
        <v>36390</v>
      </c>
      <c r="L78" t="s">
        <v>936</v>
      </c>
      <c r="M78" t="s">
        <v>945</v>
      </c>
    </row>
    <row r="79" spans="1:13" x14ac:dyDescent="0.3">
      <c r="A79" t="s">
        <v>774</v>
      </c>
      <c r="B79">
        <v>35</v>
      </c>
      <c r="C79">
        <v>14006935</v>
      </c>
      <c r="D79">
        <v>274323</v>
      </c>
      <c r="E79">
        <v>0</v>
      </c>
      <c r="F79">
        <v>0</v>
      </c>
      <c r="G79">
        <v>384947742</v>
      </c>
      <c r="H79">
        <v>5006135</v>
      </c>
      <c r="I79">
        <v>32608</v>
      </c>
      <c r="J79">
        <v>4422108</v>
      </c>
      <c r="K79">
        <v>38063</v>
      </c>
      <c r="L79" t="s">
        <v>936</v>
      </c>
      <c r="M79" t="s">
        <v>946</v>
      </c>
    </row>
    <row r="80" spans="1:13" x14ac:dyDescent="0.3">
      <c r="A80" t="s">
        <v>796</v>
      </c>
      <c r="B80">
        <v>66</v>
      </c>
      <c r="C80">
        <v>14000988</v>
      </c>
      <c r="D80">
        <v>277658</v>
      </c>
      <c r="E80">
        <v>8550</v>
      </c>
      <c r="F80">
        <v>0</v>
      </c>
      <c r="G80">
        <v>353842590</v>
      </c>
      <c r="H80">
        <v>4279396</v>
      </c>
      <c r="I80">
        <v>91432</v>
      </c>
      <c r="J80">
        <v>3048789</v>
      </c>
      <c r="K80">
        <v>33476</v>
      </c>
      <c r="L80" t="s">
        <v>936</v>
      </c>
      <c r="M80" t="s">
        <v>946</v>
      </c>
    </row>
    <row r="81" spans="1:13" x14ac:dyDescent="0.3">
      <c r="A81" t="s">
        <v>958</v>
      </c>
      <c r="B81">
        <v>107</v>
      </c>
      <c r="C81">
        <v>13997745</v>
      </c>
      <c r="D81">
        <v>281395</v>
      </c>
      <c r="E81">
        <v>0</v>
      </c>
      <c r="F81">
        <v>0</v>
      </c>
      <c r="G81">
        <v>252978939</v>
      </c>
      <c r="H81">
        <v>3374962</v>
      </c>
      <c r="I81">
        <v>15948</v>
      </c>
      <c r="J81">
        <v>4317550</v>
      </c>
      <c r="K81">
        <v>41600</v>
      </c>
      <c r="L81" t="s">
        <v>936</v>
      </c>
      <c r="M81" t="s">
        <v>945</v>
      </c>
    </row>
    <row r="82" spans="1:13" x14ac:dyDescent="0.3">
      <c r="A82" t="s">
        <v>775</v>
      </c>
      <c r="B82">
        <v>48</v>
      </c>
      <c r="C82">
        <v>13785206</v>
      </c>
      <c r="D82">
        <v>283272</v>
      </c>
      <c r="E82">
        <v>0</v>
      </c>
      <c r="F82">
        <v>0</v>
      </c>
      <c r="G82">
        <v>320919611</v>
      </c>
      <c r="H82">
        <v>4800718</v>
      </c>
      <c r="I82">
        <v>49560</v>
      </c>
      <c r="J82">
        <v>3406692</v>
      </c>
      <c r="K82">
        <v>38820</v>
      </c>
      <c r="L82" t="s">
        <v>936</v>
      </c>
      <c r="M82" t="s">
        <v>939</v>
      </c>
    </row>
    <row r="83" spans="1:13" x14ac:dyDescent="0.3">
      <c r="A83" t="s">
        <v>601</v>
      </c>
      <c r="B83">
        <v>87</v>
      </c>
      <c r="C83">
        <v>13784313</v>
      </c>
      <c r="D83">
        <v>285964</v>
      </c>
      <c r="E83">
        <v>0</v>
      </c>
      <c r="F83">
        <v>0</v>
      </c>
      <c r="G83">
        <v>292240053</v>
      </c>
      <c r="H83">
        <v>4318887</v>
      </c>
      <c r="I83">
        <v>47174</v>
      </c>
      <c r="J83">
        <v>4578043</v>
      </c>
      <c r="K83">
        <v>37850</v>
      </c>
      <c r="L83" t="s">
        <v>936</v>
      </c>
      <c r="M83" t="s">
        <v>945</v>
      </c>
    </row>
    <row r="84" spans="1:13" x14ac:dyDescent="0.3">
      <c r="A84" t="s">
        <v>763</v>
      </c>
      <c r="B84">
        <v>28</v>
      </c>
      <c r="C84">
        <v>13579349</v>
      </c>
      <c r="D84">
        <v>267736</v>
      </c>
      <c r="E84">
        <v>0</v>
      </c>
      <c r="F84">
        <v>0</v>
      </c>
      <c r="G84">
        <v>339472581</v>
      </c>
      <c r="H84">
        <v>5063072</v>
      </c>
      <c r="I84">
        <v>43894</v>
      </c>
      <c r="J84">
        <v>2990195</v>
      </c>
      <c r="K84">
        <v>36033</v>
      </c>
      <c r="L84" t="s">
        <v>936</v>
      </c>
      <c r="M84" t="s">
        <v>940</v>
      </c>
    </row>
    <row r="85" spans="1:13" x14ac:dyDescent="0.3">
      <c r="A85" t="s">
        <v>813</v>
      </c>
      <c r="B85">
        <v>89</v>
      </c>
      <c r="C85">
        <v>13564921</v>
      </c>
      <c r="D85">
        <v>287686</v>
      </c>
      <c r="E85">
        <v>0</v>
      </c>
      <c r="F85">
        <v>0</v>
      </c>
      <c r="G85">
        <v>300915123</v>
      </c>
      <c r="H85">
        <v>4162960</v>
      </c>
      <c r="I85">
        <v>34907</v>
      </c>
      <c r="J85">
        <v>3365819</v>
      </c>
      <c r="K85">
        <v>34530</v>
      </c>
      <c r="L85" t="s">
        <v>936</v>
      </c>
      <c r="M85" t="s">
        <v>939</v>
      </c>
    </row>
    <row r="86" spans="1:13" x14ac:dyDescent="0.3">
      <c r="A86" t="s">
        <v>756</v>
      </c>
      <c r="B86">
        <v>24</v>
      </c>
      <c r="C86">
        <v>13525239</v>
      </c>
      <c r="D86">
        <v>302816</v>
      </c>
      <c r="E86">
        <v>376</v>
      </c>
      <c r="F86">
        <v>0</v>
      </c>
      <c r="G86">
        <v>381865268</v>
      </c>
      <c r="H86">
        <v>5749786</v>
      </c>
      <c r="I86">
        <v>55981</v>
      </c>
      <c r="J86">
        <v>3079272</v>
      </c>
      <c r="K86">
        <v>39333</v>
      </c>
      <c r="L86" t="s">
        <v>936</v>
      </c>
      <c r="M86" t="s">
        <v>945</v>
      </c>
    </row>
    <row r="87" spans="1:13" x14ac:dyDescent="0.3">
      <c r="A87" t="s">
        <v>801</v>
      </c>
      <c r="B87">
        <v>78</v>
      </c>
      <c r="C87">
        <v>13504725</v>
      </c>
      <c r="D87">
        <v>301197</v>
      </c>
      <c r="E87">
        <v>385</v>
      </c>
      <c r="F87">
        <v>0</v>
      </c>
      <c r="G87">
        <v>350989885</v>
      </c>
      <c r="H87">
        <v>4590257</v>
      </c>
      <c r="I87">
        <v>44993</v>
      </c>
      <c r="J87">
        <v>5367439</v>
      </c>
      <c r="K87">
        <v>42960</v>
      </c>
      <c r="L87" t="s">
        <v>936</v>
      </c>
      <c r="M87" t="s">
        <v>944</v>
      </c>
    </row>
    <row r="88" spans="1:13" x14ac:dyDescent="0.3">
      <c r="A88" t="s">
        <v>787</v>
      </c>
      <c r="B88">
        <v>61</v>
      </c>
      <c r="C88">
        <v>13478755</v>
      </c>
      <c r="D88">
        <v>269758</v>
      </c>
      <c r="E88">
        <v>0</v>
      </c>
      <c r="F88">
        <v>0</v>
      </c>
      <c r="G88">
        <v>325828707</v>
      </c>
      <c r="H88">
        <v>4354659</v>
      </c>
      <c r="I88">
        <v>42937</v>
      </c>
      <c r="J88">
        <v>3787035</v>
      </c>
      <c r="K88">
        <v>33240</v>
      </c>
      <c r="L88" t="s">
        <v>936</v>
      </c>
      <c r="M88" t="s">
        <v>939</v>
      </c>
    </row>
    <row r="89" spans="1:13" x14ac:dyDescent="0.3">
      <c r="A89" t="s">
        <v>811</v>
      </c>
      <c r="B89">
        <v>90</v>
      </c>
      <c r="C89">
        <v>13330048</v>
      </c>
      <c r="D89">
        <v>197915</v>
      </c>
      <c r="E89">
        <v>1350</v>
      </c>
      <c r="F89">
        <v>0</v>
      </c>
      <c r="G89">
        <v>292723397</v>
      </c>
      <c r="H89">
        <v>3873882</v>
      </c>
      <c r="I89">
        <v>67536</v>
      </c>
      <c r="J89">
        <v>5828444</v>
      </c>
      <c r="K89">
        <v>40060</v>
      </c>
      <c r="L89" t="s">
        <v>936</v>
      </c>
      <c r="M89" t="s">
        <v>939</v>
      </c>
    </row>
    <row r="90" spans="1:13" x14ac:dyDescent="0.3">
      <c r="A90" t="s">
        <v>825</v>
      </c>
      <c r="B90">
        <v>104</v>
      </c>
      <c r="C90">
        <v>13250012</v>
      </c>
      <c r="D90">
        <v>217367</v>
      </c>
      <c r="E90">
        <v>0</v>
      </c>
      <c r="F90">
        <v>0</v>
      </c>
      <c r="G90">
        <v>276572363</v>
      </c>
      <c r="H90">
        <v>3312501</v>
      </c>
      <c r="I90">
        <v>54588</v>
      </c>
      <c r="J90">
        <v>3499294</v>
      </c>
      <c r="K90">
        <v>39262</v>
      </c>
      <c r="L90" t="s">
        <v>936</v>
      </c>
      <c r="M90" t="s">
        <v>937</v>
      </c>
    </row>
    <row r="91" spans="1:13" x14ac:dyDescent="0.3">
      <c r="A91" t="s">
        <v>779</v>
      </c>
      <c r="B91">
        <v>52</v>
      </c>
      <c r="C91">
        <v>13173438</v>
      </c>
      <c r="D91">
        <v>265369</v>
      </c>
      <c r="E91">
        <v>0</v>
      </c>
      <c r="F91">
        <v>0</v>
      </c>
      <c r="G91">
        <v>390658904</v>
      </c>
      <c r="H91">
        <v>4740375</v>
      </c>
      <c r="I91">
        <v>35171</v>
      </c>
      <c r="J91">
        <v>3066559</v>
      </c>
      <c r="K91">
        <v>37469</v>
      </c>
      <c r="L91" t="s">
        <v>936</v>
      </c>
      <c r="M91" t="s">
        <v>940</v>
      </c>
    </row>
    <row r="92" spans="1:13" x14ac:dyDescent="0.3">
      <c r="A92" t="s">
        <v>837</v>
      </c>
      <c r="B92">
        <v>120</v>
      </c>
      <c r="C92">
        <v>13085114</v>
      </c>
      <c r="D92">
        <v>264535</v>
      </c>
      <c r="E92">
        <v>202</v>
      </c>
      <c r="F92">
        <v>0</v>
      </c>
      <c r="G92">
        <v>290484709</v>
      </c>
      <c r="H92">
        <v>3167688</v>
      </c>
      <c r="I92">
        <v>34699</v>
      </c>
      <c r="J92">
        <v>11047709</v>
      </c>
      <c r="K92">
        <v>33953</v>
      </c>
      <c r="L92" t="s">
        <v>936</v>
      </c>
      <c r="M92" t="s">
        <v>937</v>
      </c>
    </row>
    <row r="93" spans="1:13" x14ac:dyDescent="0.3">
      <c r="A93" t="s">
        <v>830</v>
      </c>
      <c r="B93">
        <v>117</v>
      </c>
      <c r="C93">
        <v>13011906</v>
      </c>
      <c r="D93">
        <v>243562</v>
      </c>
      <c r="E93">
        <v>2700</v>
      </c>
      <c r="F93">
        <v>0</v>
      </c>
      <c r="G93">
        <v>243021628</v>
      </c>
      <c r="H93">
        <v>3243091</v>
      </c>
      <c r="I93">
        <v>62109</v>
      </c>
      <c r="J93">
        <v>4167307</v>
      </c>
      <c r="K93">
        <v>28570</v>
      </c>
      <c r="L93" t="s">
        <v>936</v>
      </c>
      <c r="M93" t="s">
        <v>945</v>
      </c>
    </row>
    <row r="94" spans="1:13" x14ac:dyDescent="0.3">
      <c r="A94" t="s">
        <v>789</v>
      </c>
      <c r="B94">
        <v>57</v>
      </c>
      <c r="C94">
        <v>12982190</v>
      </c>
      <c r="D94">
        <v>266030</v>
      </c>
      <c r="E94">
        <v>573</v>
      </c>
      <c r="F94">
        <v>0</v>
      </c>
      <c r="G94">
        <v>378655870</v>
      </c>
      <c r="H94">
        <v>4731263</v>
      </c>
      <c r="I94">
        <v>90650</v>
      </c>
      <c r="J94">
        <v>3538091</v>
      </c>
      <c r="K94">
        <v>40810</v>
      </c>
      <c r="L94" t="s">
        <v>936</v>
      </c>
      <c r="M94" t="s">
        <v>945</v>
      </c>
    </row>
    <row r="95" spans="1:13" x14ac:dyDescent="0.3">
      <c r="A95" t="s">
        <v>976</v>
      </c>
      <c r="B95">
        <v>106</v>
      </c>
      <c r="C95">
        <v>12970142</v>
      </c>
      <c r="D95">
        <v>234709</v>
      </c>
      <c r="E95">
        <v>1250</v>
      </c>
      <c r="F95">
        <v>0</v>
      </c>
      <c r="G95">
        <v>278517527</v>
      </c>
      <c r="H95">
        <v>3554761</v>
      </c>
      <c r="I95">
        <v>19772</v>
      </c>
      <c r="J95">
        <v>8905273</v>
      </c>
      <c r="K95">
        <v>39210</v>
      </c>
      <c r="L95" t="s">
        <v>936</v>
      </c>
      <c r="M95" t="s">
        <v>942</v>
      </c>
    </row>
    <row r="96" spans="1:13" x14ac:dyDescent="0.3">
      <c r="A96" t="s">
        <v>852</v>
      </c>
      <c r="B96">
        <v>145</v>
      </c>
      <c r="C96">
        <v>12784248</v>
      </c>
      <c r="D96">
        <v>146444</v>
      </c>
      <c r="E96">
        <v>0</v>
      </c>
      <c r="F96">
        <v>0</v>
      </c>
      <c r="G96">
        <v>220395406</v>
      </c>
      <c r="H96">
        <v>2315141</v>
      </c>
      <c r="I96">
        <v>17044</v>
      </c>
      <c r="J96">
        <v>3417438</v>
      </c>
      <c r="K96">
        <v>34020</v>
      </c>
      <c r="L96" t="s">
        <v>936</v>
      </c>
      <c r="M96" t="s">
        <v>940</v>
      </c>
    </row>
    <row r="97" spans="1:13" x14ac:dyDescent="0.3">
      <c r="A97" t="s">
        <v>771</v>
      </c>
      <c r="B97">
        <v>41</v>
      </c>
      <c r="C97">
        <v>12661787</v>
      </c>
      <c r="D97">
        <v>247851</v>
      </c>
      <c r="E97">
        <v>50</v>
      </c>
      <c r="F97">
        <v>0</v>
      </c>
      <c r="G97">
        <v>333249240</v>
      </c>
      <c r="H97">
        <v>4876407</v>
      </c>
      <c r="I97">
        <v>48351</v>
      </c>
      <c r="J97">
        <v>3978341</v>
      </c>
      <c r="K97">
        <v>28529</v>
      </c>
      <c r="L97" t="s">
        <v>936</v>
      </c>
      <c r="M97" t="s">
        <v>939</v>
      </c>
    </row>
    <row r="98" spans="1:13" x14ac:dyDescent="0.3">
      <c r="A98" t="s">
        <v>968</v>
      </c>
      <c r="B98">
        <v>154</v>
      </c>
      <c r="C98">
        <v>12615998</v>
      </c>
      <c r="D98">
        <v>265552</v>
      </c>
      <c r="E98">
        <v>350</v>
      </c>
      <c r="F98">
        <v>0</v>
      </c>
      <c r="G98">
        <v>208393651</v>
      </c>
      <c r="H98">
        <v>2255451</v>
      </c>
      <c r="I98">
        <v>7858</v>
      </c>
      <c r="J98">
        <v>3626092</v>
      </c>
      <c r="K98">
        <v>35570</v>
      </c>
      <c r="L98" t="s">
        <v>936</v>
      </c>
      <c r="M98" t="s">
        <v>945</v>
      </c>
    </row>
    <row r="99" spans="1:13" x14ac:dyDescent="0.3">
      <c r="A99" t="s">
        <v>850</v>
      </c>
      <c r="B99">
        <v>148</v>
      </c>
      <c r="C99">
        <v>12555771</v>
      </c>
      <c r="D99">
        <v>174965</v>
      </c>
      <c r="E99">
        <v>404</v>
      </c>
      <c r="F99">
        <v>0</v>
      </c>
      <c r="G99">
        <v>190212465</v>
      </c>
      <c r="H99">
        <v>2122327</v>
      </c>
      <c r="I99">
        <v>40432</v>
      </c>
      <c r="J99">
        <v>2328448</v>
      </c>
      <c r="K99">
        <v>30940</v>
      </c>
      <c r="L99" t="s">
        <v>936</v>
      </c>
      <c r="M99" t="s">
        <v>944</v>
      </c>
    </row>
    <row r="100" spans="1:13" x14ac:dyDescent="0.3">
      <c r="A100" t="s">
        <v>807</v>
      </c>
      <c r="B100">
        <v>83</v>
      </c>
      <c r="C100">
        <v>12463220</v>
      </c>
      <c r="D100">
        <v>265972</v>
      </c>
      <c r="E100">
        <v>0</v>
      </c>
      <c r="F100">
        <v>0</v>
      </c>
      <c r="G100">
        <v>318952846</v>
      </c>
      <c r="H100">
        <v>4266289</v>
      </c>
      <c r="I100">
        <v>34705</v>
      </c>
      <c r="J100">
        <v>3953012</v>
      </c>
      <c r="K100">
        <v>41403</v>
      </c>
      <c r="L100" t="s">
        <v>936</v>
      </c>
      <c r="M100" t="s">
        <v>939</v>
      </c>
    </row>
    <row r="101" spans="1:13" x14ac:dyDescent="0.3">
      <c r="A101" t="s">
        <v>859</v>
      </c>
      <c r="B101">
        <v>143</v>
      </c>
      <c r="C101">
        <v>12218020</v>
      </c>
      <c r="D101">
        <v>205577</v>
      </c>
      <c r="E101">
        <v>17500</v>
      </c>
      <c r="F101">
        <v>0</v>
      </c>
      <c r="G101">
        <v>288250939</v>
      </c>
      <c r="H101">
        <v>2525547</v>
      </c>
      <c r="I101">
        <v>46059</v>
      </c>
      <c r="J101">
        <v>5374699</v>
      </c>
      <c r="K101">
        <v>40863</v>
      </c>
      <c r="L101" t="s">
        <v>936</v>
      </c>
      <c r="M101" t="s">
        <v>962</v>
      </c>
    </row>
    <row r="102" spans="1:13" x14ac:dyDescent="0.3">
      <c r="A102" t="s">
        <v>950</v>
      </c>
      <c r="B102">
        <v>73</v>
      </c>
      <c r="C102">
        <v>12148643</v>
      </c>
      <c r="D102">
        <v>265896</v>
      </c>
      <c r="E102">
        <v>348</v>
      </c>
      <c r="F102">
        <v>0</v>
      </c>
      <c r="G102">
        <v>361903723</v>
      </c>
      <c r="H102">
        <v>4746467</v>
      </c>
      <c r="I102">
        <v>35687</v>
      </c>
      <c r="J102">
        <v>3348287</v>
      </c>
      <c r="K102">
        <v>36760</v>
      </c>
      <c r="L102" t="s">
        <v>936</v>
      </c>
      <c r="M102" t="s">
        <v>942</v>
      </c>
    </row>
    <row r="103" spans="1:13" x14ac:dyDescent="0.3">
      <c r="A103" t="s">
        <v>767</v>
      </c>
      <c r="B103">
        <v>31</v>
      </c>
      <c r="C103">
        <v>12104726</v>
      </c>
      <c r="D103">
        <v>280329</v>
      </c>
      <c r="E103">
        <v>0</v>
      </c>
      <c r="F103">
        <v>0</v>
      </c>
      <c r="G103">
        <v>381654660</v>
      </c>
      <c r="H103">
        <v>5313291</v>
      </c>
      <c r="I103">
        <v>74614</v>
      </c>
      <c r="J103">
        <v>3135417</v>
      </c>
      <c r="K103">
        <v>39450</v>
      </c>
      <c r="L103" t="s">
        <v>936</v>
      </c>
      <c r="M103" t="s">
        <v>944</v>
      </c>
    </row>
    <row r="104" spans="1:13" x14ac:dyDescent="0.3">
      <c r="A104" t="s">
        <v>849</v>
      </c>
      <c r="B104">
        <v>136</v>
      </c>
      <c r="C104">
        <v>12030801</v>
      </c>
      <c r="D104">
        <v>199134</v>
      </c>
      <c r="E104">
        <v>0</v>
      </c>
      <c r="F104">
        <v>0</v>
      </c>
      <c r="G104">
        <v>375890492</v>
      </c>
      <c r="H104">
        <v>2541018</v>
      </c>
      <c r="I104">
        <v>19742</v>
      </c>
      <c r="J104">
        <v>4192603</v>
      </c>
      <c r="K104">
        <v>36930</v>
      </c>
      <c r="L104" t="s">
        <v>936</v>
      </c>
      <c r="M104" t="s">
        <v>937</v>
      </c>
    </row>
    <row r="105" spans="1:13" x14ac:dyDescent="0.3">
      <c r="A105" t="s">
        <v>867</v>
      </c>
      <c r="B105">
        <v>160</v>
      </c>
      <c r="C105">
        <v>11959220</v>
      </c>
      <c r="D105">
        <v>176915</v>
      </c>
      <c r="E105">
        <v>0</v>
      </c>
      <c r="F105">
        <v>0</v>
      </c>
      <c r="G105">
        <v>224696163</v>
      </c>
      <c r="H105">
        <v>1889429</v>
      </c>
      <c r="I105">
        <v>32582</v>
      </c>
      <c r="J105">
        <v>3753806</v>
      </c>
      <c r="K105">
        <v>34480</v>
      </c>
      <c r="L105" t="s">
        <v>936</v>
      </c>
      <c r="M105" t="s">
        <v>940</v>
      </c>
    </row>
    <row r="106" spans="1:13" x14ac:dyDescent="0.3">
      <c r="A106" t="s">
        <v>834</v>
      </c>
      <c r="B106">
        <v>115</v>
      </c>
      <c r="C106">
        <v>11945475</v>
      </c>
      <c r="D106">
        <v>241119</v>
      </c>
      <c r="E106">
        <v>714</v>
      </c>
      <c r="F106">
        <v>0</v>
      </c>
      <c r="G106">
        <v>275789885</v>
      </c>
      <c r="H106">
        <v>3346730</v>
      </c>
      <c r="I106">
        <v>6059</v>
      </c>
      <c r="J106">
        <v>8914326</v>
      </c>
      <c r="K106">
        <v>31543</v>
      </c>
      <c r="L106" t="s">
        <v>936</v>
      </c>
      <c r="M106" t="s">
        <v>937</v>
      </c>
    </row>
    <row r="107" spans="1:13" x14ac:dyDescent="0.3">
      <c r="A107" t="s">
        <v>956</v>
      </c>
      <c r="B107">
        <v>110</v>
      </c>
      <c r="C107">
        <v>11867564</v>
      </c>
      <c r="D107">
        <v>270182</v>
      </c>
      <c r="E107">
        <v>9000</v>
      </c>
      <c r="F107">
        <v>0</v>
      </c>
      <c r="G107">
        <v>249150699</v>
      </c>
      <c r="H107">
        <v>3483615</v>
      </c>
      <c r="I107">
        <v>114593</v>
      </c>
      <c r="J107">
        <v>8448987</v>
      </c>
      <c r="K107">
        <v>34316</v>
      </c>
      <c r="L107" t="s">
        <v>936</v>
      </c>
      <c r="M107" t="s">
        <v>942</v>
      </c>
    </row>
    <row r="108" spans="1:13" x14ac:dyDescent="0.3">
      <c r="A108" t="s">
        <v>826</v>
      </c>
      <c r="B108">
        <v>105</v>
      </c>
      <c r="C108">
        <v>11637016</v>
      </c>
      <c r="D108">
        <v>249207</v>
      </c>
      <c r="E108">
        <v>1865</v>
      </c>
      <c r="F108">
        <v>0</v>
      </c>
      <c r="G108">
        <v>287202243</v>
      </c>
      <c r="H108">
        <v>3824270</v>
      </c>
      <c r="I108">
        <v>29064</v>
      </c>
      <c r="J108">
        <v>2706596</v>
      </c>
      <c r="K108">
        <v>36680</v>
      </c>
      <c r="L108" t="s">
        <v>936</v>
      </c>
      <c r="M108" t="s">
        <v>940</v>
      </c>
    </row>
    <row r="109" spans="1:13" x14ac:dyDescent="0.3">
      <c r="A109" t="s">
        <v>833</v>
      </c>
      <c r="B109">
        <v>118</v>
      </c>
      <c r="C109">
        <v>11577791</v>
      </c>
      <c r="D109">
        <v>232473</v>
      </c>
      <c r="E109">
        <v>8100</v>
      </c>
      <c r="F109">
        <v>0</v>
      </c>
      <c r="G109">
        <v>336547231</v>
      </c>
      <c r="H109">
        <v>3213201</v>
      </c>
      <c r="I109">
        <v>61224</v>
      </c>
      <c r="J109">
        <v>2144170</v>
      </c>
      <c r="K109">
        <v>43890</v>
      </c>
      <c r="L109" t="s">
        <v>936</v>
      </c>
      <c r="M109" t="s">
        <v>944</v>
      </c>
    </row>
    <row r="110" spans="1:13" x14ac:dyDescent="0.3">
      <c r="A110" t="s">
        <v>954</v>
      </c>
      <c r="B110">
        <v>99</v>
      </c>
      <c r="C110">
        <v>11512419</v>
      </c>
      <c r="D110">
        <v>232498</v>
      </c>
      <c r="E110">
        <v>0</v>
      </c>
      <c r="F110">
        <v>0</v>
      </c>
      <c r="G110">
        <v>281185475</v>
      </c>
      <c r="H110">
        <v>3580638</v>
      </c>
      <c r="I110">
        <v>42898</v>
      </c>
      <c r="J110">
        <v>6279036</v>
      </c>
      <c r="K110">
        <v>40910</v>
      </c>
      <c r="L110" t="s">
        <v>936</v>
      </c>
      <c r="M110" t="s">
        <v>945</v>
      </c>
    </row>
    <row r="111" spans="1:13" x14ac:dyDescent="0.3">
      <c r="A111" t="s">
        <v>865</v>
      </c>
      <c r="B111">
        <v>149</v>
      </c>
      <c r="C111">
        <v>11432324</v>
      </c>
      <c r="D111">
        <v>246623</v>
      </c>
      <c r="E111">
        <v>0</v>
      </c>
      <c r="F111">
        <v>0</v>
      </c>
      <c r="G111">
        <v>226473762</v>
      </c>
      <c r="H111">
        <v>2357638</v>
      </c>
      <c r="I111">
        <v>3797</v>
      </c>
      <c r="J111">
        <v>35083546</v>
      </c>
      <c r="K111">
        <v>38680</v>
      </c>
      <c r="L111" t="s">
        <v>936</v>
      </c>
      <c r="M111" t="s">
        <v>937</v>
      </c>
    </row>
    <row r="112" spans="1:13" x14ac:dyDescent="0.3">
      <c r="A112" t="s">
        <v>829</v>
      </c>
      <c r="B112">
        <v>113</v>
      </c>
      <c r="C112">
        <v>11389574</v>
      </c>
      <c r="D112">
        <v>254782</v>
      </c>
      <c r="E112">
        <v>0</v>
      </c>
      <c r="F112">
        <v>0</v>
      </c>
      <c r="G112">
        <v>398644192</v>
      </c>
      <c r="H112">
        <v>3629017</v>
      </c>
      <c r="I112">
        <v>37907</v>
      </c>
      <c r="J112">
        <v>2736506</v>
      </c>
      <c r="K112">
        <v>49060</v>
      </c>
      <c r="L112" t="s">
        <v>936</v>
      </c>
      <c r="M112" t="s">
        <v>944</v>
      </c>
    </row>
    <row r="113" spans="1:13" x14ac:dyDescent="0.3">
      <c r="A113" t="s">
        <v>750</v>
      </c>
      <c r="B113">
        <v>19</v>
      </c>
      <c r="C113">
        <v>11378661</v>
      </c>
      <c r="D113">
        <v>232728</v>
      </c>
      <c r="E113">
        <v>1400</v>
      </c>
      <c r="F113">
        <v>0</v>
      </c>
      <c r="G113">
        <v>367061369</v>
      </c>
      <c r="H113">
        <v>5533583</v>
      </c>
      <c r="I113">
        <v>39513</v>
      </c>
      <c r="J113">
        <v>2726006</v>
      </c>
      <c r="K113">
        <v>41020</v>
      </c>
      <c r="L113" t="s">
        <v>936</v>
      </c>
      <c r="M113" t="s">
        <v>940</v>
      </c>
    </row>
    <row r="114" spans="1:13" x14ac:dyDescent="0.3">
      <c r="A114" t="s">
        <v>866</v>
      </c>
      <c r="B114">
        <v>166</v>
      </c>
      <c r="C114">
        <v>11280262</v>
      </c>
      <c r="D114">
        <v>118663</v>
      </c>
      <c r="E114">
        <v>350</v>
      </c>
      <c r="F114">
        <v>0</v>
      </c>
      <c r="G114">
        <v>215747660</v>
      </c>
      <c r="H114">
        <v>1416770</v>
      </c>
      <c r="I114">
        <v>85843</v>
      </c>
      <c r="J114">
        <v>2792897</v>
      </c>
      <c r="K114">
        <v>34560</v>
      </c>
      <c r="L114" t="s">
        <v>936</v>
      </c>
      <c r="M114" t="s">
        <v>944</v>
      </c>
    </row>
    <row r="115" spans="1:13" x14ac:dyDescent="0.3">
      <c r="A115" t="s">
        <v>822</v>
      </c>
      <c r="B115">
        <v>98</v>
      </c>
      <c r="C115">
        <v>11262433</v>
      </c>
      <c r="D115">
        <v>256947</v>
      </c>
      <c r="E115">
        <v>350</v>
      </c>
      <c r="F115">
        <v>0</v>
      </c>
      <c r="G115">
        <v>320669989</v>
      </c>
      <c r="H115">
        <v>3583180</v>
      </c>
      <c r="I115">
        <v>83787</v>
      </c>
      <c r="J115">
        <v>2963087</v>
      </c>
      <c r="K115">
        <v>39640</v>
      </c>
      <c r="L115" t="s">
        <v>936</v>
      </c>
      <c r="M115" t="s">
        <v>944</v>
      </c>
    </row>
    <row r="116" spans="1:13" x14ac:dyDescent="0.3">
      <c r="A116" t="s">
        <v>974</v>
      </c>
      <c r="B116">
        <v>135</v>
      </c>
      <c r="C116">
        <v>11212727</v>
      </c>
      <c r="D116">
        <v>246797</v>
      </c>
      <c r="E116">
        <v>700</v>
      </c>
      <c r="F116">
        <v>0</v>
      </c>
      <c r="G116">
        <v>241818359</v>
      </c>
      <c r="H116">
        <v>2701924</v>
      </c>
      <c r="I116">
        <v>24676</v>
      </c>
      <c r="J116">
        <v>12114174</v>
      </c>
      <c r="K116">
        <v>40283</v>
      </c>
      <c r="L116" t="s">
        <v>936</v>
      </c>
      <c r="M116" t="s">
        <v>942</v>
      </c>
    </row>
    <row r="117" spans="1:13" x14ac:dyDescent="0.3">
      <c r="A117" t="s">
        <v>790</v>
      </c>
      <c r="B117">
        <v>62</v>
      </c>
      <c r="C117">
        <v>11162060</v>
      </c>
      <c r="D117">
        <v>223593</v>
      </c>
      <c r="E117">
        <v>4931</v>
      </c>
      <c r="F117">
        <v>0</v>
      </c>
      <c r="G117">
        <v>337237187</v>
      </c>
      <c r="H117">
        <v>4415621</v>
      </c>
      <c r="I117">
        <v>51812</v>
      </c>
      <c r="J117">
        <v>2836865</v>
      </c>
      <c r="K117">
        <v>38370</v>
      </c>
      <c r="L117" t="s">
        <v>936</v>
      </c>
      <c r="M117" t="s">
        <v>945</v>
      </c>
    </row>
    <row r="118" spans="1:13" x14ac:dyDescent="0.3">
      <c r="A118" t="s">
        <v>844</v>
      </c>
      <c r="B118">
        <v>141</v>
      </c>
      <c r="C118">
        <v>11087503</v>
      </c>
      <c r="D118">
        <v>213741</v>
      </c>
      <c r="E118">
        <v>27493</v>
      </c>
      <c r="F118">
        <v>1451954</v>
      </c>
      <c r="G118">
        <v>267694330</v>
      </c>
      <c r="H118">
        <v>2548705</v>
      </c>
      <c r="I118">
        <v>79072</v>
      </c>
      <c r="J118">
        <v>10699701</v>
      </c>
      <c r="K118">
        <v>33653</v>
      </c>
      <c r="L118" t="s">
        <v>987</v>
      </c>
      <c r="M118" t="s">
        <v>939</v>
      </c>
    </row>
    <row r="119" spans="1:13" x14ac:dyDescent="0.3">
      <c r="A119" t="s">
        <v>855</v>
      </c>
      <c r="B119">
        <v>139</v>
      </c>
      <c r="C119">
        <v>11011377</v>
      </c>
      <c r="D119">
        <v>193110</v>
      </c>
      <c r="E119">
        <v>0</v>
      </c>
      <c r="F119">
        <v>0</v>
      </c>
      <c r="G119">
        <v>242792796</v>
      </c>
      <c r="H119">
        <v>2423595</v>
      </c>
      <c r="I119">
        <v>37586</v>
      </c>
      <c r="J119">
        <v>3571075</v>
      </c>
      <c r="K119">
        <v>38630</v>
      </c>
      <c r="L119" t="s">
        <v>936</v>
      </c>
      <c r="M119" t="s">
        <v>940</v>
      </c>
    </row>
    <row r="120" spans="1:13" x14ac:dyDescent="0.3">
      <c r="A120" t="s">
        <v>951</v>
      </c>
      <c r="B120">
        <v>67</v>
      </c>
      <c r="C120">
        <v>10984062</v>
      </c>
      <c r="D120">
        <v>246341</v>
      </c>
      <c r="E120">
        <v>120</v>
      </c>
      <c r="F120">
        <v>0</v>
      </c>
      <c r="G120">
        <v>312079448</v>
      </c>
      <c r="H120">
        <v>4669109</v>
      </c>
      <c r="I120">
        <v>110188</v>
      </c>
      <c r="J120">
        <v>2944971</v>
      </c>
      <c r="K120">
        <v>38300</v>
      </c>
      <c r="L120" t="s">
        <v>936</v>
      </c>
      <c r="M120" t="s">
        <v>940</v>
      </c>
    </row>
    <row r="121" spans="1:13" x14ac:dyDescent="0.3">
      <c r="A121" t="s">
        <v>965</v>
      </c>
      <c r="B121">
        <v>133</v>
      </c>
      <c r="C121">
        <v>10682860</v>
      </c>
      <c r="D121">
        <v>247666</v>
      </c>
      <c r="E121">
        <v>7000</v>
      </c>
      <c r="F121">
        <v>0</v>
      </c>
      <c r="G121">
        <v>228865849</v>
      </c>
      <c r="H121">
        <v>2699569</v>
      </c>
      <c r="I121">
        <v>58510</v>
      </c>
      <c r="J121">
        <v>2946859</v>
      </c>
      <c r="K121">
        <v>36183</v>
      </c>
      <c r="L121" t="s">
        <v>936</v>
      </c>
      <c r="M121" t="s">
        <v>942</v>
      </c>
    </row>
    <row r="122" spans="1:13" x14ac:dyDescent="0.3">
      <c r="A122" t="s">
        <v>971</v>
      </c>
      <c r="B122">
        <v>122</v>
      </c>
      <c r="C122">
        <v>10649729</v>
      </c>
      <c r="D122">
        <v>213951</v>
      </c>
      <c r="E122">
        <v>350</v>
      </c>
      <c r="F122">
        <v>0</v>
      </c>
      <c r="G122">
        <v>269489077</v>
      </c>
      <c r="H122">
        <v>2911284</v>
      </c>
      <c r="I122">
        <v>33151</v>
      </c>
      <c r="J122">
        <v>3579744</v>
      </c>
      <c r="K122">
        <v>35550</v>
      </c>
      <c r="L122" t="s">
        <v>936</v>
      </c>
      <c r="M122" t="s">
        <v>942</v>
      </c>
    </row>
    <row r="123" spans="1:13" x14ac:dyDescent="0.3">
      <c r="A123" t="s">
        <v>972</v>
      </c>
      <c r="B123">
        <v>86</v>
      </c>
      <c r="C123">
        <v>10649005</v>
      </c>
      <c r="D123">
        <v>215789</v>
      </c>
      <c r="E123">
        <v>0</v>
      </c>
      <c r="F123">
        <v>0</v>
      </c>
      <c r="G123">
        <v>359584832</v>
      </c>
      <c r="H123">
        <v>3952071</v>
      </c>
      <c r="I123">
        <v>40760</v>
      </c>
      <c r="J123">
        <v>2716994</v>
      </c>
      <c r="K123">
        <v>41620</v>
      </c>
      <c r="L123" t="s">
        <v>936</v>
      </c>
      <c r="M123" t="s">
        <v>942</v>
      </c>
    </row>
    <row r="124" spans="1:13" x14ac:dyDescent="0.3">
      <c r="A124" t="s">
        <v>603</v>
      </c>
      <c r="B124">
        <v>112</v>
      </c>
      <c r="C124">
        <v>10502131</v>
      </c>
      <c r="D124">
        <v>228707</v>
      </c>
      <c r="E124">
        <v>50</v>
      </c>
      <c r="F124">
        <v>0</v>
      </c>
      <c r="G124">
        <v>248826200</v>
      </c>
      <c r="H124">
        <v>3391620</v>
      </c>
      <c r="I124">
        <v>40763</v>
      </c>
      <c r="J124">
        <v>5309261</v>
      </c>
      <c r="K124">
        <v>32700</v>
      </c>
      <c r="L124" t="s">
        <v>936</v>
      </c>
      <c r="M124" t="s">
        <v>945</v>
      </c>
    </row>
    <row r="125" spans="1:13" x14ac:dyDescent="0.3">
      <c r="A125" t="s">
        <v>820</v>
      </c>
      <c r="B125">
        <v>95</v>
      </c>
      <c r="C125">
        <v>10211437</v>
      </c>
      <c r="D125">
        <v>216425</v>
      </c>
      <c r="E125">
        <v>700</v>
      </c>
      <c r="F125">
        <v>0</v>
      </c>
      <c r="G125">
        <v>315599626</v>
      </c>
      <c r="H125">
        <v>3670138</v>
      </c>
      <c r="I125">
        <v>46166</v>
      </c>
      <c r="J125">
        <v>4123091</v>
      </c>
      <c r="K125">
        <v>35586</v>
      </c>
      <c r="L125" t="s">
        <v>936</v>
      </c>
      <c r="M125" t="s">
        <v>946</v>
      </c>
    </row>
    <row r="126" spans="1:13" x14ac:dyDescent="0.3">
      <c r="A126" t="s">
        <v>887</v>
      </c>
      <c r="B126">
        <v>181</v>
      </c>
      <c r="C126">
        <v>10204666</v>
      </c>
      <c r="D126">
        <v>102624</v>
      </c>
      <c r="E126">
        <v>17184</v>
      </c>
      <c r="F126">
        <v>0</v>
      </c>
      <c r="G126">
        <v>115624683</v>
      </c>
      <c r="H126">
        <v>1589926</v>
      </c>
      <c r="I126">
        <v>141018</v>
      </c>
      <c r="J126">
        <v>60926385</v>
      </c>
      <c r="K126">
        <v>20421</v>
      </c>
      <c r="L126" t="s">
        <v>936</v>
      </c>
      <c r="M126" t="s">
        <v>937</v>
      </c>
    </row>
    <row r="127" spans="1:13" x14ac:dyDescent="0.3">
      <c r="A127" t="s">
        <v>970</v>
      </c>
      <c r="B127">
        <v>111</v>
      </c>
      <c r="C127">
        <v>10175777</v>
      </c>
      <c r="D127">
        <v>125120</v>
      </c>
      <c r="E127">
        <v>0</v>
      </c>
      <c r="F127">
        <v>0</v>
      </c>
      <c r="G127">
        <v>233232332</v>
      </c>
      <c r="H127">
        <v>2893907</v>
      </c>
      <c r="I127">
        <v>49317</v>
      </c>
      <c r="J127">
        <v>9585335</v>
      </c>
      <c r="K127">
        <v>33900</v>
      </c>
      <c r="L127" t="s">
        <v>936</v>
      </c>
      <c r="M127" t="s">
        <v>939</v>
      </c>
    </row>
    <row r="128" spans="1:13" x14ac:dyDescent="0.3">
      <c r="A128" t="s">
        <v>857</v>
      </c>
      <c r="B128">
        <v>138</v>
      </c>
      <c r="C128">
        <v>10120646</v>
      </c>
      <c r="D128">
        <v>197997</v>
      </c>
      <c r="E128">
        <v>0</v>
      </c>
      <c r="F128">
        <v>0</v>
      </c>
      <c r="G128">
        <v>250506189</v>
      </c>
      <c r="H128">
        <v>2534090</v>
      </c>
      <c r="I128">
        <v>18214</v>
      </c>
      <c r="J128">
        <v>3835056</v>
      </c>
      <c r="K128">
        <v>41973</v>
      </c>
      <c r="L128" t="s">
        <v>936</v>
      </c>
      <c r="M128" t="s">
        <v>962</v>
      </c>
    </row>
    <row r="129" spans="1:13" x14ac:dyDescent="0.3">
      <c r="A129" t="s">
        <v>963</v>
      </c>
      <c r="B129">
        <v>119</v>
      </c>
      <c r="C129">
        <v>9969411</v>
      </c>
      <c r="D129">
        <v>219568</v>
      </c>
      <c r="E129">
        <v>0</v>
      </c>
      <c r="F129">
        <v>0</v>
      </c>
      <c r="G129">
        <v>300440683</v>
      </c>
      <c r="H129">
        <v>3096621</v>
      </c>
      <c r="I129">
        <v>50870</v>
      </c>
      <c r="J129">
        <v>3449800</v>
      </c>
      <c r="K129">
        <v>31760</v>
      </c>
      <c r="L129" t="s">
        <v>936</v>
      </c>
      <c r="M129" t="s">
        <v>946</v>
      </c>
    </row>
    <row r="130" spans="1:13" x14ac:dyDescent="0.3">
      <c r="A130" t="s">
        <v>782</v>
      </c>
      <c r="B130">
        <v>59</v>
      </c>
      <c r="C130">
        <v>9898109</v>
      </c>
      <c r="D130">
        <v>191453</v>
      </c>
      <c r="E130">
        <v>1350</v>
      </c>
      <c r="F130">
        <v>0</v>
      </c>
      <c r="G130">
        <v>396793205</v>
      </c>
      <c r="H130">
        <v>4351782</v>
      </c>
      <c r="I130">
        <v>70718</v>
      </c>
      <c r="J130">
        <v>3629210</v>
      </c>
      <c r="K130">
        <v>41210</v>
      </c>
      <c r="L130" t="s">
        <v>936</v>
      </c>
      <c r="M130" t="s">
        <v>937</v>
      </c>
    </row>
    <row r="131" spans="1:13" x14ac:dyDescent="0.3">
      <c r="A131" t="s">
        <v>815</v>
      </c>
      <c r="B131">
        <v>92</v>
      </c>
      <c r="C131">
        <v>9648463</v>
      </c>
      <c r="D131">
        <v>193749</v>
      </c>
      <c r="E131">
        <v>0</v>
      </c>
      <c r="F131">
        <v>0</v>
      </c>
      <c r="G131">
        <v>256756983</v>
      </c>
      <c r="H131">
        <v>3882842</v>
      </c>
      <c r="I131">
        <v>56236</v>
      </c>
      <c r="J131">
        <v>44520963</v>
      </c>
      <c r="K131">
        <v>30620</v>
      </c>
      <c r="L131" t="s">
        <v>936</v>
      </c>
      <c r="M131" t="s">
        <v>939</v>
      </c>
    </row>
    <row r="132" spans="1:13" x14ac:dyDescent="0.3">
      <c r="A132" t="s">
        <v>823</v>
      </c>
      <c r="B132">
        <v>100</v>
      </c>
      <c r="C132">
        <v>9571252</v>
      </c>
      <c r="D132">
        <v>211340</v>
      </c>
      <c r="E132">
        <v>293</v>
      </c>
      <c r="F132">
        <v>418103</v>
      </c>
      <c r="G132">
        <v>307770634</v>
      </c>
      <c r="H132">
        <v>3756067</v>
      </c>
      <c r="I132">
        <v>51444</v>
      </c>
      <c r="J132">
        <v>8491243</v>
      </c>
      <c r="K132">
        <v>38853</v>
      </c>
      <c r="L132" t="s">
        <v>936</v>
      </c>
      <c r="M132" t="s">
        <v>937</v>
      </c>
    </row>
    <row r="133" spans="1:13" x14ac:dyDescent="0.3">
      <c r="A133" t="s">
        <v>840</v>
      </c>
      <c r="B133">
        <v>128</v>
      </c>
      <c r="C133">
        <v>9497649</v>
      </c>
      <c r="D133">
        <v>208362</v>
      </c>
      <c r="E133">
        <v>0</v>
      </c>
      <c r="F133">
        <v>0</v>
      </c>
      <c r="G133">
        <v>231982008</v>
      </c>
      <c r="H133">
        <v>2832690</v>
      </c>
      <c r="I133">
        <v>24709</v>
      </c>
      <c r="J133">
        <v>7092507</v>
      </c>
      <c r="K133">
        <v>35450</v>
      </c>
      <c r="L133" t="s">
        <v>936</v>
      </c>
      <c r="M133" t="s">
        <v>937</v>
      </c>
    </row>
    <row r="134" spans="1:13" x14ac:dyDescent="0.3">
      <c r="A134" t="s">
        <v>824</v>
      </c>
      <c r="B134">
        <v>108</v>
      </c>
      <c r="C134">
        <v>9320517</v>
      </c>
      <c r="D134">
        <v>189887</v>
      </c>
      <c r="E134">
        <v>450</v>
      </c>
      <c r="F134">
        <v>0</v>
      </c>
      <c r="G134">
        <v>262816181</v>
      </c>
      <c r="H134">
        <v>3009711</v>
      </c>
      <c r="I134">
        <v>6306</v>
      </c>
      <c r="J134">
        <v>5042586</v>
      </c>
      <c r="K134">
        <v>33153</v>
      </c>
      <c r="L134" t="s">
        <v>987</v>
      </c>
      <c r="M134" t="s">
        <v>959</v>
      </c>
    </row>
    <row r="135" spans="1:13" x14ac:dyDescent="0.3">
      <c r="A135" t="s">
        <v>842</v>
      </c>
      <c r="B135">
        <v>144</v>
      </c>
      <c r="C135">
        <v>9317932</v>
      </c>
      <c r="D135">
        <v>123955</v>
      </c>
      <c r="E135">
        <v>1700</v>
      </c>
      <c r="F135">
        <v>0</v>
      </c>
      <c r="G135">
        <v>223866984</v>
      </c>
      <c r="H135">
        <v>1911267</v>
      </c>
      <c r="I135">
        <v>87166</v>
      </c>
      <c r="J135">
        <v>3770795</v>
      </c>
      <c r="K135">
        <v>37750</v>
      </c>
      <c r="L135" t="s">
        <v>936</v>
      </c>
      <c r="M135" t="s">
        <v>946</v>
      </c>
    </row>
    <row r="136" spans="1:13" x14ac:dyDescent="0.3">
      <c r="A136" t="s">
        <v>846</v>
      </c>
      <c r="B136">
        <v>137</v>
      </c>
      <c r="C136">
        <v>9229428</v>
      </c>
      <c r="D136">
        <v>162209</v>
      </c>
      <c r="E136">
        <v>8100</v>
      </c>
      <c r="F136">
        <v>0</v>
      </c>
      <c r="G136">
        <v>241288332</v>
      </c>
      <c r="H136">
        <v>2610442</v>
      </c>
      <c r="I136">
        <v>138710</v>
      </c>
      <c r="J136">
        <v>3654670</v>
      </c>
      <c r="K136">
        <v>34550</v>
      </c>
      <c r="L136" t="s">
        <v>936</v>
      </c>
      <c r="M136" t="s">
        <v>942</v>
      </c>
    </row>
    <row r="137" spans="1:13" x14ac:dyDescent="0.3">
      <c r="A137" t="s">
        <v>871</v>
      </c>
      <c r="B137">
        <v>163</v>
      </c>
      <c r="C137">
        <v>9146672</v>
      </c>
      <c r="D137">
        <v>174437</v>
      </c>
      <c r="E137">
        <v>2412</v>
      </c>
      <c r="F137">
        <v>0</v>
      </c>
      <c r="G137">
        <v>184030599</v>
      </c>
      <c r="H137">
        <v>2005422</v>
      </c>
      <c r="I137">
        <v>10708</v>
      </c>
      <c r="J137">
        <v>4022349</v>
      </c>
      <c r="K137">
        <v>34319</v>
      </c>
      <c r="L137" t="s">
        <v>936</v>
      </c>
      <c r="M137" t="s">
        <v>959</v>
      </c>
    </row>
    <row r="138" spans="1:13" x14ac:dyDescent="0.3">
      <c r="A138" t="s">
        <v>977</v>
      </c>
      <c r="B138">
        <v>156</v>
      </c>
      <c r="C138">
        <v>9016020</v>
      </c>
      <c r="D138">
        <v>203726</v>
      </c>
      <c r="E138">
        <v>350</v>
      </c>
      <c r="F138">
        <v>0</v>
      </c>
      <c r="G138">
        <v>209682980</v>
      </c>
      <c r="H138">
        <v>2395911</v>
      </c>
      <c r="I138">
        <v>6747</v>
      </c>
      <c r="J138">
        <v>9466611</v>
      </c>
      <c r="K138">
        <v>37800</v>
      </c>
      <c r="L138" t="s">
        <v>936</v>
      </c>
      <c r="M138" t="s">
        <v>959</v>
      </c>
    </row>
    <row r="139" spans="1:13" x14ac:dyDescent="0.3">
      <c r="A139" t="s">
        <v>831</v>
      </c>
      <c r="B139">
        <v>126</v>
      </c>
      <c r="C139">
        <v>8820918</v>
      </c>
      <c r="D139">
        <v>205418</v>
      </c>
      <c r="E139">
        <v>2250</v>
      </c>
      <c r="F139">
        <v>2733118</v>
      </c>
      <c r="G139">
        <v>224327637</v>
      </c>
      <c r="H139">
        <v>2505902</v>
      </c>
      <c r="I139">
        <v>77777</v>
      </c>
      <c r="J139">
        <v>50577019</v>
      </c>
      <c r="K139">
        <v>31746</v>
      </c>
      <c r="L139" t="s">
        <v>936</v>
      </c>
      <c r="M139" t="s">
        <v>940</v>
      </c>
    </row>
    <row r="140" spans="1:13" x14ac:dyDescent="0.3">
      <c r="A140" t="s">
        <v>839</v>
      </c>
      <c r="B140">
        <v>127</v>
      </c>
      <c r="C140">
        <v>8701539</v>
      </c>
      <c r="D140">
        <v>178026</v>
      </c>
      <c r="E140">
        <v>4676</v>
      </c>
      <c r="F140">
        <v>0</v>
      </c>
      <c r="G140">
        <v>304512307</v>
      </c>
      <c r="H140">
        <v>3098495</v>
      </c>
      <c r="I140">
        <v>51106</v>
      </c>
      <c r="J140">
        <v>2529773</v>
      </c>
      <c r="K140">
        <v>39200</v>
      </c>
      <c r="L140" t="s">
        <v>936</v>
      </c>
      <c r="M140" t="s">
        <v>942</v>
      </c>
    </row>
    <row r="141" spans="1:13" x14ac:dyDescent="0.3">
      <c r="A141" t="s">
        <v>816</v>
      </c>
      <c r="B141">
        <v>94</v>
      </c>
      <c r="C141">
        <v>8699389</v>
      </c>
      <c r="D141">
        <v>162560</v>
      </c>
      <c r="E141">
        <v>687</v>
      </c>
      <c r="F141">
        <v>0</v>
      </c>
      <c r="G141">
        <v>275330259</v>
      </c>
      <c r="H141">
        <v>3747159</v>
      </c>
      <c r="I141">
        <v>113876</v>
      </c>
      <c r="J141">
        <v>2734459</v>
      </c>
      <c r="K141">
        <v>37120</v>
      </c>
      <c r="L141" t="s">
        <v>936</v>
      </c>
      <c r="M141" t="s">
        <v>940</v>
      </c>
    </row>
    <row r="142" spans="1:13" x14ac:dyDescent="0.3">
      <c r="A142" t="s">
        <v>884</v>
      </c>
      <c r="B142">
        <v>173</v>
      </c>
      <c r="C142">
        <v>8591612</v>
      </c>
      <c r="D142">
        <v>199738</v>
      </c>
      <c r="E142">
        <v>216</v>
      </c>
      <c r="F142">
        <v>0</v>
      </c>
      <c r="G142">
        <v>141009109</v>
      </c>
      <c r="H142">
        <v>2303813</v>
      </c>
      <c r="I142">
        <v>125100</v>
      </c>
      <c r="J142">
        <v>38833787</v>
      </c>
      <c r="K142">
        <v>28893</v>
      </c>
      <c r="L142" t="s">
        <v>936</v>
      </c>
      <c r="M142" t="s">
        <v>959</v>
      </c>
    </row>
    <row r="143" spans="1:13" x14ac:dyDescent="0.3">
      <c r="A143" t="s">
        <v>818</v>
      </c>
      <c r="B143">
        <v>93</v>
      </c>
      <c r="C143">
        <v>8464569</v>
      </c>
      <c r="D143">
        <v>198155</v>
      </c>
      <c r="E143">
        <v>8100</v>
      </c>
      <c r="F143">
        <v>0</v>
      </c>
      <c r="G143">
        <v>303136079</v>
      </c>
      <c r="H143">
        <v>3971698</v>
      </c>
      <c r="I143">
        <v>146378</v>
      </c>
      <c r="J143">
        <v>4891434</v>
      </c>
      <c r="K143">
        <v>40460</v>
      </c>
      <c r="L143" t="s">
        <v>987</v>
      </c>
      <c r="M143" t="s">
        <v>946</v>
      </c>
    </row>
    <row r="144" spans="1:13" x14ac:dyDescent="0.3">
      <c r="A144" t="s">
        <v>604</v>
      </c>
      <c r="B144">
        <v>131</v>
      </c>
      <c r="C144">
        <v>8459411</v>
      </c>
      <c r="D144">
        <v>182460</v>
      </c>
      <c r="E144">
        <v>101</v>
      </c>
      <c r="F144">
        <v>0</v>
      </c>
      <c r="G144">
        <v>263889459</v>
      </c>
      <c r="H144">
        <v>2562938</v>
      </c>
      <c r="I144">
        <v>25432</v>
      </c>
      <c r="J144">
        <v>8601549</v>
      </c>
      <c r="K144">
        <v>31483</v>
      </c>
      <c r="L144" t="s">
        <v>936</v>
      </c>
      <c r="M144" t="s">
        <v>945</v>
      </c>
    </row>
    <row r="145" spans="1:13" x14ac:dyDescent="0.3">
      <c r="A145" t="s">
        <v>766</v>
      </c>
      <c r="B145">
        <v>38</v>
      </c>
      <c r="C145">
        <v>8141933</v>
      </c>
      <c r="D145">
        <v>174327</v>
      </c>
      <c r="E145">
        <v>2250</v>
      </c>
      <c r="F145">
        <v>0</v>
      </c>
      <c r="G145">
        <v>372699473</v>
      </c>
      <c r="H145">
        <v>4909447</v>
      </c>
      <c r="I145">
        <v>62252</v>
      </c>
      <c r="J145">
        <v>2762450</v>
      </c>
      <c r="K145">
        <v>35440</v>
      </c>
      <c r="L145" t="s">
        <v>936</v>
      </c>
      <c r="M145" t="s">
        <v>937</v>
      </c>
    </row>
    <row r="146" spans="1:13" x14ac:dyDescent="0.3">
      <c r="A146" t="s">
        <v>838</v>
      </c>
      <c r="B146">
        <v>125</v>
      </c>
      <c r="C146">
        <v>8060956</v>
      </c>
      <c r="D146">
        <v>177869</v>
      </c>
      <c r="E146">
        <v>0</v>
      </c>
      <c r="F146">
        <v>0</v>
      </c>
      <c r="G146">
        <v>236598910</v>
      </c>
      <c r="H146">
        <v>2919121</v>
      </c>
      <c r="I146">
        <v>45920</v>
      </c>
      <c r="J146">
        <v>5152246</v>
      </c>
      <c r="K146">
        <v>34910</v>
      </c>
      <c r="L146" t="s">
        <v>936</v>
      </c>
      <c r="M146" t="s">
        <v>942</v>
      </c>
    </row>
    <row r="147" spans="1:13" x14ac:dyDescent="0.3">
      <c r="A147" t="s">
        <v>880</v>
      </c>
      <c r="B147">
        <v>178</v>
      </c>
      <c r="C147">
        <v>7961510</v>
      </c>
      <c r="D147">
        <v>50275</v>
      </c>
      <c r="E147">
        <v>0</v>
      </c>
      <c r="F147">
        <v>0</v>
      </c>
      <c r="G147">
        <v>167497088</v>
      </c>
      <c r="H147">
        <v>1187977</v>
      </c>
      <c r="I147">
        <v>49572</v>
      </c>
      <c r="J147">
        <v>2022935</v>
      </c>
      <c r="K147">
        <v>32560</v>
      </c>
      <c r="L147" t="s">
        <v>936</v>
      </c>
      <c r="M147" t="s">
        <v>942</v>
      </c>
    </row>
    <row r="148" spans="1:13" x14ac:dyDescent="0.3">
      <c r="A148" t="s">
        <v>886</v>
      </c>
      <c r="B148">
        <v>176</v>
      </c>
      <c r="C148">
        <v>7804525</v>
      </c>
      <c r="D148">
        <v>188830</v>
      </c>
      <c r="E148">
        <v>8600</v>
      </c>
      <c r="F148">
        <v>0</v>
      </c>
      <c r="G148">
        <v>164159285</v>
      </c>
      <c r="H148">
        <v>1706024</v>
      </c>
      <c r="I148">
        <v>64337</v>
      </c>
      <c r="J148">
        <v>6840688</v>
      </c>
      <c r="K148">
        <v>31730</v>
      </c>
      <c r="L148" t="s">
        <v>936</v>
      </c>
      <c r="M148" t="s">
        <v>959</v>
      </c>
    </row>
    <row r="149" spans="1:13" x14ac:dyDescent="0.3">
      <c r="A149" t="s">
        <v>869</v>
      </c>
      <c r="B149">
        <v>164</v>
      </c>
      <c r="C149">
        <v>7771168</v>
      </c>
      <c r="D149">
        <v>181474</v>
      </c>
      <c r="E149">
        <v>3600</v>
      </c>
      <c r="F149">
        <v>0</v>
      </c>
      <c r="G149">
        <v>182917279</v>
      </c>
      <c r="H149">
        <v>2191026</v>
      </c>
      <c r="I149">
        <v>92827</v>
      </c>
      <c r="J149">
        <v>2945065</v>
      </c>
      <c r="K149">
        <v>27240</v>
      </c>
      <c r="L149" t="s">
        <v>936</v>
      </c>
      <c r="M149" t="s">
        <v>940</v>
      </c>
    </row>
    <row r="150" spans="1:13" x14ac:dyDescent="0.3">
      <c r="A150" t="s">
        <v>862</v>
      </c>
      <c r="B150">
        <v>155</v>
      </c>
      <c r="C150">
        <v>7685608</v>
      </c>
      <c r="D150">
        <v>154739</v>
      </c>
      <c r="E150">
        <v>96</v>
      </c>
      <c r="F150">
        <v>0</v>
      </c>
      <c r="G150">
        <v>269592368</v>
      </c>
      <c r="H150">
        <v>2138577</v>
      </c>
      <c r="I150">
        <v>25357</v>
      </c>
      <c r="J150">
        <v>2262023</v>
      </c>
      <c r="K150">
        <v>40600</v>
      </c>
      <c r="L150" t="s">
        <v>936</v>
      </c>
      <c r="M150" t="s">
        <v>944</v>
      </c>
    </row>
    <row r="151" spans="1:13" x14ac:dyDescent="0.3">
      <c r="A151" t="s">
        <v>861</v>
      </c>
      <c r="B151">
        <v>161</v>
      </c>
      <c r="C151">
        <v>7657861</v>
      </c>
      <c r="D151">
        <v>162115</v>
      </c>
      <c r="E151">
        <v>2800</v>
      </c>
      <c r="F151">
        <v>0</v>
      </c>
      <c r="G151">
        <v>194328498</v>
      </c>
      <c r="H151">
        <v>1641075</v>
      </c>
      <c r="I151">
        <v>50368</v>
      </c>
      <c r="J151">
        <v>12560636</v>
      </c>
      <c r="K151">
        <v>33533</v>
      </c>
      <c r="L151" t="s">
        <v>936</v>
      </c>
      <c r="M151" t="s">
        <v>942</v>
      </c>
    </row>
    <row r="152" spans="1:13" x14ac:dyDescent="0.3">
      <c r="A152" t="s">
        <v>896</v>
      </c>
      <c r="B152">
        <v>188</v>
      </c>
      <c r="C152">
        <v>7627801</v>
      </c>
      <c r="D152">
        <v>89167</v>
      </c>
      <c r="E152">
        <v>350</v>
      </c>
      <c r="F152">
        <v>0</v>
      </c>
      <c r="G152">
        <v>160538611</v>
      </c>
      <c r="H152">
        <v>696116</v>
      </c>
      <c r="I152">
        <v>19187</v>
      </c>
      <c r="J152">
        <v>12551708</v>
      </c>
      <c r="K152">
        <v>31508</v>
      </c>
      <c r="L152" t="s">
        <v>936</v>
      </c>
      <c r="M152" t="s">
        <v>962</v>
      </c>
    </row>
    <row r="153" spans="1:13" x14ac:dyDescent="0.3">
      <c r="A153" t="s">
        <v>791</v>
      </c>
      <c r="B153">
        <v>77</v>
      </c>
      <c r="C153">
        <v>7595743</v>
      </c>
      <c r="D153">
        <v>144556</v>
      </c>
      <c r="E153">
        <v>0</v>
      </c>
      <c r="F153">
        <v>0</v>
      </c>
      <c r="G153">
        <v>325385018</v>
      </c>
      <c r="H153">
        <v>3933472</v>
      </c>
      <c r="I153">
        <v>59670</v>
      </c>
      <c r="J153">
        <v>3355651</v>
      </c>
      <c r="K153">
        <v>35790</v>
      </c>
      <c r="L153" t="s">
        <v>936</v>
      </c>
      <c r="M153" t="s">
        <v>939</v>
      </c>
    </row>
    <row r="154" spans="1:13" x14ac:dyDescent="0.3">
      <c r="A154" t="s">
        <v>827</v>
      </c>
      <c r="B154">
        <v>116</v>
      </c>
      <c r="C154">
        <v>7590888</v>
      </c>
      <c r="D154">
        <v>172621</v>
      </c>
      <c r="E154">
        <v>0</v>
      </c>
      <c r="F154">
        <v>0</v>
      </c>
      <c r="G154">
        <v>248932569</v>
      </c>
      <c r="H154">
        <v>3133559</v>
      </c>
      <c r="I154">
        <v>36746</v>
      </c>
      <c r="J154">
        <v>3415801</v>
      </c>
      <c r="K154">
        <v>37980</v>
      </c>
      <c r="L154" t="s">
        <v>936</v>
      </c>
      <c r="M154" t="s">
        <v>946</v>
      </c>
    </row>
    <row r="155" spans="1:13" x14ac:dyDescent="0.3">
      <c r="A155" t="s">
        <v>888</v>
      </c>
      <c r="B155">
        <v>182</v>
      </c>
      <c r="C155">
        <v>7526862</v>
      </c>
      <c r="D155">
        <v>84031</v>
      </c>
      <c r="E155">
        <v>357</v>
      </c>
      <c r="F155">
        <v>0</v>
      </c>
      <c r="G155">
        <v>137309247</v>
      </c>
      <c r="H155">
        <v>991245</v>
      </c>
      <c r="I155">
        <v>29480</v>
      </c>
      <c r="J155">
        <v>10097123</v>
      </c>
      <c r="K155">
        <v>30930</v>
      </c>
      <c r="L155" t="s">
        <v>936</v>
      </c>
      <c r="M155" t="s">
        <v>937</v>
      </c>
    </row>
    <row r="156" spans="1:13" x14ac:dyDescent="0.3">
      <c r="A156" t="s">
        <v>870</v>
      </c>
      <c r="B156">
        <v>162</v>
      </c>
      <c r="C156">
        <v>7308346</v>
      </c>
      <c r="D156">
        <v>151038</v>
      </c>
      <c r="E156">
        <v>0</v>
      </c>
      <c r="F156">
        <v>0</v>
      </c>
      <c r="G156">
        <v>215895427</v>
      </c>
      <c r="H156">
        <v>1895260</v>
      </c>
      <c r="I156">
        <v>47011</v>
      </c>
      <c r="J156">
        <v>3293993</v>
      </c>
      <c r="K156">
        <v>31230</v>
      </c>
      <c r="L156" t="s">
        <v>936</v>
      </c>
      <c r="M156" t="s">
        <v>944</v>
      </c>
    </row>
    <row r="157" spans="1:13" x14ac:dyDescent="0.3">
      <c r="A157" t="s">
        <v>843</v>
      </c>
      <c r="B157">
        <v>134</v>
      </c>
      <c r="C157">
        <v>7153218</v>
      </c>
      <c r="D157">
        <v>140890</v>
      </c>
      <c r="E157">
        <v>1764</v>
      </c>
      <c r="F157">
        <v>0</v>
      </c>
      <c r="G157">
        <v>215666582</v>
      </c>
      <c r="H157">
        <v>2707290</v>
      </c>
      <c r="I157">
        <v>58054</v>
      </c>
      <c r="J157">
        <v>3519551</v>
      </c>
      <c r="K157">
        <v>35173</v>
      </c>
      <c r="L157" t="s">
        <v>936</v>
      </c>
      <c r="M157" t="s">
        <v>962</v>
      </c>
    </row>
    <row r="158" spans="1:13" x14ac:dyDescent="0.3">
      <c r="A158" t="s">
        <v>876</v>
      </c>
      <c r="B158">
        <v>171</v>
      </c>
      <c r="C158">
        <v>7069478</v>
      </c>
      <c r="D158">
        <v>125521</v>
      </c>
      <c r="E158">
        <v>0</v>
      </c>
      <c r="F158">
        <v>0</v>
      </c>
      <c r="G158">
        <v>212336019</v>
      </c>
      <c r="H158">
        <v>1540798</v>
      </c>
      <c r="I158">
        <v>28244</v>
      </c>
      <c r="J158">
        <v>13900776</v>
      </c>
      <c r="K158">
        <v>36720</v>
      </c>
      <c r="L158" t="s">
        <v>936</v>
      </c>
      <c r="M158" t="s">
        <v>945</v>
      </c>
    </row>
    <row r="159" spans="1:13" x14ac:dyDescent="0.3">
      <c r="A159" t="s">
        <v>969</v>
      </c>
      <c r="B159">
        <v>109</v>
      </c>
      <c r="C159">
        <v>7028277</v>
      </c>
      <c r="D159">
        <v>140382</v>
      </c>
      <c r="E159">
        <v>350</v>
      </c>
      <c r="F159">
        <v>0</v>
      </c>
      <c r="G159">
        <v>316186871</v>
      </c>
      <c r="H159">
        <v>3121997</v>
      </c>
      <c r="I159">
        <v>28476</v>
      </c>
      <c r="J159">
        <v>17338769</v>
      </c>
      <c r="K159">
        <v>33946</v>
      </c>
      <c r="L159" t="s">
        <v>936</v>
      </c>
      <c r="M159" t="s">
        <v>946</v>
      </c>
    </row>
    <row r="160" spans="1:13" x14ac:dyDescent="0.3">
      <c r="A160" t="s">
        <v>817</v>
      </c>
      <c r="B160">
        <v>97</v>
      </c>
      <c r="C160">
        <v>6736091</v>
      </c>
      <c r="D160">
        <v>135104</v>
      </c>
      <c r="E160">
        <v>0</v>
      </c>
      <c r="F160">
        <v>0</v>
      </c>
      <c r="G160">
        <v>286495086</v>
      </c>
      <c r="H160">
        <v>3477306</v>
      </c>
      <c r="I160">
        <v>49596</v>
      </c>
      <c r="J160">
        <v>3612005</v>
      </c>
      <c r="K160">
        <v>32899</v>
      </c>
      <c r="L160" t="s">
        <v>936</v>
      </c>
      <c r="M160" t="s">
        <v>940</v>
      </c>
    </row>
    <row r="161" spans="1:13" x14ac:dyDescent="0.3">
      <c r="A161" t="s">
        <v>901</v>
      </c>
      <c r="B161">
        <v>195</v>
      </c>
      <c r="C161">
        <v>6520809</v>
      </c>
      <c r="D161">
        <v>23927</v>
      </c>
      <c r="E161">
        <v>350</v>
      </c>
      <c r="F161">
        <v>0</v>
      </c>
      <c r="G161">
        <v>110346748</v>
      </c>
      <c r="H161">
        <v>280899</v>
      </c>
      <c r="I161">
        <v>24102</v>
      </c>
      <c r="J161">
        <v>54100651</v>
      </c>
      <c r="K161">
        <v>23730</v>
      </c>
      <c r="L161" t="s">
        <v>936</v>
      </c>
      <c r="M161" t="s">
        <v>937</v>
      </c>
    </row>
    <row r="162" spans="1:13" x14ac:dyDescent="0.3">
      <c r="A162" t="s">
        <v>875</v>
      </c>
      <c r="B162">
        <v>169</v>
      </c>
      <c r="C162">
        <v>6356706</v>
      </c>
      <c r="D162">
        <v>96058</v>
      </c>
      <c r="E162">
        <v>15449</v>
      </c>
      <c r="F162">
        <v>0</v>
      </c>
      <c r="G162">
        <v>251802014</v>
      </c>
      <c r="H162">
        <v>1432108</v>
      </c>
      <c r="I162">
        <v>63223</v>
      </c>
      <c r="J162">
        <v>16918918</v>
      </c>
      <c r="K162">
        <v>39036</v>
      </c>
      <c r="L162" t="s">
        <v>936</v>
      </c>
      <c r="M162" t="s">
        <v>962</v>
      </c>
    </row>
    <row r="163" spans="1:13" x14ac:dyDescent="0.3">
      <c r="A163" t="s">
        <v>848</v>
      </c>
      <c r="B163">
        <v>140</v>
      </c>
      <c r="C163">
        <v>6269702</v>
      </c>
      <c r="D163">
        <v>111437</v>
      </c>
      <c r="E163">
        <v>11044</v>
      </c>
      <c r="F163">
        <v>0</v>
      </c>
      <c r="G163">
        <v>229908025</v>
      </c>
      <c r="H163">
        <v>2579483</v>
      </c>
      <c r="I163">
        <v>67014</v>
      </c>
      <c r="J163">
        <v>6223868</v>
      </c>
      <c r="K163">
        <v>36610</v>
      </c>
      <c r="L163" t="s">
        <v>987</v>
      </c>
      <c r="M163" t="s">
        <v>945</v>
      </c>
    </row>
    <row r="164" spans="1:13" x14ac:dyDescent="0.3">
      <c r="A164" t="s">
        <v>828</v>
      </c>
      <c r="B164">
        <v>121</v>
      </c>
      <c r="C164">
        <v>6241137</v>
      </c>
      <c r="D164">
        <v>140034</v>
      </c>
      <c r="E164">
        <v>6750</v>
      </c>
      <c r="F164">
        <v>0</v>
      </c>
      <c r="G164">
        <v>234884735</v>
      </c>
      <c r="H164">
        <v>2803273</v>
      </c>
      <c r="I164">
        <v>71951</v>
      </c>
      <c r="J164">
        <v>13759215</v>
      </c>
      <c r="K164">
        <v>34406</v>
      </c>
      <c r="L164" t="s">
        <v>936</v>
      </c>
      <c r="M164" t="s">
        <v>946</v>
      </c>
    </row>
    <row r="165" spans="1:13" x14ac:dyDescent="0.3">
      <c r="A165" t="s">
        <v>821</v>
      </c>
      <c r="B165">
        <v>101</v>
      </c>
      <c r="C165">
        <v>6235588</v>
      </c>
      <c r="D165">
        <v>122862</v>
      </c>
      <c r="E165">
        <v>0</v>
      </c>
      <c r="F165">
        <v>0</v>
      </c>
      <c r="G165">
        <v>325459749</v>
      </c>
      <c r="H165">
        <v>3542560</v>
      </c>
      <c r="I165">
        <v>59195</v>
      </c>
      <c r="J165">
        <v>4680527</v>
      </c>
      <c r="K165">
        <v>39475</v>
      </c>
      <c r="L165" t="s">
        <v>987</v>
      </c>
      <c r="M165" t="s">
        <v>946</v>
      </c>
    </row>
    <row r="166" spans="1:13" x14ac:dyDescent="0.3">
      <c r="A166" t="s">
        <v>832</v>
      </c>
      <c r="B166">
        <v>124</v>
      </c>
      <c r="C166">
        <v>6038587</v>
      </c>
      <c r="D166">
        <v>98246</v>
      </c>
      <c r="E166">
        <v>2700</v>
      </c>
      <c r="F166">
        <v>8970689</v>
      </c>
      <c r="G166">
        <v>229109490</v>
      </c>
      <c r="H166">
        <v>2572552</v>
      </c>
      <c r="I166">
        <v>108552</v>
      </c>
      <c r="J166">
        <v>56038658</v>
      </c>
      <c r="K166">
        <v>30350</v>
      </c>
      <c r="L166" t="s">
        <v>936</v>
      </c>
      <c r="M166" t="s">
        <v>946</v>
      </c>
    </row>
    <row r="167" spans="1:13" x14ac:dyDescent="0.3">
      <c r="A167" t="s">
        <v>863</v>
      </c>
      <c r="B167">
        <v>152</v>
      </c>
      <c r="C167">
        <v>6037853</v>
      </c>
      <c r="D167">
        <v>120874</v>
      </c>
      <c r="E167">
        <v>192</v>
      </c>
      <c r="F167">
        <v>2014242</v>
      </c>
      <c r="G167">
        <v>210001119</v>
      </c>
      <c r="H167">
        <v>2123128</v>
      </c>
      <c r="I167">
        <v>17622</v>
      </c>
      <c r="J167">
        <v>35239476</v>
      </c>
      <c r="K167">
        <v>43380</v>
      </c>
      <c r="L167" t="s">
        <v>936</v>
      </c>
      <c r="M167" t="s">
        <v>959</v>
      </c>
    </row>
    <row r="168" spans="1:13" x14ac:dyDescent="0.3">
      <c r="A168" t="s">
        <v>885</v>
      </c>
      <c r="B168">
        <v>179</v>
      </c>
      <c r="C168">
        <v>6005329</v>
      </c>
      <c r="D168">
        <v>120400</v>
      </c>
      <c r="E168">
        <v>1400</v>
      </c>
      <c r="F168">
        <v>0</v>
      </c>
      <c r="G168">
        <v>159230466</v>
      </c>
      <c r="H168">
        <v>1450909</v>
      </c>
      <c r="I168">
        <v>11101</v>
      </c>
      <c r="J168">
        <v>4030908</v>
      </c>
      <c r="K168">
        <v>31345</v>
      </c>
      <c r="L168" t="s">
        <v>936</v>
      </c>
      <c r="M168" t="s">
        <v>959</v>
      </c>
    </row>
    <row r="169" spans="1:13" x14ac:dyDescent="0.3">
      <c r="A169" t="s">
        <v>882</v>
      </c>
      <c r="B169">
        <v>175</v>
      </c>
      <c r="C169">
        <v>5986976</v>
      </c>
      <c r="D169">
        <v>119375</v>
      </c>
      <c r="E169">
        <v>1400</v>
      </c>
      <c r="F169">
        <v>0</v>
      </c>
      <c r="G169">
        <v>167083547</v>
      </c>
      <c r="H169">
        <v>1462857</v>
      </c>
      <c r="I169">
        <v>12140</v>
      </c>
      <c r="J169">
        <v>4024234</v>
      </c>
      <c r="K169">
        <v>29718</v>
      </c>
      <c r="L169" t="s">
        <v>936</v>
      </c>
      <c r="M169" t="s">
        <v>959</v>
      </c>
    </row>
    <row r="170" spans="1:13" x14ac:dyDescent="0.3">
      <c r="A170" t="s">
        <v>879</v>
      </c>
      <c r="B170">
        <v>172</v>
      </c>
      <c r="C170">
        <v>5839269</v>
      </c>
      <c r="D170">
        <v>116823</v>
      </c>
      <c r="E170">
        <v>0</v>
      </c>
      <c r="F170">
        <v>0</v>
      </c>
      <c r="G170">
        <v>155828653</v>
      </c>
      <c r="H170">
        <v>1517418</v>
      </c>
      <c r="I170">
        <v>12812</v>
      </c>
      <c r="J170">
        <v>1523337</v>
      </c>
      <c r="K170">
        <v>28120</v>
      </c>
      <c r="L170" t="s">
        <v>936</v>
      </c>
      <c r="M170" t="s">
        <v>942</v>
      </c>
    </row>
    <row r="171" spans="1:13" x14ac:dyDescent="0.3">
      <c r="A171" t="s">
        <v>890</v>
      </c>
      <c r="B171">
        <v>184</v>
      </c>
      <c r="C171">
        <v>5704707</v>
      </c>
      <c r="D171">
        <v>104557</v>
      </c>
      <c r="E171">
        <v>1800</v>
      </c>
      <c r="F171">
        <v>0</v>
      </c>
      <c r="G171">
        <v>114969529</v>
      </c>
      <c r="H171">
        <v>908372</v>
      </c>
      <c r="I171">
        <v>13773</v>
      </c>
      <c r="J171">
        <v>11815276</v>
      </c>
      <c r="K171">
        <v>30310</v>
      </c>
      <c r="L171" t="s">
        <v>936</v>
      </c>
      <c r="M171" t="s">
        <v>942</v>
      </c>
    </row>
    <row r="172" spans="1:13" x14ac:dyDescent="0.3">
      <c r="A172" t="s">
        <v>856</v>
      </c>
      <c r="B172">
        <v>157</v>
      </c>
      <c r="C172">
        <v>5339721</v>
      </c>
      <c r="D172">
        <v>124872</v>
      </c>
      <c r="E172">
        <v>350</v>
      </c>
      <c r="F172">
        <v>0</v>
      </c>
      <c r="G172">
        <v>129698068</v>
      </c>
      <c r="H172">
        <v>1827059</v>
      </c>
      <c r="I172">
        <v>38844</v>
      </c>
      <c r="J172">
        <v>37620030</v>
      </c>
      <c r="K172">
        <v>17328</v>
      </c>
      <c r="L172" t="s">
        <v>936</v>
      </c>
      <c r="M172" t="s">
        <v>939</v>
      </c>
    </row>
    <row r="173" spans="1:13" x14ac:dyDescent="0.3">
      <c r="A173" t="s">
        <v>877</v>
      </c>
      <c r="B173">
        <v>170</v>
      </c>
      <c r="C173">
        <v>5265560</v>
      </c>
      <c r="D173">
        <v>105341</v>
      </c>
      <c r="E173">
        <v>0</v>
      </c>
      <c r="F173">
        <v>0</v>
      </c>
      <c r="G173">
        <v>206931612</v>
      </c>
      <c r="H173">
        <v>1680267</v>
      </c>
      <c r="I173">
        <v>33253</v>
      </c>
      <c r="J173">
        <v>11408653</v>
      </c>
      <c r="K173">
        <v>37720</v>
      </c>
      <c r="L173" t="s">
        <v>936</v>
      </c>
      <c r="M173" t="s">
        <v>942</v>
      </c>
    </row>
    <row r="174" spans="1:13" x14ac:dyDescent="0.3">
      <c r="A174" t="s">
        <v>860</v>
      </c>
      <c r="B174">
        <v>159</v>
      </c>
      <c r="C174">
        <v>5099622</v>
      </c>
      <c r="D174">
        <v>82067</v>
      </c>
      <c r="E174">
        <v>0</v>
      </c>
      <c r="F174">
        <v>0</v>
      </c>
      <c r="G174">
        <v>141537820</v>
      </c>
      <c r="H174">
        <v>1925454</v>
      </c>
      <c r="I174">
        <v>19570</v>
      </c>
      <c r="J174">
        <v>35790793</v>
      </c>
      <c r="K174">
        <v>31263</v>
      </c>
      <c r="L174" t="s">
        <v>987</v>
      </c>
      <c r="M174" t="s">
        <v>946</v>
      </c>
    </row>
    <row r="175" spans="1:13" x14ac:dyDescent="0.3">
      <c r="A175" t="s">
        <v>858</v>
      </c>
      <c r="B175">
        <v>151</v>
      </c>
      <c r="C175">
        <v>4893866</v>
      </c>
      <c r="D175">
        <v>97913</v>
      </c>
      <c r="E175">
        <v>900</v>
      </c>
      <c r="F175">
        <v>0</v>
      </c>
      <c r="G175">
        <v>280477731</v>
      </c>
      <c r="H175">
        <v>1995944</v>
      </c>
      <c r="I175">
        <v>59137</v>
      </c>
      <c r="J175">
        <v>38613980</v>
      </c>
      <c r="K175">
        <v>35410</v>
      </c>
      <c r="L175" t="s">
        <v>936</v>
      </c>
      <c r="M175" t="s">
        <v>942</v>
      </c>
    </row>
    <row r="176" spans="1:13" x14ac:dyDescent="0.3">
      <c r="A176" t="s">
        <v>868</v>
      </c>
      <c r="B176">
        <v>165</v>
      </c>
      <c r="C176">
        <v>4798002</v>
      </c>
      <c r="D176">
        <v>83857</v>
      </c>
      <c r="E176">
        <v>0</v>
      </c>
      <c r="F176">
        <v>739689</v>
      </c>
      <c r="G176">
        <v>148304134</v>
      </c>
      <c r="H176">
        <v>1635336</v>
      </c>
      <c r="I176">
        <v>15497</v>
      </c>
      <c r="J176">
        <v>36851676</v>
      </c>
      <c r="K176">
        <v>35503</v>
      </c>
      <c r="L176" t="s">
        <v>936</v>
      </c>
      <c r="M176" t="s">
        <v>962</v>
      </c>
    </row>
    <row r="177" spans="1:13" x14ac:dyDescent="0.3">
      <c r="A177" t="s">
        <v>873</v>
      </c>
      <c r="B177">
        <v>168</v>
      </c>
      <c r="C177">
        <v>4754467</v>
      </c>
      <c r="D177">
        <v>109693</v>
      </c>
      <c r="E177">
        <v>0</v>
      </c>
      <c r="F177">
        <v>0</v>
      </c>
      <c r="G177">
        <v>204341558</v>
      </c>
      <c r="H177">
        <v>1846621</v>
      </c>
      <c r="I177">
        <v>33716</v>
      </c>
      <c r="J177">
        <v>6642651</v>
      </c>
      <c r="K177">
        <v>33983</v>
      </c>
      <c r="L177" t="s">
        <v>936</v>
      </c>
      <c r="M177" t="s">
        <v>937</v>
      </c>
    </row>
    <row r="178" spans="1:13" x14ac:dyDescent="0.3">
      <c r="A178" t="s">
        <v>881</v>
      </c>
      <c r="B178">
        <v>177</v>
      </c>
      <c r="C178">
        <v>4744709</v>
      </c>
      <c r="D178">
        <v>96572</v>
      </c>
      <c r="E178">
        <v>0</v>
      </c>
      <c r="F178">
        <v>0</v>
      </c>
      <c r="G178">
        <v>150595278</v>
      </c>
      <c r="H178">
        <v>1269688</v>
      </c>
      <c r="I178">
        <v>5980</v>
      </c>
      <c r="J178">
        <v>3912709</v>
      </c>
      <c r="K178">
        <v>32133</v>
      </c>
      <c r="L178" t="s">
        <v>936</v>
      </c>
      <c r="M178" t="s">
        <v>940</v>
      </c>
    </row>
    <row r="179" spans="1:13" x14ac:dyDescent="0.3">
      <c r="A179" t="s">
        <v>819</v>
      </c>
      <c r="B179">
        <v>102</v>
      </c>
      <c r="C179">
        <v>4501711</v>
      </c>
      <c r="D179">
        <v>90060</v>
      </c>
      <c r="E179">
        <v>0</v>
      </c>
      <c r="F179">
        <v>0</v>
      </c>
      <c r="G179">
        <v>237308292</v>
      </c>
      <c r="H179">
        <v>3194097</v>
      </c>
      <c r="I179">
        <v>61557</v>
      </c>
      <c r="J179">
        <v>8640603</v>
      </c>
      <c r="K179">
        <v>27203</v>
      </c>
      <c r="L179" t="s">
        <v>936</v>
      </c>
      <c r="M179" t="s">
        <v>946</v>
      </c>
    </row>
    <row r="180" spans="1:13" x14ac:dyDescent="0.3">
      <c r="A180" t="s">
        <v>854</v>
      </c>
      <c r="B180">
        <v>153</v>
      </c>
      <c r="C180">
        <v>4449162</v>
      </c>
      <c r="D180">
        <v>89913</v>
      </c>
      <c r="E180">
        <v>0</v>
      </c>
      <c r="F180">
        <v>0</v>
      </c>
      <c r="G180">
        <v>219004399</v>
      </c>
      <c r="H180">
        <v>1885099</v>
      </c>
      <c r="I180">
        <v>26223</v>
      </c>
      <c r="J180">
        <v>3243805</v>
      </c>
      <c r="K180">
        <v>18793</v>
      </c>
      <c r="L180" t="s">
        <v>936</v>
      </c>
      <c r="M180" t="s">
        <v>942</v>
      </c>
    </row>
    <row r="181" spans="1:13" x14ac:dyDescent="0.3">
      <c r="A181" t="s">
        <v>966</v>
      </c>
      <c r="B181">
        <v>146</v>
      </c>
      <c r="C181">
        <v>4379733</v>
      </c>
      <c r="D181">
        <v>89194</v>
      </c>
      <c r="E181">
        <v>0</v>
      </c>
      <c r="F181">
        <v>0</v>
      </c>
      <c r="G181">
        <v>243627599</v>
      </c>
      <c r="H181">
        <v>2559799</v>
      </c>
      <c r="I181">
        <v>6084</v>
      </c>
      <c r="J181">
        <v>8821778</v>
      </c>
      <c r="K181">
        <v>40810</v>
      </c>
      <c r="L181" t="s">
        <v>936</v>
      </c>
      <c r="M181" t="s">
        <v>940</v>
      </c>
    </row>
    <row r="182" spans="1:13" x14ac:dyDescent="0.3">
      <c r="A182" t="s">
        <v>835</v>
      </c>
      <c r="B182">
        <v>130</v>
      </c>
      <c r="C182">
        <v>4279131</v>
      </c>
      <c r="D182">
        <v>91530</v>
      </c>
      <c r="E182">
        <v>0</v>
      </c>
      <c r="F182">
        <v>0</v>
      </c>
      <c r="G182">
        <v>258552712</v>
      </c>
      <c r="H182">
        <v>2344211</v>
      </c>
      <c r="I182">
        <v>32568</v>
      </c>
      <c r="J182">
        <v>4525150</v>
      </c>
      <c r="K182">
        <v>36713</v>
      </c>
      <c r="L182" t="s">
        <v>936</v>
      </c>
      <c r="M182" t="s">
        <v>944</v>
      </c>
    </row>
    <row r="183" spans="1:13" x14ac:dyDescent="0.3">
      <c r="A183" t="s">
        <v>891</v>
      </c>
      <c r="B183">
        <v>183</v>
      </c>
      <c r="C183">
        <v>4041984</v>
      </c>
      <c r="D183">
        <v>83751</v>
      </c>
      <c r="E183">
        <v>10800</v>
      </c>
      <c r="F183">
        <v>0</v>
      </c>
      <c r="G183">
        <v>69880571</v>
      </c>
      <c r="H183">
        <v>669497</v>
      </c>
      <c r="I183">
        <v>10800</v>
      </c>
      <c r="J183">
        <v>51514017</v>
      </c>
      <c r="K183">
        <v>24015</v>
      </c>
      <c r="L183" t="s">
        <v>973</v>
      </c>
      <c r="M183" t="s">
        <v>959</v>
      </c>
    </row>
    <row r="184" spans="1:13" x14ac:dyDescent="0.3">
      <c r="A184" t="s">
        <v>878</v>
      </c>
      <c r="B184">
        <v>174</v>
      </c>
      <c r="C184">
        <v>3783663</v>
      </c>
      <c r="D184">
        <v>75705</v>
      </c>
      <c r="E184">
        <v>0</v>
      </c>
      <c r="F184">
        <v>0</v>
      </c>
      <c r="G184">
        <v>163497517</v>
      </c>
      <c r="H184">
        <v>1354904</v>
      </c>
      <c r="I184">
        <v>26727</v>
      </c>
      <c r="J184">
        <v>3024324</v>
      </c>
      <c r="K184">
        <v>36390</v>
      </c>
      <c r="L184" t="s">
        <v>936</v>
      </c>
      <c r="M184" t="s">
        <v>962</v>
      </c>
    </row>
    <row r="185" spans="1:13" x14ac:dyDescent="0.3">
      <c r="A185" t="s">
        <v>883</v>
      </c>
      <c r="B185">
        <v>180</v>
      </c>
      <c r="C185">
        <v>3474466</v>
      </c>
      <c r="D185">
        <v>70226</v>
      </c>
      <c r="E185">
        <v>2800</v>
      </c>
      <c r="F185">
        <v>0</v>
      </c>
      <c r="G185">
        <v>131688423</v>
      </c>
      <c r="H185">
        <v>1140386</v>
      </c>
      <c r="I185">
        <v>27475</v>
      </c>
      <c r="J185">
        <v>8057288</v>
      </c>
      <c r="K185">
        <v>35060</v>
      </c>
      <c r="L185" t="s">
        <v>936</v>
      </c>
      <c r="M185" t="s">
        <v>962</v>
      </c>
    </row>
    <row r="186" spans="1:13" x14ac:dyDescent="0.3">
      <c r="A186" t="s">
        <v>894</v>
      </c>
      <c r="B186">
        <v>187</v>
      </c>
      <c r="C186">
        <v>3162611</v>
      </c>
      <c r="D186">
        <v>64734</v>
      </c>
      <c r="E186">
        <v>0</v>
      </c>
      <c r="F186">
        <v>0</v>
      </c>
      <c r="G186">
        <v>107161838</v>
      </c>
      <c r="H186">
        <v>713032</v>
      </c>
      <c r="I186">
        <v>7644</v>
      </c>
      <c r="J186">
        <v>6188510</v>
      </c>
      <c r="K186">
        <v>25160</v>
      </c>
      <c r="L186" t="s">
        <v>936</v>
      </c>
      <c r="M186" t="s">
        <v>940</v>
      </c>
    </row>
    <row r="187" spans="1:13" x14ac:dyDescent="0.3">
      <c r="A187" t="s">
        <v>892</v>
      </c>
      <c r="B187">
        <v>186</v>
      </c>
      <c r="C187">
        <v>3044467</v>
      </c>
      <c r="D187">
        <v>60912</v>
      </c>
      <c r="E187">
        <v>0</v>
      </c>
      <c r="F187">
        <v>0</v>
      </c>
      <c r="G187">
        <v>114977813</v>
      </c>
      <c r="H187">
        <v>740467</v>
      </c>
      <c r="I187">
        <v>4977</v>
      </c>
      <c r="J187">
        <v>15924862</v>
      </c>
      <c r="K187">
        <v>33503</v>
      </c>
      <c r="L187" t="s">
        <v>936</v>
      </c>
      <c r="M187" t="s">
        <v>962</v>
      </c>
    </row>
    <row r="188" spans="1:13" x14ac:dyDescent="0.3">
      <c r="A188" t="s">
        <v>898</v>
      </c>
      <c r="B188">
        <v>191</v>
      </c>
      <c r="C188">
        <v>2929797</v>
      </c>
      <c r="D188">
        <v>62019</v>
      </c>
      <c r="E188">
        <v>178</v>
      </c>
      <c r="F188">
        <v>0</v>
      </c>
      <c r="G188">
        <v>88091698</v>
      </c>
      <c r="H188">
        <v>605645</v>
      </c>
      <c r="I188">
        <v>16144</v>
      </c>
      <c r="J188">
        <v>49390691</v>
      </c>
      <c r="K188">
        <v>22563</v>
      </c>
      <c r="L188" t="s">
        <v>936</v>
      </c>
      <c r="M188" t="s">
        <v>937</v>
      </c>
    </row>
    <row r="189" spans="1:13" x14ac:dyDescent="0.3">
      <c r="A189" t="s">
        <v>895</v>
      </c>
      <c r="B189">
        <v>190</v>
      </c>
      <c r="C189">
        <v>2850293</v>
      </c>
      <c r="D189">
        <v>57028</v>
      </c>
      <c r="E189">
        <v>0</v>
      </c>
      <c r="F189">
        <v>0</v>
      </c>
      <c r="G189">
        <v>124435863</v>
      </c>
      <c r="H189">
        <v>604255</v>
      </c>
      <c r="I189">
        <v>13297</v>
      </c>
      <c r="J189">
        <v>9629723</v>
      </c>
      <c r="K189">
        <v>33769</v>
      </c>
      <c r="L189" t="s">
        <v>936</v>
      </c>
      <c r="M189" t="s">
        <v>962</v>
      </c>
    </row>
    <row r="190" spans="1:13" x14ac:dyDescent="0.3">
      <c r="A190" t="s">
        <v>889</v>
      </c>
      <c r="B190">
        <v>185</v>
      </c>
      <c r="C190">
        <v>2805250</v>
      </c>
      <c r="D190">
        <v>57394</v>
      </c>
      <c r="E190">
        <v>0</v>
      </c>
      <c r="F190">
        <v>1027076</v>
      </c>
      <c r="G190">
        <v>137426787</v>
      </c>
      <c r="H190">
        <v>884715</v>
      </c>
      <c r="I190">
        <v>30181</v>
      </c>
      <c r="J190">
        <v>8027071</v>
      </c>
      <c r="K190">
        <v>30963</v>
      </c>
      <c r="L190" t="s">
        <v>936</v>
      </c>
      <c r="M190" t="s">
        <v>962</v>
      </c>
    </row>
    <row r="191" spans="1:13" x14ac:dyDescent="0.3">
      <c r="A191" t="s">
        <v>899</v>
      </c>
      <c r="B191">
        <v>192</v>
      </c>
      <c r="C191">
        <v>2214278</v>
      </c>
      <c r="D191">
        <v>72185</v>
      </c>
      <c r="E191">
        <v>4500</v>
      </c>
      <c r="F191">
        <v>0</v>
      </c>
      <c r="G191">
        <v>80108718</v>
      </c>
      <c r="H191">
        <v>657741</v>
      </c>
      <c r="I191">
        <v>41586</v>
      </c>
      <c r="J191">
        <v>64649956</v>
      </c>
      <c r="K191">
        <v>23300</v>
      </c>
      <c r="L191" t="s">
        <v>936</v>
      </c>
      <c r="M191" t="s">
        <v>945</v>
      </c>
    </row>
    <row r="192" spans="1:13" x14ac:dyDescent="0.3">
      <c r="A192" t="s">
        <v>975</v>
      </c>
      <c r="B192">
        <v>158</v>
      </c>
      <c r="C192">
        <v>1888500</v>
      </c>
      <c r="D192">
        <v>37783</v>
      </c>
      <c r="E192">
        <v>0</v>
      </c>
      <c r="F192">
        <v>0</v>
      </c>
      <c r="G192">
        <v>164468285</v>
      </c>
      <c r="H192">
        <v>1846228</v>
      </c>
      <c r="I192">
        <v>60531</v>
      </c>
      <c r="J192">
        <v>5539743</v>
      </c>
      <c r="K192">
        <v>35100</v>
      </c>
      <c r="L192" t="s">
        <v>936</v>
      </c>
      <c r="M192" t="s">
        <v>945</v>
      </c>
    </row>
    <row r="193" spans="1:13" x14ac:dyDescent="0.3">
      <c r="A193" t="s">
        <v>980</v>
      </c>
      <c r="B193">
        <v>196</v>
      </c>
      <c r="C193">
        <v>1685398</v>
      </c>
      <c r="D193">
        <v>76272</v>
      </c>
      <c r="E193">
        <v>15250</v>
      </c>
      <c r="F193">
        <v>1326439</v>
      </c>
      <c r="G193">
        <v>33985045</v>
      </c>
      <c r="H193">
        <v>283233</v>
      </c>
      <c r="I193">
        <v>48700</v>
      </c>
      <c r="J193">
        <v>69365151</v>
      </c>
      <c r="K193">
        <v>13853</v>
      </c>
      <c r="L193" t="s">
        <v>936</v>
      </c>
      <c r="M193" t="s">
        <v>959</v>
      </c>
    </row>
    <row r="194" spans="1:13" x14ac:dyDescent="0.3">
      <c r="A194" t="s">
        <v>900</v>
      </c>
      <c r="B194">
        <v>194</v>
      </c>
      <c r="C194">
        <v>1553266</v>
      </c>
      <c r="D194">
        <v>28735</v>
      </c>
      <c r="E194">
        <v>1160</v>
      </c>
      <c r="F194">
        <v>15098466</v>
      </c>
      <c r="G194">
        <v>53793167</v>
      </c>
      <c r="H194">
        <v>347904</v>
      </c>
      <c r="I194">
        <v>20235</v>
      </c>
      <c r="J194">
        <v>92420793</v>
      </c>
      <c r="K194">
        <v>17470</v>
      </c>
      <c r="L194" t="s">
        <v>936</v>
      </c>
      <c r="M194" t="s">
        <v>937</v>
      </c>
    </row>
    <row r="195" spans="1:13" x14ac:dyDescent="0.3">
      <c r="A195" t="s">
        <v>851</v>
      </c>
      <c r="B195">
        <v>150</v>
      </c>
      <c r="C195">
        <v>1492679</v>
      </c>
      <c r="D195">
        <v>33607</v>
      </c>
      <c r="E195">
        <v>1350</v>
      </c>
      <c r="F195">
        <v>0</v>
      </c>
      <c r="G195">
        <v>167018136</v>
      </c>
      <c r="H195">
        <v>1922641</v>
      </c>
      <c r="I195">
        <v>51320</v>
      </c>
      <c r="J195">
        <v>4801442</v>
      </c>
      <c r="K195">
        <v>30640</v>
      </c>
      <c r="L195" t="s">
        <v>936</v>
      </c>
      <c r="M195" t="s">
        <v>940</v>
      </c>
    </row>
    <row r="196" spans="1:13" x14ac:dyDescent="0.3">
      <c r="A196" t="s">
        <v>893</v>
      </c>
      <c r="B196">
        <v>189</v>
      </c>
      <c r="C196">
        <v>332065</v>
      </c>
      <c r="D196">
        <v>2933</v>
      </c>
      <c r="E196">
        <v>0</v>
      </c>
      <c r="F196">
        <v>18544430</v>
      </c>
      <c r="G196">
        <v>43224062</v>
      </c>
      <c r="H196">
        <v>457104</v>
      </c>
      <c r="I196">
        <v>76192</v>
      </c>
      <c r="J196">
        <v>308130898</v>
      </c>
      <c r="K196">
        <v>20506</v>
      </c>
      <c r="L196" t="s">
        <v>936</v>
      </c>
      <c r="M196" t="s">
        <v>937</v>
      </c>
    </row>
    <row r="197" spans="1:13" x14ac:dyDescent="0.3">
      <c r="A197" t="s">
        <v>897</v>
      </c>
      <c r="B197">
        <v>193</v>
      </c>
      <c r="C197">
        <v>0</v>
      </c>
      <c r="D197">
        <v>0</v>
      </c>
      <c r="E197">
        <v>0</v>
      </c>
      <c r="F197">
        <v>0</v>
      </c>
      <c r="G197">
        <v>57051857</v>
      </c>
      <c r="H197">
        <v>312495</v>
      </c>
      <c r="I197">
        <v>5816</v>
      </c>
      <c r="J197">
        <v>2216756</v>
      </c>
      <c r="K197">
        <v>23480</v>
      </c>
      <c r="L197" t="s">
        <v>936</v>
      </c>
      <c r="M197" t="s">
        <v>937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C799-47BB-4928-B044-82F635E33F8C}">
  <dimension ref="A1:M197"/>
  <sheetViews>
    <sheetView workbookViewId="0">
      <selection sqref="A1:M197"/>
    </sheetView>
  </sheetViews>
  <sheetFormatPr defaultRowHeight="16.5" x14ac:dyDescent="0.3"/>
  <sheetData>
    <row r="1" spans="1:13" x14ac:dyDescent="0.3">
      <c r="A1" t="s">
        <v>923</v>
      </c>
      <c r="B1" t="s">
        <v>924</v>
      </c>
      <c r="C1" t="s">
        <v>925</v>
      </c>
      <c r="D1" t="s">
        <v>926</v>
      </c>
      <c r="E1" t="s">
        <v>927</v>
      </c>
      <c r="F1" t="s">
        <v>928</v>
      </c>
      <c r="G1" t="s">
        <v>929</v>
      </c>
      <c r="H1" t="s">
        <v>930</v>
      </c>
      <c r="I1" t="s">
        <v>931</v>
      </c>
      <c r="J1" t="s">
        <v>932</v>
      </c>
      <c r="K1" t="s">
        <v>933</v>
      </c>
      <c r="L1" t="s">
        <v>934</v>
      </c>
      <c r="M1" t="s">
        <v>935</v>
      </c>
    </row>
    <row r="2" spans="1:13" x14ac:dyDescent="0.3">
      <c r="A2" t="s">
        <v>746</v>
      </c>
      <c r="B2">
        <v>9</v>
      </c>
      <c r="C2">
        <v>34182564</v>
      </c>
      <c r="D2">
        <v>731367</v>
      </c>
      <c r="E2">
        <v>1078</v>
      </c>
      <c r="F2">
        <v>0</v>
      </c>
      <c r="G2">
        <v>483776418</v>
      </c>
      <c r="H2">
        <v>7459775</v>
      </c>
      <c r="I2">
        <v>61723</v>
      </c>
      <c r="J2">
        <v>2964363</v>
      </c>
      <c r="K2">
        <v>38540</v>
      </c>
      <c r="L2" t="s">
        <v>936</v>
      </c>
      <c r="M2" t="s">
        <v>943</v>
      </c>
    </row>
    <row r="3" spans="1:13" x14ac:dyDescent="0.3">
      <c r="A3" t="s">
        <v>752</v>
      </c>
      <c r="B3">
        <v>12</v>
      </c>
      <c r="C3">
        <v>36247920</v>
      </c>
      <c r="D3">
        <v>784748</v>
      </c>
      <c r="E3">
        <v>3600</v>
      </c>
      <c r="F3">
        <v>0</v>
      </c>
      <c r="G3">
        <v>473782150</v>
      </c>
      <c r="H3">
        <v>6947554</v>
      </c>
      <c r="I3">
        <v>67655</v>
      </c>
      <c r="J3">
        <v>3457225</v>
      </c>
      <c r="K3">
        <v>44840</v>
      </c>
      <c r="L3" t="s">
        <v>936</v>
      </c>
      <c r="M3" t="s">
        <v>943</v>
      </c>
    </row>
    <row r="4" spans="1:13" x14ac:dyDescent="0.3">
      <c r="A4" t="s">
        <v>745</v>
      </c>
      <c r="B4">
        <v>10</v>
      </c>
      <c r="C4">
        <v>28795035</v>
      </c>
      <c r="D4">
        <v>628447</v>
      </c>
      <c r="E4">
        <v>531</v>
      </c>
      <c r="F4">
        <v>0</v>
      </c>
      <c r="G4">
        <v>486168552</v>
      </c>
      <c r="H4">
        <v>7537968</v>
      </c>
      <c r="I4">
        <v>63170</v>
      </c>
      <c r="J4">
        <v>3058362</v>
      </c>
      <c r="K4">
        <v>42190</v>
      </c>
      <c r="L4" t="s">
        <v>936</v>
      </c>
      <c r="M4" t="s">
        <v>943</v>
      </c>
    </row>
    <row r="5" spans="1:13" x14ac:dyDescent="0.3">
      <c r="A5" t="s">
        <v>798</v>
      </c>
      <c r="B5">
        <v>76</v>
      </c>
      <c r="C5">
        <v>16206948</v>
      </c>
      <c r="D5">
        <v>356484</v>
      </c>
      <c r="E5">
        <v>9500</v>
      </c>
      <c r="F5">
        <v>0</v>
      </c>
      <c r="G5">
        <v>345493019</v>
      </c>
      <c r="H5">
        <v>4715728</v>
      </c>
      <c r="I5">
        <v>137611</v>
      </c>
      <c r="J5">
        <v>4290497</v>
      </c>
      <c r="K5">
        <v>39550</v>
      </c>
      <c r="L5" t="s">
        <v>936</v>
      </c>
      <c r="M5" t="s">
        <v>946</v>
      </c>
    </row>
    <row r="6" spans="1:13" x14ac:dyDescent="0.3">
      <c r="A6" t="s">
        <v>795</v>
      </c>
      <c r="B6">
        <v>62</v>
      </c>
      <c r="C6">
        <v>26870695</v>
      </c>
      <c r="D6">
        <v>572764</v>
      </c>
      <c r="E6">
        <v>616</v>
      </c>
      <c r="F6">
        <v>0</v>
      </c>
      <c r="G6">
        <v>353345930</v>
      </c>
      <c r="H6">
        <v>4820284</v>
      </c>
      <c r="I6">
        <v>43495</v>
      </c>
      <c r="J6">
        <v>3989749</v>
      </c>
      <c r="K6">
        <v>41276</v>
      </c>
      <c r="L6" t="s">
        <v>936</v>
      </c>
      <c r="M6" t="s">
        <v>939</v>
      </c>
    </row>
    <row r="7" spans="1:13" x14ac:dyDescent="0.3">
      <c r="A7" t="s">
        <v>747</v>
      </c>
      <c r="B7">
        <v>11</v>
      </c>
      <c r="C7">
        <v>33349708</v>
      </c>
      <c r="D7">
        <v>670902</v>
      </c>
      <c r="E7">
        <v>9506</v>
      </c>
      <c r="F7">
        <v>0</v>
      </c>
      <c r="G7">
        <v>518149711</v>
      </c>
      <c r="H7">
        <v>6998470</v>
      </c>
      <c r="I7">
        <v>119079</v>
      </c>
      <c r="J7">
        <v>2761789</v>
      </c>
      <c r="K7">
        <v>42130</v>
      </c>
      <c r="L7" t="s">
        <v>936</v>
      </c>
      <c r="M7" t="s">
        <v>943</v>
      </c>
    </row>
    <row r="8" spans="1:13" x14ac:dyDescent="0.3">
      <c r="A8" t="s">
        <v>742</v>
      </c>
      <c r="B8">
        <v>2</v>
      </c>
      <c r="C8">
        <v>48475920</v>
      </c>
      <c r="D8">
        <v>1018569</v>
      </c>
      <c r="E8">
        <v>1099</v>
      </c>
      <c r="F8">
        <v>0</v>
      </c>
      <c r="G8">
        <v>599258826</v>
      </c>
      <c r="H8">
        <v>8972280</v>
      </c>
      <c r="I8">
        <v>56718</v>
      </c>
      <c r="J8">
        <v>2762893</v>
      </c>
      <c r="K8">
        <v>42170</v>
      </c>
      <c r="L8" t="s">
        <v>936</v>
      </c>
      <c r="M8" t="s">
        <v>937</v>
      </c>
    </row>
    <row r="9" spans="1:13" x14ac:dyDescent="0.3">
      <c r="A9" t="s">
        <v>744</v>
      </c>
      <c r="B9">
        <v>7</v>
      </c>
      <c r="C9">
        <v>40777830</v>
      </c>
      <c r="D9">
        <v>831829</v>
      </c>
      <c r="E9">
        <v>0</v>
      </c>
      <c r="F9">
        <v>0</v>
      </c>
      <c r="G9">
        <v>558446646</v>
      </c>
      <c r="H9">
        <v>7961074</v>
      </c>
      <c r="I9">
        <v>47662</v>
      </c>
      <c r="J9">
        <v>8203813</v>
      </c>
      <c r="K9">
        <v>47220</v>
      </c>
      <c r="L9" t="s">
        <v>936</v>
      </c>
      <c r="M9" t="s">
        <v>939</v>
      </c>
    </row>
    <row r="10" spans="1:13" x14ac:dyDescent="0.3">
      <c r="A10" t="s">
        <v>740</v>
      </c>
      <c r="B10">
        <v>1</v>
      </c>
      <c r="C10">
        <v>39363531</v>
      </c>
      <c r="D10">
        <v>784321</v>
      </c>
      <c r="E10">
        <v>9000</v>
      </c>
      <c r="F10">
        <v>0</v>
      </c>
      <c r="G10">
        <v>597734852</v>
      </c>
      <c r="H10">
        <v>9064047</v>
      </c>
      <c r="I10">
        <v>123625</v>
      </c>
      <c r="J10">
        <v>2709594</v>
      </c>
      <c r="K10">
        <v>42960</v>
      </c>
      <c r="L10" t="s">
        <v>936</v>
      </c>
      <c r="M10" t="s">
        <v>944</v>
      </c>
    </row>
    <row r="11" spans="1:13" x14ac:dyDescent="0.3">
      <c r="A11" t="s">
        <v>741</v>
      </c>
      <c r="B11">
        <v>6</v>
      </c>
      <c r="C11">
        <v>33954413</v>
      </c>
      <c r="D11">
        <v>659101</v>
      </c>
      <c r="E11">
        <v>350</v>
      </c>
      <c r="F11">
        <v>0</v>
      </c>
      <c r="G11">
        <v>499842204</v>
      </c>
      <c r="H11">
        <v>7751783</v>
      </c>
      <c r="I11">
        <v>31973</v>
      </c>
      <c r="J11">
        <v>2802676</v>
      </c>
      <c r="K11">
        <v>35890</v>
      </c>
      <c r="L11" t="s">
        <v>936</v>
      </c>
      <c r="M11" t="s">
        <v>940</v>
      </c>
    </row>
    <row r="12" spans="1:13" x14ac:dyDescent="0.3">
      <c r="A12" t="s">
        <v>753</v>
      </c>
      <c r="B12">
        <v>14</v>
      </c>
      <c r="C12">
        <v>31262889</v>
      </c>
      <c r="D12">
        <v>657901</v>
      </c>
      <c r="E12">
        <v>0</v>
      </c>
      <c r="F12">
        <v>0</v>
      </c>
      <c r="G12">
        <v>508617371</v>
      </c>
      <c r="H12">
        <v>6502566</v>
      </c>
      <c r="I12">
        <v>41451</v>
      </c>
      <c r="J12">
        <v>2702231</v>
      </c>
      <c r="K12">
        <v>39070</v>
      </c>
      <c r="L12" t="s">
        <v>936</v>
      </c>
      <c r="M12" t="s">
        <v>939</v>
      </c>
    </row>
    <row r="13" spans="1:13" x14ac:dyDescent="0.3">
      <c r="A13" t="s">
        <v>751</v>
      </c>
      <c r="B13">
        <v>16</v>
      </c>
      <c r="C13">
        <v>25846726</v>
      </c>
      <c r="D13">
        <v>542724</v>
      </c>
      <c r="E13">
        <v>0</v>
      </c>
      <c r="F13">
        <v>0</v>
      </c>
      <c r="G13">
        <v>425386074</v>
      </c>
      <c r="H13">
        <v>6508601</v>
      </c>
      <c r="I13">
        <v>46851</v>
      </c>
      <c r="J13">
        <v>4819625</v>
      </c>
      <c r="K13">
        <v>39960</v>
      </c>
      <c r="L13" t="s">
        <v>936</v>
      </c>
      <c r="M13" t="s">
        <v>939</v>
      </c>
    </row>
    <row r="14" spans="1:13" x14ac:dyDescent="0.3">
      <c r="A14" t="s">
        <v>754</v>
      </c>
      <c r="B14">
        <v>20</v>
      </c>
      <c r="C14">
        <v>24828376</v>
      </c>
      <c r="D14">
        <v>484399</v>
      </c>
      <c r="E14">
        <v>50</v>
      </c>
      <c r="F14">
        <v>0</v>
      </c>
      <c r="G14">
        <v>400889513</v>
      </c>
      <c r="H14">
        <v>5767391</v>
      </c>
      <c r="I14">
        <v>32057</v>
      </c>
      <c r="J14">
        <v>3859526</v>
      </c>
      <c r="K14">
        <v>42400</v>
      </c>
      <c r="L14" t="s">
        <v>936</v>
      </c>
      <c r="M14" t="s">
        <v>942</v>
      </c>
    </row>
    <row r="15" spans="1:13" x14ac:dyDescent="0.3">
      <c r="A15" t="s">
        <v>792</v>
      </c>
      <c r="B15">
        <v>57</v>
      </c>
      <c r="C15">
        <v>24819136</v>
      </c>
      <c r="D15">
        <v>512691</v>
      </c>
      <c r="E15">
        <v>0</v>
      </c>
      <c r="F15">
        <v>0</v>
      </c>
      <c r="G15">
        <v>349881701</v>
      </c>
      <c r="H15">
        <v>5040948</v>
      </c>
      <c r="I15">
        <v>125889</v>
      </c>
      <c r="J15">
        <v>5387592</v>
      </c>
      <c r="K15">
        <v>38009</v>
      </c>
      <c r="L15" t="s">
        <v>936</v>
      </c>
      <c r="M15" t="s">
        <v>943</v>
      </c>
    </row>
    <row r="16" spans="1:13" x14ac:dyDescent="0.3">
      <c r="A16" t="s">
        <v>957</v>
      </c>
      <c r="B16">
        <v>51</v>
      </c>
      <c r="C16">
        <v>19900053</v>
      </c>
      <c r="D16">
        <v>386096</v>
      </c>
      <c r="E16">
        <v>9183</v>
      </c>
      <c r="F16">
        <v>0</v>
      </c>
      <c r="G16">
        <v>369892941</v>
      </c>
      <c r="H16">
        <v>4873048</v>
      </c>
      <c r="I16">
        <v>53410</v>
      </c>
      <c r="J16">
        <v>2705997</v>
      </c>
      <c r="K16">
        <v>40560</v>
      </c>
      <c r="L16" t="s">
        <v>936</v>
      </c>
      <c r="M16" t="s">
        <v>943</v>
      </c>
    </row>
    <row r="17" spans="1:13" x14ac:dyDescent="0.3">
      <c r="A17" t="s">
        <v>964</v>
      </c>
      <c r="B17">
        <v>103</v>
      </c>
      <c r="C17">
        <v>19507851</v>
      </c>
      <c r="D17">
        <v>404881</v>
      </c>
      <c r="E17">
        <v>0</v>
      </c>
      <c r="F17">
        <v>0</v>
      </c>
      <c r="G17">
        <v>263503254</v>
      </c>
      <c r="H17">
        <v>3617844</v>
      </c>
      <c r="I17">
        <v>55883</v>
      </c>
      <c r="J17">
        <v>3037846</v>
      </c>
      <c r="K17">
        <v>33640</v>
      </c>
      <c r="L17" t="s">
        <v>936</v>
      </c>
      <c r="M17" t="s">
        <v>939</v>
      </c>
    </row>
    <row r="18" spans="1:13" x14ac:dyDescent="0.3">
      <c r="A18" t="s">
        <v>853</v>
      </c>
      <c r="B18">
        <v>143</v>
      </c>
      <c r="C18">
        <v>18225801</v>
      </c>
      <c r="D18">
        <v>347153</v>
      </c>
      <c r="E18">
        <v>101</v>
      </c>
      <c r="F18">
        <v>0</v>
      </c>
      <c r="G18">
        <v>194809745</v>
      </c>
      <c r="H18">
        <v>2227635</v>
      </c>
      <c r="I18">
        <v>36410</v>
      </c>
      <c r="J18">
        <v>53580116</v>
      </c>
      <c r="K18">
        <v>32233</v>
      </c>
      <c r="L18" t="s">
        <v>936</v>
      </c>
      <c r="M18" t="s">
        <v>943</v>
      </c>
    </row>
    <row r="19" spans="1:13" x14ac:dyDescent="0.3">
      <c r="A19" t="s">
        <v>743</v>
      </c>
      <c r="B19">
        <v>5</v>
      </c>
      <c r="C19">
        <v>46002759</v>
      </c>
      <c r="D19">
        <v>698846</v>
      </c>
      <c r="E19">
        <v>1800</v>
      </c>
      <c r="F19">
        <v>0</v>
      </c>
      <c r="G19">
        <v>535462099</v>
      </c>
      <c r="H19">
        <v>8036855</v>
      </c>
      <c r="I19">
        <v>56277</v>
      </c>
      <c r="J19">
        <v>2727930</v>
      </c>
      <c r="K19">
        <v>41910</v>
      </c>
      <c r="L19" t="s">
        <v>936</v>
      </c>
      <c r="M19" t="s">
        <v>940</v>
      </c>
    </row>
    <row r="20" spans="1:13" x14ac:dyDescent="0.3">
      <c r="A20" t="s">
        <v>806</v>
      </c>
      <c r="B20">
        <v>75</v>
      </c>
      <c r="C20">
        <v>39917043</v>
      </c>
      <c r="D20">
        <v>668018</v>
      </c>
      <c r="E20">
        <v>0</v>
      </c>
      <c r="F20">
        <v>0</v>
      </c>
      <c r="G20">
        <v>447713706</v>
      </c>
      <c r="H20">
        <v>4396611</v>
      </c>
      <c r="I20">
        <v>34958</v>
      </c>
      <c r="J20">
        <v>4581119</v>
      </c>
      <c r="K20">
        <v>46633</v>
      </c>
      <c r="L20" t="s">
        <v>936</v>
      </c>
      <c r="M20" t="s">
        <v>939</v>
      </c>
    </row>
    <row r="21" spans="1:13" x14ac:dyDescent="0.3">
      <c r="A21" t="s">
        <v>748</v>
      </c>
      <c r="B21">
        <v>13</v>
      </c>
      <c r="C21">
        <v>39745072</v>
      </c>
      <c r="D21">
        <v>583852</v>
      </c>
      <c r="E21">
        <v>0</v>
      </c>
      <c r="F21">
        <v>0</v>
      </c>
      <c r="G21">
        <v>506058946</v>
      </c>
      <c r="H21">
        <v>6237076</v>
      </c>
      <c r="I21">
        <v>29239</v>
      </c>
      <c r="J21">
        <v>2770716</v>
      </c>
      <c r="K21">
        <v>38600</v>
      </c>
      <c r="L21" t="s">
        <v>936</v>
      </c>
      <c r="M21" t="s">
        <v>937</v>
      </c>
    </row>
    <row r="22" spans="1:13" x14ac:dyDescent="0.3">
      <c r="A22" t="s">
        <v>938</v>
      </c>
      <c r="B22">
        <v>4</v>
      </c>
      <c r="C22">
        <v>37451260</v>
      </c>
      <c r="D22">
        <v>739251</v>
      </c>
      <c r="E22">
        <v>400</v>
      </c>
      <c r="F22">
        <v>0</v>
      </c>
      <c r="G22">
        <v>573964649</v>
      </c>
      <c r="H22">
        <v>8180060</v>
      </c>
      <c r="I22">
        <v>35838</v>
      </c>
      <c r="J22">
        <v>3237273</v>
      </c>
      <c r="K22">
        <v>45180</v>
      </c>
      <c r="L22" t="s">
        <v>936</v>
      </c>
      <c r="M22" t="s">
        <v>939</v>
      </c>
    </row>
    <row r="23" spans="1:13" x14ac:dyDescent="0.3">
      <c r="A23" t="s">
        <v>598</v>
      </c>
      <c r="B23">
        <v>3</v>
      </c>
      <c r="C23">
        <v>36533207</v>
      </c>
      <c r="D23">
        <v>728959</v>
      </c>
      <c r="E23">
        <v>1104</v>
      </c>
      <c r="F23">
        <v>0</v>
      </c>
      <c r="G23">
        <v>556500676</v>
      </c>
      <c r="H23">
        <v>8066997</v>
      </c>
      <c r="I23">
        <v>55009</v>
      </c>
      <c r="J23">
        <v>3882655</v>
      </c>
      <c r="K23">
        <v>41310</v>
      </c>
      <c r="L23" t="s">
        <v>936</v>
      </c>
      <c r="M23" t="s">
        <v>945</v>
      </c>
    </row>
    <row r="24" spans="1:13" x14ac:dyDescent="0.3">
      <c r="A24" t="s">
        <v>845</v>
      </c>
      <c r="B24">
        <v>129</v>
      </c>
      <c r="C24">
        <v>35273803</v>
      </c>
      <c r="D24">
        <v>247612</v>
      </c>
      <c r="E24">
        <v>350</v>
      </c>
      <c r="F24">
        <v>0</v>
      </c>
      <c r="G24">
        <v>315481261</v>
      </c>
      <c r="H24">
        <v>2771147</v>
      </c>
      <c r="I24">
        <v>35955</v>
      </c>
      <c r="J24">
        <v>20487871</v>
      </c>
      <c r="K24">
        <v>39660</v>
      </c>
      <c r="L24" t="s">
        <v>936</v>
      </c>
      <c r="M24" t="s">
        <v>944</v>
      </c>
    </row>
    <row r="25" spans="1:13" x14ac:dyDescent="0.3">
      <c r="A25" t="s">
        <v>841</v>
      </c>
      <c r="B25">
        <v>131</v>
      </c>
      <c r="C25">
        <v>35070894</v>
      </c>
      <c r="D25">
        <v>287018</v>
      </c>
      <c r="E25">
        <v>13293</v>
      </c>
      <c r="F25">
        <v>0</v>
      </c>
      <c r="G25">
        <v>217432566</v>
      </c>
      <c r="H25">
        <v>2780311</v>
      </c>
      <c r="I25">
        <v>92796</v>
      </c>
      <c r="J25">
        <v>37062837</v>
      </c>
      <c r="K25">
        <v>30290</v>
      </c>
      <c r="L25" t="s">
        <v>936</v>
      </c>
      <c r="M25" t="s">
        <v>945</v>
      </c>
    </row>
    <row r="26" spans="1:13" x14ac:dyDescent="0.3">
      <c r="A26" t="s">
        <v>804</v>
      </c>
      <c r="B26">
        <v>49</v>
      </c>
      <c r="C26">
        <v>34899037</v>
      </c>
      <c r="D26">
        <v>731504</v>
      </c>
      <c r="E26">
        <v>0</v>
      </c>
      <c r="F26">
        <v>0</v>
      </c>
      <c r="G26">
        <v>445189429</v>
      </c>
      <c r="H26">
        <v>5557603</v>
      </c>
      <c r="I26">
        <v>15311</v>
      </c>
      <c r="J26">
        <v>12260817</v>
      </c>
      <c r="K26">
        <v>39860</v>
      </c>
      <c r="L26" t="s">
        <v>936</v>
      </c>
      <c r="M26" t="s">
        <v>937</v>
      </c>
    </row>
    <row r="27" spans="1:13" x14ac:dyDescent="0.3">
      <c r="A27" t="s">
        <v>760</v>
      </c>
      <c r="B27">
        <v>23</v>
      </c>
      <c r="C27">
        <v>34289456</v>
      </c>
      <c r="D27">
        <v>538090</v>
      </c>
      <c r="E27">
        <v>0</v>
      </c>
      <c r="F27">
        <v>0</v>
      </c>
      <c r="G27">
        <v>654394694</v>
      </c>
      <c r="H27">
        <v>5786270</v>
      </c>
      <c r="I27">
        <v>35635</v>
      </c>
      <c r="J27">
        <v>4082120</v>
      </c>
      <c r="K27">
        <v>44383</v>
      </c>
      <c r="L27" t="s">
        <v>936</v>
      </c>
      <c r="M27" t="s">
        <v>940</v>
      </c>
    </row>
    <row r="28" spans="1:13" x14ac:dyDescent="0.3">
      <c r="A28" t="s">
        <v>786</v>
      </c>
      <c r="B28">
        <v>50</v>
      </c>
      <c r="C28">
        <v>33866084</v>
      </c>
      <c r="D28">
        <v>452490</v>
      </c>
      <c r="E28">
        <v>9000</v>
      </c>
      <c r="F28">
        <v>0</v>
      </c>
      <c r="G28">
        <v>436909632</v>
      </c>
      <c r="H28">
        <v>5094021</v>
      </c>
      <c r="I28">
        <v>90675</v>
      </c>
      <c r="J28">
        <v>2065216</v>
      </c>
      <c r="K28">
        <v>38170</v>
      </c>
      <c r="L28" t="s">
        <v>936</v>
      </c>
      <c r="M28" t="s">
        <v>940</v>
      </c>
    </row>
    <row r="29" spans="1:13" x14ac:dyDescent="0.3">
      <c r="A29" t="s">
        <v>809</v>
      </c>
      <c r="B29">
        <v>91</v>
      </c>
      <c r="C29">
        <v>33180592</v>
      </c>
      <c r="D29">
        <v>401126</v>
      </c>
      <c r="E29">
        <v>50</v>
      </c>
      <c r="F29">
        <v>0</v>
      </c>
      <c r="G29">
        <v>339796405</v>
      </c>
      <c r="H29">
        <v>3854079</v>
      </c>
      <c r="I29">
        <v>49182</v>
      </c>
      <c r="J29">
        <v>5987927</v>
      </c>
      <c r="K29">
        <v>43140</v>
      </c>
      <c r="L29" t="s">
        <v>936</v>
      </c>
      <c r="M29" t="s">
        <v>939</v>
      </c>
    </row>
    <row r="30" spans="1:13" x14ac:dyDescent="0.3">
      <c r="A30" t="s">
        <v>961</v>
      </c>
      <c r="B30">
        <v>55</v>
      </c>
      <c r="C30">
        <v>33018900</v>
      </c>
      <c r="D30">
        <v>393188</v>
      </c>
      <c r="E30">
        <v>138</v>
      </c>
      <c r="F30">
        <v>0</v>
      </c>
      <c r="G30">
        <v>370901914</v>
      </c>
      <c r="H30">
        <v>4827074</v>
      </c>
      <c r="I30">
        <v>44675</v>
      </c>
      <c r="J30">
        <v>3480620</v>
      </c>
      <c r="K30">
        <v>42220</v>
      </c>
      <c r="L30" t="s">
        <v>936</v>
      </c>
      <c r="M30" t="s">
        <v>946</v>
      </c>
    </row>
    <row r="31" spans="1:13" x14ac:dyDescent="0.3">
      <c r="A31" t="s">
        <v>941</v>
      </c>
      <c r="B31">
        <v>8</v>
      </c>
      <c r="C31">
        <v>30401466</v>
      </c>
      <c r="D31">
        <v>612869</v>
      </c>
      <c r="E31">
        <v>500</v>
      </c>
      <c r="F31">
        <v>0</v>
      </c>
      <c r="G31">
        <v>512213163</v>
      </c>
      <c r="H31">
        <v>7513353</v>
      </c>
      <c r="I31">
        <v>41849</v>
      </c>
      <c r="J31">
        <v>2702688</v>
      </c>
      <c r="K31">
        <v>41700</v>
      </c>
      <c r="L31" t="s">
        <v>936</v>
      </c>
      <c r="M31" t="s">
        <v>942</v>
      </c>
    </row>
    <row r="32" spans="1:13" x14ac:dyDescent="0.3">
      <c r="A32" t="s">
        <v>864</v>
      </c>
      <c r="B32">
        <v>139</v>
      </c>
      <c r="C32">
        <v>30382352</v>
      </c>
      <c r="D32">
        <v>487891</v>
      </c>
      <c r="E32">
        <v>0</v>
      </c>
      <c r="F32">
        <v>0</v>
      </c>
      <c r="G32">
        <v>273439816</v>
      </c>
      <c r="H32">
        <v>2830259</v>
      </c>
      <c r="I32">
        <v>15455</v>
      </c>
      <c r="J32">
        <v>3144058</v>
      </c>
      <c r="K32">
        <v>44213</v>
      </c>
      <c r="L32" t="s">
        <v>936</v>
      </c>
      <c r="M32" t="s">
        <v>937</v>
      </c>
    </row>
    <row r="33" spans="1:13" x14ac:dyDescent="0.3">
      <c r="A33" t="s">
        <v>755</v>
      </c>
      <c r="B33">
        <v>18</v>
      </c>
      <c r="C33">
        <v>30290610</v>
      </c>
      <c r="D33">
        <v>606995</v>
      </c>
      <c r="E33">
        <v>11002</v>
      </c>
      <c r="F33">
        <v>0</v>
      </c>
      <c r="G33">
        <v>457622912</v>
      </c>
      <c r="H33">
        <v>6307775</v>
      </c>
      <c r="I33">
        <v>135524</v>
      </c>
      <c r="J33">
        <v>6912971</v>
      </c>
      <c r="K33">
        <v>40510</v>
      </c>
      <c r="L33" t="s">
        <v>936</v>
      </c>
      <c r="M33" t="s">
        <v>940</v>
      </c>
    </row>
    <row r="34" spans="1:13" x14ac:dyDescent="0.3">
      <c r="A34" t="s">
        <v>814</v>
      </c>
      <c r="B34">
        <v>83</v>
      </c>
      <c r="C34">
        <v>30227382</v>
      </c>
      <c r="D34">
        <v>506036</v>
      </c>
      <c r="E34">
        <v>350</v>
      </c>
      <c r="F34">
        <v>0</v>
      </c>
      <c r="G34">
        <v>345066801</v>
      </c>
      <c r="H34">
        <v>4198232</v>
      </c>
      <c r="I34">
        <v>37852</v>
      </c>
      <c r="J34">
        <v>6353831</v>
      </c>
      <c r="K34">
        <v>42100</v>
      </c>
      <c r="L34" t="s">
        <v>936</v>
      </c>
      <c r="M34" t="s">
        <v>940</v>
      </c>
    </row>
    <row r="35" spans="1:13" x14ac:dyDescent="0.3">
      <c r="A35" t="s">
        <v>773</v>
      </c>
      <c r="B35">
        <v>36</v>
      </c>
      <c r="C35">
        <v>29688365</v>
      </c>
      <c r="D35">
        <v>548607</v>
      </c>
      <c r="E35">
        <v>0</v>
      </c>
      <c r="F35">
        <v>0</v>
      </c>
      <c r="G35">
        <v>391133522</v>
      </c>
      <c r="H35">
        <v>5417643</v>
      </c>
      <c r="I35">
        <v>63434</v>
      </c>
      <c r="J35">
        <v>3727713</v>
      </c>
      <c r="K35">
        <v>43303</v>
      </c>
      <c r="L35" t="s">
        <v>936</v>
      </c>
      <c r="M35" t="s">
        <v>946</v>
      </c>
    </row>
    <row r="36" spans="1:13" x14ac:dyDescent="0.3">
      <c r="A36" t="s">
        <v>777</v>
      </c>
      <c r="B36">
        <v>43</v>
      </c>
      <c r="C36">
        <v>29099409</v>
      </c>
      <c r="D36">
        <v>546154</v>
      </c>
      <c r="E36">
        <v>11250</v>
      </c>
      <c r="F36">
        <v>0</v>
      </c>
      <c r="G36">
        <v>347434171</v>
      </c>
      <c r="H36">
        <v>5014923</v>
      </c>
      <c r="I36">
        <v>107642</v>
      </c>
      <c r="J36">
        <v>5085296</v>
      </c>
      <c r="K36">
        <v>37633</v>
      </c>
      <c r="L36" t="s">
        <v>936</v>
      </c>
      <c r="M36" t="s">
        <v>940</v>
      </c>
    </row>
    <row r="37" spans="1:13" x14ac:dyDescent="0.3">
      <c r="A37" t="s">
        <v>808</v>
      </c>
      <c r="B37">
        <v>80</v>
      </c>
      <c r="C37">
        <v>29027356</v>
      </c>
      <c r="D37">
        <v>347364</v>
      </c>
      <c r="E37">
        <v>540</v>
      </c>
      <c r="F37">
        <v>0</v>
      </c>
      <c r="G37">
        <v>374891649</v>
      </c>
      <c r="H37">
        <v>4582679</v>
      </c>
      <c r="I37">
        <v>31829</v>
      </c>
      <c r="J37">
        <v>3174407</v>
      </c>
      <c r="K37">
        <v>34610</v>
      </c>
      <c r="L37" t="s">
        <v>936</v>
      </c>
      <c r="M37" t="s">
        <v>946</v>
      </c>
    </row>
    <row r="38" spans="1:13" x14ac:dyDescent="0.3">
      <c r="A38" t="s">
        <v>761</v>
      </c>
      <c r="B38">
        <v>25</v>
      </c>
      <c r="C38">
        <v>29008928</v>
      </c>
      <c r="D38">
        <v>626451</v>
      </c>
      <c r="E38">
        <v>2347</v>
      </c>
      <c r="F38">
        <v>0</v>
      </c>
      <c r="G38">
        <v>446714284</v>
      </c>
      <c r="H38">
        <v>6091057</v>
      </c>
      <c r="I38">
        <v>66470</v>
      </c>
      <c r="J38">
        <v>5426407</v>
      </c>
      <c r="K38">
        <v>40730</v>
      </c>
      <c r="L38" t="s">
        <v>936</v>
      </c>
      <c r="M38" t="s">
        <v>945</v>
      </c>
    </row>
    <row r="39" spans="1:13" x14ac:dyDescent="0.3">
      <c r="A39" t="s">
        <v>799</v>
      </c>
      <c r="B39">
        <v>73</v>
      </c>
      <c r="C39">
        <v>28802642</v>
      </c>
      <c r="D39">
        <v>438784</v>
      </c>
      <c r="E39">
        <v>1430</v>
      </c>
      <c r="F39">
        <v>0</v>
      </c>
      <c r="G39">
        <v>527784027</v>
      </c>
      <c r="H39">
        <v>4781216</v>
      </c>
      <c r="I39">
        <v>51486</v>
      </c>
      <c r="J39">
        <v>3345422</v>
      </c>
      <c r="K39">
        <v>45580</v>
      </c>
      <c r="L39" t="s">
        <v>936</v>
      </c>
      <c r="M39" t="s">
        <v>940</v>
      </c>
    </row>
    <row r="40" spans="1:13" x14ac:dyDescent="0.3">
      <c r="A40" t="s">
        <v>784</v>
      </c>
      <c r="B40">
        <v>40</v>
      </c>
      <c r="C40">
        <v>28668060</v>
      </c>
      <c r="D40">
        <v>572895</v>
      </c>
      <c r="E40">
        <v>0</v>
      </c>
      <c r="F40">
        <v>0</v>
      </c>
      <c r="G40">
        <v>407184877</v>
      </c>
      <c r="H40">
        <v>5267111</v>
      </c>
      <c r="I40">
        <v>69120</v>
      </c>
      <c r="J40">
        <v>5913914</v>
      </c>
      <c r="K40">
        <v>43190</v>
      </c>
      <c r="L40" t="s">
        <v>936</v>
      </c>
      <c r="M40" t="s">
        <v>942</v>
      </c>
    </row>
    <row r="41" spans="1:13" x14ac:dyDescent="0.3">
      <c r="A41" t="s">
        <v>599</v>
      </c>
      <c r="B41">
        <v>17</v>
      </c>
      <c r="C41">
        <v>28079036</v>
      </c>
      <c r="D41">
        <v>594059</v>
      </c>
      <c r="E41">
        <v>0</v>
      </c>
      <c r="F41">
        <v>0</v>
      </c>
      <c r="G41">
        <v>454549782</v>
      </c>
      <c r="H41">
        <v>6406240</v>
      </c>
      <c r="I41">
        <v>43491</v>
      </c>
      <c r="J41">
        <v>2707023</v>
      </c>
      <c r="K41">
        <v>42370</v>
      </c>
      <c r="L41" t="s">
        <v>936</v>
      </c>
      <c r="M41" t="s">
        <v>945</v>
      </c>
    </row>
    <row r="42" spans="1:13" x14ac:dyDescent="0.3">
      <c r="A42" t="s">
        <v>600</v>
      </c>
      <c r="B42">
        <v>74</v>
      </c>
      <c r="C42">
        <v>27745515</v>
      </c>
      <c r="D42">
        <v>575131</v>
      </c>
      <c r="E42">
        <v>50</v>
      </c>
      <c r="F42">
        <v>0</v>
      </c>
      <c r="G42">
        <v>341195832</v>
      </c>
      <c r="H42">
        <v>4717591</v>
      </c>
      <c r="I42">
        <v>30229</v>
      </c>
      <c r="J42">
        <v>6107671</v>
      </c>
      <c r="K42">
        <v>42810</v>
      </c>
      <c r="L42" t="s">
        <v>936</v>
      </c>
      <c r="M42" t="s">
        <v>945</v>
      </c>
    </row>
    <row r="43" spans="1:13" x14ac:dyDescent="0.3">
      <c r="A43" t="s">
        <v>812</v>
      </c>
      <c r="B43">
        <v>81</v>
      </c>
      <c r="C43">
        <v>27569253</v>
      </c>
      <c r="D43">
        <v>546578</v>
      </c>
      <c r="E43">
        <v>303</v>
      </c>
      <c r="F43">
        <v>0</v>
      </c>
      <c r="G43">
        <v>349219637</v>
      </c>
      <c r="H43">
        <v>4812791</v>
      </c>
      <c r="I43">
        <v>5276</v>
      </c>
      <c r="J43">
        <v>10589521</v>
      </c>
      <c r="K43">
        <v>43200</v>
      </c>
      <c r="L43" t="s">
        <v>936</v>
      </c>
      <c r="M43" t="s">
        <v>940</v>
      </c>
    </row>
    <row r="44" spans="1:13" x14ac:dyDescent="0.3">
      <c r="A44" t="s">
        <v>783</v>
      </c>
      <c r="B44">
        <v>38</v>
      </c>
      <c r="C44">
        <v>27380553</v>
      </c>
      <c r="D44">
        <v>536463</v>
      </c>
      <c r="E44">
        <v>4016</v>
      </c>
      <c r="F44">
        <v>0</v>
      </c>
      <c r="G44">
        <v>392669387</v>
      </c>
      <c r="H44">
        <v>5232425</v>
      </c>
      <c r="I44">
        <v>61607</v>
      </c>
      <c r="J44">
        <v>2823608</v>
      </c>
      <c r="K44">
        <v>42030</v>
      </c>
      <c r="L44" t="s">
        <v>936</v>
      </c>
      <c r="M44" t="s">
        <v>945</v>
      </c>
    </row>
    <row r="45" spans="1:13" x14ac:dyDescent="0.3">
      <c r="A45" t="s">
        <v>780</v>
      </c>
      <c r="B45">
        <v>46</v>
      </c>
      <c r="C45">
        <v>27254203</v>
      </c>
      <c r="D45">
        <v>487737</v>
      </c>
      <c r="E45">
        <v>0</v>
      </c>
      <c r="F45">
        <v>0</v>
      </c>
      <c r="G45">
        <v>425073775</v>
      </c>
      <c r="H45">
        <v>5105859</v>
      </c>
      <c r="I45">
        <v>50577</v>
      </c>
      <c r="J45">
        <v>3385461</v>
      </c>
      <c r="K45">
        <v>39920</v>
      </c>
      <c r="L45" t="s">
        <v>936</v>
      </c>
      <c r="M45" t="s">
        <v>942</v>
      </c>
    </row>
    <row r="46" spans="1:13" x14ac:dyDescent="0.3">
      <c r="A46" t="s">
        <v>776</v>
      </c>
      <c r="B46">
        <v>37</v>
      </c>
      <c r="C46">
        <v>27158774</v>
      </c>
      <c r="D46">
        <v>553314</v>
      </c>
      <c r="E46">
        <v>0</v>
      </c>
      <c r="F46">
        <v>0</v>
      </c>
      <c r="G46">
        <v>397001353</v>
      </c>
      <c r="H46">
        <v>5416484</v>
      </c>
      <c r="I46">
        <v>31461</v>
      </c>
      <c r="J46">
        <v>19401162</v>
      </c>
      <c r="K46">
        <v>42890</v>
      </c>
      <c r="L46" t="s">
        <v>936</v>
      </c>
      <c r="M46" t="s">
        <v>939</v>
      </c>
    </row>
    <row r="47" spans="1:13" x14ac:dyDescent="0.3">
      <c r="A47" t="s">
        <v>759</v>
      </c>
      <c r="B47">
        <v>26</v>
      </c>
      <c r="C47">
        <v>26679769</v>
      </c>
      <c r="D47">
        <v>520492</v>
      </c>
      <c r="E47">
        <v>3600</v>
      </c>
      <c r="F47">
        <v>0</v>
      </c>
      <c r="G47">
        <v>428438247</v>
      </c>
      <c r="H47">
        <v>5694508</v>
      </c>
      <c r="I47">
        <v>71489</v>
      </c>
      <c r="J47">
        <v>3467961</v>
      </c>
      <c r="K47">
        <v>46030</v>
      </c>
      <c r="L47" t="s">
        <v>936</v>
      </c>
      <c r="M47" t="s">
        <v>946</v>
      </c>
    </row>
    <row r="48" spans="1:13" x14ac:dyDescent="0.3">
      <c r="A48" t="s">
        <v>757</v>
      </c>
      <c r="B48">
        <v>22</v>
      </c>
      <c r="C48">
        <v>26581642</v>
      </c>
      <c r="D48">
        <v>579203</v>
      </c>
      <c r="E48">
        <v>0</v>
      </c>
      <c r="F48">
        <v>0</v>
      </c>
      <c r="G48">
        <v>406438596</v>
      </c>
      <c r="H48">
        <v>5995325</v>
      </c>
      <c r="I48">
        <v>37588</v>
      </c>
      <c r="J48">
        <v>2782290</v>
      </c>
      <c r="K48">
        <v>37803</v>
      </c>
      <c r="L48" t="s">
        <v>936</v>
      </c>
      <c r="M48" t="s">
        <v>942</v>
      </c>
    </row>
    <row r="49" spans="1:13" x14ac:dyDescent="0.3">
      <c r="A49" t="s">
        <v>769</v>
      </c>
      <c r="B49">
        <v>35</v>
      </c>
      <c r="C49">
        <v>26548400</v>
      </c>
      <c r="D49">
        <v>544657</v>
      </c>
      <c r="E49">
        <v>802</v>
      </c>
      <c r="F49">
        <v>0</v>
      </c>
      <c r="G49">
        <v>367117944</v>
      </c>
      <c r="H49">
        <v>5478305</v>
      </c>
      <c r="I49">
        <v>46527</v>
      </c>
      <c r="J49">
        <v>3310084</v>
      </c>
      <c r="K49">
        <v>41630</v>
      </c>
      <c r="L49" t="s">
        <v>936</v>
      </c>
      <c r="M49" t="s">
        <v>939</v>
      </c>
    </row>
    <row r="50" spans="1:13" x14ac:dyDescent="0.3">
      <c r="A50" t="s">
        <v>947</v>
      </c>
      <c r="B50">
        <v>54</v>
      </c>
      <c r="C50">
        <v>26541268</v>
      </c>
      <c r="D50">
        <v>535081</v>
      </c>
      <c r="E50">
        <v>303</v>
      </c>
      <c r="F50">
        <v>0</v>
      </c>
      <c r="G50">
        <v>386767210</v>
      </c>
      <c r="H50">
        <v>5141597</v>
      </c>
      <c r="I50">
        <v>45494</v>
      </c>
      <c r="J50">
        <v>9110940</v>
      </c>
      <c r="K50">
        <v>42370</v>
      </c>
      <c r="L50" t="s">
        <v>936</v>
      </c>
      <c r="M50" t="s">
        <v>939</v>
      </c>
    </row>
    <row r="51" spans="1:13" x14ac:dyDescent="0.3">
      <c r="A51" t="s">
        <v>758</v>
      </c>
      <c r="B51">
        <v>21</v>
      </c>
      <c r="C51">
        <v>25949801</v>
      </c>
      <c r="D51">
        <v>524681</v>
      </c>
      <c r="E51">
        <v>246</v>
      </c>
      <c r="F51">
        <v>0</v>
      </c>
      <c r="G51">
        <v>428739489</v>
      </c>
      <c r="H51">
        <v>6112225</v>
      </c>
      <c r="I51">
        <v>47340</v>
      </c>
      <c r="J51">
        <v>2705074</v>
      </c>
      <c r="K51">
        <v>40543</v>
      </c>
      <c r="L51" t="s">
        <v>936</v>
      </c>
      <c r="M51" t="s">
        <v>939</v>
      </c>
    </row>
    <row r="52" spans="1:13" x14ac:dyDescent="0.3">
      <c r="A52" t="s">
        <v>960</v>
      </c>
      <c r="B52">
        <v>88</v>
      </c>
      <c r="C52">
        <v>25945371</v>
      </c>
      <c r="D52">
        <v>329383</v>
      </c>
      <c r="E52">
        <v>0</v>
      </c>
      <c r="F52">
        <v>0</v>
      </c>
      <c r="G52">
        <v>357052582</v>
      </c>
      <c r="H52">
        <v>4155588</v>
      </c>
      <c r="I52">
        <v>23200</v>
      </c>
      <c r="J52">
        <v>6151726</v>
      </c>
      <c r="K52">
        <v>36560</v>
      </c>
      <c r="L52" t="s">
        <v>936</v>
      </c>
      <c r="M52" t="s">
        <v>945</v>
      </c>
    </row>
    <row r="53" spans="1:13" x14ac:dyDescent="0.3">
      <c r="A53" t="s">
        <v>805</v>
      </c>
      <c r="B53">
        <v>66</v>
      </c>
      <c r="C53">
        <v>25914431</v>
      </c>
      <c r="D53">
        <v>538011</v>
      </c>
      <c r="E53">
        <v>2367</v>
      </c>
      <c r="F53">
        <v>0</v>
      </c>
      <c r="G53">
        <v>380628771</v>
      </c>
      <c r="H53">
        <v>4911550</v>
      </c>
      <c r="I53">
        <v>32645</v>
      </c>
      <c r="J53">
        <v>3701831</v>
      </c>
      <c r="K53">
        <v>41010</v>
      </c>
      <c r="L53" t="s">
        <v>936</v>
      </c>
      <c r="M53" t="s">
        <v>940</v>
      </c>
    </row>
    <row r="54" spans="1:13" x14ac:dyDescent="0.3">
      <c r="A54" t="s">
        <v>771</v>
      </c>
      <c r="B54">
        <v>39</v>
      </c>
      <c r="C54">
        <v>25569148</v>
      </c>
      <c r="D54">
        <v>462859</v>
      </c>
      <c r="E54">
        <v>50</v>
      </c>
      <c r="F54">
        <v>0</v>
      </c>
      <c r="G54">
        <v>346156601</v>
      </c>
      <c r="H54">
        <v>5091415</v>
      </c>
      <c r="I54">
        <v>48351</v>
      </c>
      <c r="J54">
        <v>3978341</v>
      </c>
      <c r="K54">
        <v>28529</v>
      </c>
      <c r="L54" t="s">
        <v>936</v>
      </c>
      <c r="M54" t="s">
        <v>939</v>
      </c>
    </row>
    <row r="55" spans="1:13" x14ac:dyDescent="0.3">
      <c r="A55" t="s">
        <v>949</v>
      </c>
      <c r="B55">
        <v>28</v>
      </c>
      <c r="C55">
        <v>25499550</v>
      </c>
      <c r="D55">
        <v>546116</v>
      </c>
      <c r="E55">
        <v>0</v>
      </c>
      <c r="F55">
        <v>0</v>
      </c>
      <c r="G55">
        <v>376670250</v>
      </c>
      <c r="H55">
        <v>5645669</v>
      </c>
      <c r="I55">
        <v>61840</v>
      </c>
      <c r="J55">
        <v>3815296</v>
      </c>
      <c r="K55">
        <v>39300</v>
      </c>
      <c r="L55" t="s">
        <v>936</v>
      </c>
      <c r="M55" t="s">
        <v>945</v>
      </c>
    </row>
    <row r="56" spans="1:13" x14ac:dyDescent="0.3">
      <c r="A56" t="s">
        <v>793</v>
      </c>
      <c r="B56">
        <v>56</v>
      </c>
      <c r="C56">
        <v>25346855</v>
      </c>
      <c r="D56">
        <v>539954</v>
      </c>
      <c r="E56">
        <v>120</v>
      </c>
      <c r="F56">
        <v>0</v>
      </c>
      <c r="G56">
        <v>375949535</v>
      </c>
      <c r="H56">
        <v>4978110</v>
      </c>
      <c r="I56">
        <v>44452</v>
      </c>
      <c r="J56">
        <v>3522751</v>
      </c>
      <c r="K56">
        <v>39940</v>
      </c>
      <c r="L56" t="s">
        <v>936</v>
      </c>
      <c r="M56" t="s">
        <v>937</v>
      </c>
    </row>
    <row r="57" spans="1:13" x14ac:dyDescent="0.3">
      <c r="A57" t="s">
        <v>836</v>
      </c>
      <c r="B57">
        <v>123</v>
      </c>
      <c r="C57">
        <v>25077529</v>
      </c>
      <c r="D57">
        <v>322423</v>
      </c>
      <c r="E57">
        <v>0</v>
      </c>
      <c r="F57">
        <v>0</v>
      </c>
      <c r="G57">
        <v>324861297</v>
      </c>
      <c r="H57">
        <v>3148663</v>
      </c>
      <c r="I57">
        <v>22159</v>
      </c>
      <c r="J57">
        <v>3937082</v>
      </c>
      <c r="K57">
        <v>39220</v>
      </c>
      <c r="L57" t="s">
        <v>936</v>
      </c>
      <c r="M57" t="s">
        <v>940</v>
      </c>
    </row>
    <row r="58" spans="1:13" x14ac:dyDescent="0.3">
      <c r="A58" t="s">
        <v>967</v>
      </c>
      <c r="B58">
        <v>116</v>
      </c>
      <c r="C58">
        <v>25074830</v>
      </c>
      <c r="D58">
        <v>294857</v>
      </c>
      <c r="E58">
        <v>0</v>
      </c>
      <c r="F58">
        <v>0</v>
      </c>
      <c r="G58">
        <v>351488632</v>
      </c>
      <c r="H58">
        <v>3541583</v>
      </c>
      <c r="I58">
        <v>32145</v>
      </c>
      <c r="J58">
        <v>3722185</v>
      </c>
      <c r="K58">
        <v>44630</v>
      </c>
      <c r="L58" t="s">
        <v>936</v>
      </c>
      <c r="M58" t="s">
        <v>942</v>
      </c>
    </row>
    <row r="59" spans="1:13" x14ac:dyDescent="0.3">
      <c r="A59" t="s">
        <v>800</v>
      </c>
      <c r="B59">
        <v>63</v>
      </c>
      <c r="C59">
        <v>25031852</v>
      </c>
      <c r="D59">
        <v>468557</v>
      </c>
      <c r="E59">
        <v>303</v>
      </c>
      <c r="F59">
        <v>0</v>
      </c>
      <c r="G59">
        <v>358114845</v>
      </c>
      <c r="H59">
        <v>4841404</v>
      </c>
      <c r="I59">
        <v>128138</v>
      </c>
      <c r="J59">
        <v>6872085</v>
      </c>
      <c r="K59">
        <v>39660</v>
      </c>
      <c r="L59" t="s">
        <v>936</v>
      </c>
      <c r="M59" t="s">
        <v>945</v>
      </c>
    </row>
    <row r="60" spans="1:13" x14ac:dyDescent="0.3">
      <c r="A60" t="s">
        <v>774</v>
      </c>
      <c r="B60">
        <v>33</v>
      </c>
      <c r="C60">
        <v>25007382</v>
      </c>
      <c r="D60">
        <v>489851</v>
      </c>
      <c r="E60">
        <v>0</v>
      </c>
      <c r="F60">
        <v>0</v>
      </c>
      <c r="G60">
        <v>395948189</v>
      </c>
      <c r="H60">
        <v>5221663</v>
      </c>
      <c r="I60">
        <v>32608</v>
      </c>
      <c r="J60">
        <v>4422108</v>
      </c>
      <c r="K60">
        <v>38100</v>
      </c>
      <c r="L60" t="s">
        <v>936</v>
      </c>
      <c r="M60" t="s">
        <v>946</v>
      </c>
    </row>
    <row r="61" spans="1:13" x14ac:dyDescent="0.3">
      <c r="A61" t="s">
        <v>770</v>
      </c>
      <c r="B61">
        <v>32</v>
      </c>
      <c r="C61">
        <v>24931377</v>
      </c>
      <c r="D61">
        <v>499829</v>
      </c>
      <c r="E61">
        <v>8370</v>
      </c>
      <c r="F61">
        <v>0</v>
      </c>
      <c r="G61">
        <v>421816633</v>
      </c>
      <c r="H61">
        <v>5274855</v>
      </c>
      <c r="I61">
        <v>76374</v>
      </c>
      <c r="J61">
        <v>2702575</v>
      </c>
      <c r="K61">
        <v>39510</v>
      </c>
      <c r="L61" t="s">
        <v>936</v>
      </c>
      <c r="M61" t="s">
        <v>940</v>
      </c>
    </row>
    <row r="62" spans="1:13" x14ac:dyDescent="0.3">
      <c r="A62" t="s">
        <v>797</v>
      </c>
      <c r="B62">
        <v>59</v>
      </c>
      <c r="C62">
        <v>24812028</v>
      </c>
      <c r="D62">
        <v>566645</v>
      </c>
      <c r="E62">
        <v>13252</v>
      </c>
      <c r="F62">
        <v>0</v>
      </c>
      <c r="G62">
        <v>363266663</v>
      </c>
      <c r="H62">
        <v>5611700</v>
      </c>
      <c r="I62">
        <v>171269</v>
      </c>
      <c r="J62">
        <v>5856448</v>
      </c>
      <c r="K62">
        <v>39330</v>
      </c>
      <c r="L62" t="s">
        <v>936</v>
      </c>
      <c r="M62" t="s">
        <v>939</v>
      </c>
    </row>
    <row r="63" spans="1:13" x14ac:dyDescent="0.3">
      <c r="A63" t="s">
        <v>749</v>
      </c>
      <c r="B63">
        <v>15</v>
      </c>
      <c r="C63">
        <v>24507060</v>
      </c>
      <c r="D63">
        <v>483847</v>
      </c>
      <c r="E63">
        <v>350</v>
      </c>
      <c r="F63">
        <v>0</v>
      </c>
      <c r="G63">
        <v>453949299</v>
      </c>
      <c r="H63">
        <v>6253732</v>
      </c>
      <c r="I63">
        <v>44718</v>
      </c>
      <c r="J63">
        <v>3448225</v>
      </c>
      <c r="K63">
        <v>46150</v>
      </c>
      <c r="L63" t="s">
        <v>936</v>
      </c>
      <c r="M63" t="s">
        <v>940</v>
      </c>
    </row>
    <row r="64" spans="1:13" x14ac:dyDescent="0.3">
      <c r="A64" t="s">
        <v>803</v>
      </c>
      <c r="B64">
        <v>68</v>
      </c>
      <c r="C64">
        <v>24326205</v>
      </c>
      <c r="D64">
        <v>502884</v>
      </c>
      <c r="E64">
        <v>0</v>
      </c>
      <c r="F64">
        <v>0</v>
      </c>
      <c r="G64">
        <v>338115928</v>
      </c>
      <c r="H64">
        <v>4748298</v>
      </c>
      <c r="I64">
        <v>47397</v>
      </c>
      <c r="J64">
        <v>52282692</v>
      </c>
      <c r="K64">
        <v>42030</v>
      </c>
      <c r="L64" t="s">
        <v>936</v>
      </c>
      <c r="M64" t="s">
        <v>939</v>
      </c>
    </row>
    <row r="65" spans="1:13" x14ac:dyDescent="0.3">
      <c r="A65" t="s">
        <v>778</v>
      </c>
      <c r="B65">
        <v>52</v>
      </c>
      <c r="C65">
        <v>24262080</v>
      </c>
      <c r="D65">
        <v>425697</v>
      </c>
      <c r="E65">
        <v>1350</v>
      </c>
      <c r="F65">
        <v>0</v>
      </c>
      <c r="G65">
        <v>439314846</v>
      </c>
      <c r="H65">
        <v>4772536</v>
      </c>
      <c r="I65">
        <v>48308</v>
      </c>
      <c r="J65">
        <v>2712776</v>
      </c>
      <c r="K65">
        <v>39030</v>
      </c>
      <c r="L65" t="s">
        <v>936</v>
      </c>
      <c r="M65" t="s">
        <v>937</v>
      </c>
    </row>
    <row r="66" spans="1:13" x14ac:dyDescent="0.3">
      <c r="A66" t="s">
        <v>772</v>
      </c>
      <c r="B66">
        <v>34</v>
      </c>
      <c r="C66">
        <v>24107611</v>
      </c>
      <c r="D66">
        <v>518260</v>
      </c>
      <c r="E66">
        <v>522</v>
      </c>
      <c r="F66">
        <v>0</v>
      </c>
      <c r="G66">
        <v>395683913</v>
      </c>
      <c r="H66">
        <v>5307281</v>
      </c>
      <c r="I66">
        <v>62925</v>
      </c>
      <c r="J66">
        <v>2504414</v>
      </c>
      <c r="K66">
        <v>39043</v>
      </c>
      <c r="L66" t="s">
        <v>936</v>
      </c>
      <c r="M66" t="s">
        <v>946</v>
      </c>
    </row>
    <row r="67" spans="1:13" x14ac:dyDescent="0.3">
      <c r="A67" t="s">
        <v>859</v>
      </c>
      <c r="B67">
        <v>142</v>
      </c>
      <c r="C67">
        <v>23856410</v>
      </c>
      <c r="D67">
        <v>335770</v>
      </c>
      <c r="E67">
        <v>17695</v>
      </c>
      <c r="F67">
        <v>0</v>
      </c>
      <c r="G67">
        <v>299889329</v>
      </c>
      <c r="H67">
        <v>2655740</v>
      </c>
      <c r="I67">
        <v>46254</v>
      </c>
      <c r="J67">
        <v>5374699</v>
      </c>
      <c r="K67">
        <v>40880</v>
      </c>
      <c r="L67" t="s">
        <v>936</v>
      </c>
      <c r="M67" t="s">
        <v>962</v>
      </c>
    </row>
    <row r="68" spans="1:13" x14ac:dyDescent="0.3">
      <c r="A68" t="s">
        <v>948</v>
      </c>
      <c r="B68">
        <v>82</v>
      </c>
      <c r="C68">
        <v>23807483</v>
      </c>
      <c r="D68">
        <v>501975</v>
      </c>
      <c r="E68">
        <v>1010</v>
      </c>
      <c r="F68">
        <v>0</v>
      </c>
      <c r="G68">
        <v>357040105</v>
      </c>
      <c r="H68">
        <v>4578579</v>
      </c>
      <c r="I68">
        <v>60874</v>
      </c>
      <c r="J68">
        <v>3007799</v>
      </c>
      <c r="K68">
        <v>40276</v>
      </c>
      <c r="L68" t="s">
        <v>936</v>
      </c>
      <c r="M68" t="s">
        <v>942</v>
      </c>
    </row>
    <row r="69" spans="1:13" x14ac:dyDescent="0.3">
      <c r="A69" t="s">
        <v>955</v>
      </c>
      <c r="B69">
        <v>44</v>
      </c>
      <c r="C69">
        <v>23410331</v>
      </c>
      <c r="D69">
        <v>509731</v>
      </c>
      <c r="E69">
        <v>300</v>
      </c>
      <c r="F69">
        <v>0</v>
      </c>
      <c r="G69">
        <v>404168608</v>
      </c>
      <c r="H69">
        <v>5177578</v>
      </c>
      <c r="I69">
        <v>58262</v>
      </c>
      <c r="J69">
        <v>2743373</v>
      </c>
      <c r="K69">
        <v>42300</v>
      </c>
      <c r="L69" t="s">
        <v>936</v>
      </c>
      <c r="M69" t="s">
        <v>939</v>
      </c>
    </row>
    <row r="70" spans="1:13" x14ac:dyDescent="0.3">
      <c r="A70" t="s">
        <v>763</v>
      </c>
      <c r="B70">
        <v>29</v>
      </c>
      <c r="C70">
        <v>23405714</v>
      </c>
      <c r="D70">
        <v>459160</v>
      </c>
      <c r="E70">
        <v>0</v>
      </c>
      <c r="F70">
        <v>0</v>
      </c>
      <c r="G70">
        <v>349298946</v>
      </c>
      <c r="H70">
        <v>5254496</v>
      </c>
      <c r="I70">
        <v>43894</v>
      </c>
      <c r="J70">
        <v>2990195</v>
      </c>
      <c r="K70">
        <v>37283</v>
      </c>
      <c r="L70" t="s">
        <v>936</v>
      </c>
      <c r="M70" t="s">
        <v>940</v>
      </c>
    </row>
    <row r="71" spans="1:13" x14ac:dyDescent="0.3">
      <c r="A71" t="s">
        <v>952</v>
      </c>
      <c r="B71">
        <v>70</v>
      </c>
      <c r="C71">
        <v>23292681</v>
      </c>
      <c r="D71">
        <v>509862</v>
      </c>
      <c r="E71">
        <v>1203</v>
      </c>
      <c r="F71">
        <v>0</v>
      </c>
      <c r="G71">
        <v>405564430</v>
      </c>
      <c r="H71">
        <v>5006795</v>
      </c>
      <c r="I71">
        <v>56438</v>
      </c>
      <c r="J71">
        <v>3312487</v>
      </c>
      <c r="K71">
        <v>36950</v>
      </c>
      <c r="L71" t="s">
        <v>936</v>
      </c>
      <c r="M71" t="s">
        <v>942</v>
      </c>
    </row>
    <row r="72" spans="1:13" x14ac:dyDescent="0.3">
      <c r="A72" t="s">
        <v>785</v>
      </c>
      <c r="B72">
        <v>48</v>
      </c>
      <c r="C72">
        <v>22784707</v>
      </c>
      <c r="D72">
        <v>512340</v>
      </c>
      <c r="E72">
        <v>10638</v>
      </c>
      <c r="F72">
        <v>0</v>
      </c>
      <c r="G72">
        <v>337417526</v>
      </c>
      <c r="H72">
        <v>5629201</v>
      </c>
      <c r="I72">
        <v>148470</v>
      </c>
      <c r="J72">
        <v>3404300</v>
      </c>
      <c r="K72">
        <v>38850</v>
      </c>
      <c r="L72" t="s">
        <v>936</v>
      </c>
      <c r="M72" t="s">
        <v>946</v>
      </c>
    </row>
    <row r="73" spans="1:13" x14ac:dyDescent="0.3">
      <c r="A73" t="s">
        <v>802</v>
      </c>
      <c r="B73">
        <v>79</v>
      </c>
      <c r="C73">
        <v>22581362</v>
      </c>
      <c r="D73">
        <v>482359</v>
      </c>
      <c r="E73">
        <v>1672</v>
      </c>
      <c r="F73">
        <v>0</v>
      </c>
      <c r="G73">
        <v>378518178</v>
      </c>
      <c r="H73">
        <v>4616904</v>
      </c>
      <c r="I73">
        <v>46536</v>
      </c>
      <c r="J73">
        <v>2912558</v>
      </c>
      <c r="K73">
        <v>39880</v>
      </c>
      <c r="L73" t="s">
        <v>936</v>
      </c>
      <c r="M73" t="s">
        <v>937</v>
      </c>
    </row>
    <row r="74" spans="1:13" x14ac:dyDescent="0.3">
      <c r="A74" t="s">
        <v>794</v>
      </c>
      <c r="B74">
        <v>71</v>
      </c>
      <c r="C74">
        <v>22520208</v>
      </c>
      <c r="D74">
        <v>371294</v>
      </c>
      <c r="E74">
        <v>0</v>
      </c>
      <c r="F74">
        <v>0</v>
      </c>
      <c r="G74">
        <v>348803324</v>
      </c>
      <c r="H74">
        <v>4239934</v>
      </c>
      <c r="I74">
        <v>29325</v>
      </c>
      <c r="J74">
        <v>6477417</v>
      </c>
      <c r="K74">
        <v>43130</v>
      </c>
      <c r="L74" t="s">
        <v>936</v>
      </c>
      <c r="M74" t="s">
        <v>942</v>
      </c>
    </row>
    <row r="75" spans="1:13" x14ac:dyDescent="0.3">
      <c r="A75" t="s">
        <v>756</v>
      </c>
      <c r="B75">
        <v>24</v>
      </c>
      <c r="C75">
        <v>22406554</v>
      </c>
      <c r="D75">
        <v>495491</v>
      </c>
      <c r="E75">
        <v>376</v>
      </c>
      <c r="F75">
        <v>0</v>
      </c>
      <c r="G75">
        <v>390746583</v>
      </c>
      <c r="H75">
        <v>5942461</v>
      </c>
      <c r="I75">
        <v>55981</v>
      </c>
      <c r="J75">
        <v>3079272</v>
      </c>
      <c r="K75">
        <v>39333</v>
      </c>
      <c r="L75" t="s">
        <v>936</v>
      </c>
      <c r="M75" t="s">
        <v>945</v>
      </c>
    </row>
    <row r="76" spans="1:13" x14ac:dyDescent="0.3">
      <c r="A76" t="s">
        <v>850</v>
      </c>
      <c r="B76">
        <v>144</v>
      </c>
      <c r="C76">
        <v>22300202</v>
      </c>
      <c r="D76">
        <v>291209</v>
      </c>
      <c r="E76">
        <v>404</v>
      </c>
      <c r="F76">
        <v>0</v>
      </c>
      <c r="G76">
        <v>199956896</v>
      </c>
      <c r="H76">
        <v>2238571</v>
      </c>
      <c r="I76">
        <v>40432</v>
      </c>
      <c r="J76">
        <v>2328448</v>
      </c>
      <c r="K76">
        <v>30940</v>
      </c>
      <c r="L76" t="s">
        <v>936</v>
      </c>
      <c r="M76" t="s">
        <v>944</v>
      </c>
    </row>
    <row r="77" spans="1:13" x14ac:dyDescent="0.3">
      <c r="A77" t="s">
        <v>775</v>
      </c>
      <c r="B77">
        <v>47</v>
      </c>
      <c r="C77">
        <v>22168812</v>
      </c>
      <c r="D77">
        <v>467534</v>
      </c>
      <c r="E77">
        <v>0</v>
      </c>
      <c r="F77">
        <v>0</v>
      </c>
      <c r="G77">
        <v>329303217</v>
      </c>
      <c r="H77">
        <v>4984980</v>
      </c>
      <c r="I77">
        <v>49560</v>
      </c>
      <c r="J77">
        <v>3406692</v>
      </c>
      <c r="K77">
        <v>38820</v>
      </c>
      <c r="L77" t="s">
        <v>936</v>
      </c>
      <c r="M77" t="s">
        <v>939</v>
      </c>
    </row>
    <row r="78" spans="1:13" x14ac:dyDescent="0.3">
      <c r="A78" t="s">
        <v>765</v>
      </c>
      <c r="B78">
        <v>30</v>
      </c>
      <c r="C78">
        <v>22137506</v>
      </c>
      <c r="D78">
        <v>477740</v>
      </c>
      <c r="E78">
        <v>2700</v>
      </c>
      <c r="F78">
        <v>384740</v>
      </c>
      <c r="G78">
        <v>421354650</v>
      </c>
      <c r="H78">
        <v>5620963</v>
      </c>
      <c r="I78">
        <v>80924</v>
      </c>
      <c r="J78">
        <v>3848650</v>
      </c>
      <c r="K78">
        <v>42520</v>
      </c>
      <c r="L78" t="s">
        <v>936</v>
      </c>
      <c r="M78" t="s">
        <v>946</v>
      </c>
    </row>
    <row r="79" spans="1:13" x14ac:dyDescent="0.3">
      <c r="A79" t="s">
        <v>602</v>
      </c>
      <c r="B79">
        <v>96</v>
      </c>
      <c r="C79">
        <v>22067684</v>
      </c>
      <c r="D79">
        <v>434741</v>
      </c>
      <c r="E79">
        <v>1523</v>
      </c>
      <c r="F79">
        <v>0</v>
      </c>
      <c r="G79">
        <v>313478406</v>
      </c>
      <c r="H79">
        <v>3906290</v>
      </c>
      <c r="I79">
        <v>64985</v>
      </c>
      <c r="J79">
        <v>6527035</v>
      </c>
      <c r="K79">
        <v>36710</v>
      </c>
      <c r="L79" t="s">
        <v>936</v>
      </c>
      <c r="M79" t="s">
        <v>945</v>
      </c>
    </row>
    <row r="80" spans="1:13" x14ac:dyDescent="0.3">
      <c r="A80" t="s">
        <v>781</v>
      </c>
      <c r="B80">
        <v>45</v>
      </c>
      <c r="C80">
        <v>21932695</v>
      </c>
      <c r="D80">
        <v>440766</v>
      </c>
      <c r="E80">
        <v>0</v>
      </c>
      <c r="F80">
        <v>0</v>
      </c>
      <c r="G80">
        <v>365403720</v>
      </c>
      <c r="H80">
        <v>4823172</v>
      </c>
      <c r="I80">
        <v>44811</v>
      </c>
      <c r="J80">
        <v>2870594</v>
      </c>
      <c r="K80">
        <v>41040</v>
      </c>
      <c r="L80" t="s">
        <v>936</v>
      </c>
      <c r="M80" t="s">
        <v>944</v>
      </c>
    </row>
    <row r="81" spans="1:13" x14ac:dyDescent="0.3">
      <c r="A81" t="s">
        <v>976</v>
      </c>
      <c r="B81">
        <v>104</v>
      </c>
      <c r="C81">
        <v>21871305</v>
      </c>
      <c r="D81">
        <v>412783</v>
      </c>
      <c r="E81">
        <v>1600</v>
      </c>
      <c r="F81">
        <v>0</v>
      </c>
      <c r="G81">
        <v>287418690</v>
      </c>
      <c r="H81">
        <v>3732835</v>
      </c>
      <c r="I81">
        <v>20122</v>
      </c>
      <c r="J81">
        <v>8905273</v>
      </c>
      <c r="K81">
        <v>39320</v>
      </c>
      <c r="L81" t="s">
        <v>936</v>
      </c>
      <c r="M81" t="s">
        <v>942</v>
      </c>
    </row>
    <row r="82" spans="1:13" x14ac:dyDescent="0.3">
      <c r="A82" t="s">
        <v>811</v>
      </c>
      <c r="B82">
        <v>89</v>
      </c>
      <c r="C82">
        <v>21756231</v>
      </c>
      <c r="D82">
        <v>353403</v>
      </c>
      <c r="E82">
        <v>3150</v>
      </c>
      <c r="F82">
        <v>0</v>
      </c>
      <c r="G82">
        <v>301149580</v>
      </c>
      <c r="H82">
        <v>4029370</v>
      </c>
      <c r="I82">
        <v>69336</v>
      </c>
      <c r="J82">
        <v>5828444</v>
      </c>
      <c r="K82">
        <v>40060</v>
      </c>
      <c r="L82" t="s">
        <v>936</v>
      </c>
      <c r="M82" t="s">
        <v>939</v>
      </c>
    </row>
    <row r="83" spans="1:13" x14ac:dyDescent="0.3">
      <c r="A83" t="s">
        <v>767</v>
      </c>
      <c r="B83">
        <v>31</v>
      </c>
      <c r="C83">
        <v>21735589</v>
      </c>
      <c r="D83">
        <v>491244</v>
      </c>
      <c r="E83">
        <v>50</v>
      </c>
      <c r="F83">
        <v>0</v>
      </c>
      <c r="G83">
        <v>391285523</v>
      </c>
      <c r="H83">
        <v>5524206</v>
      </c>
      <c r="I83">
        <v>74664</v>
      </c>
      <c r="J83">
        <v>3135417</v>
      </c>
      <c r="K83">
        <v>39610</v>
      </c>
      <c r="L83" t="s">
        <v>936</v>
      </c>
      <c r="M83" t="s">
        <v>944</v>
      </c>
    </row>
    <row r="84" spans="1:13" x14ac:dyDescent="0.3">
      <c r="A84" t="s">
        <v>825</v>
      </c>
      <c r="B84">
        <v>105</v>
      </c>
      <c r="C84">
        <v>21699732</v>
      </c>
      <c r="D84">
        <v>341639</v>
      </c>
      <c r="E84">
        <v>50</v>
      </c>
      <c r="F84">
        <v>0</v>
      </c>
      <c r="G84">
        <v>285022083</v>
      </c>
      <c r="H84">
        <v>3436773</v>
      </c>
      <c r="I84">
        <v>54638</v>
      </c>
      <c r="J84">
        <v>3499294</v>
      </c>
      <c r="K84">
        <v>39262</v>
      </c>
      <c r="L84" t="s">
        <v>936</v>
      </c>
      <c r="M84" t="s">
        <v>937</v>
      </c>
    </row>
    <row r="85" spans="1:13" x14ac:dyDescent="0.3">
      <c r="A85" t="s">
        <v>950</v>
      </c>
      <c r="B85">
        <v>72</v>
      </c>
      <c r="C85">
        <v>21108065</v>
      </c>
      <c r="D85">
        <v>457277</v>
      </c>
      <c r="E85">
        <v>348</v>
      </c>
      <c r="F85">
        <v>0</v>
      </c>
      <c r="G85">
        <v>370863145</v>
      </c>
      <c r="H85">
        <v>4937848</v>
      </c>
      <c r="I85">
        <v>35687</v>
      </c>
      <c r="J85">
        <v>3348287</v>
      </c>
      <c r="K85">
        <v>36760</v>
      </c>
      <c r="L85" t="s">
        <v>936</v>
      </c>
      <c r="M85" t="s">
        <v>942</v>
      </c>
    </row>
    <row r="86" spans="1:13" x14ac:dyDescent="0.3">
      <c r="A86" t="s">
        <v>833</v>
      </c>
      <c r="B86">
        <v>114</v>
      </c>
      <c r="C86">
        <v>21097774</v>
      </c>
      <c r="D86">
        <v>422930</v>
      </c>
      <c r="E86">
        <v>11250</v>
      </c>
      <c r="F86">
        <v>0</v>
      </c>
      <c r="G86">
        <v>346067214</v>
      </c>
      <c r="H86">
        <v>3403658</v>
      </c>
      <c r="I86">
        <v>64374</v>
      </c>
      <c r="J86">
        <v>2144170</v>
      </c>
      <c r="K86">
        <v>43990</v>
      </c>
      <c r="L86" t="s">
        <v>936</v>
      </c>
      <c r="M86" t="s">
        <v>944</v>
      </c>
    </row>
    <row r="87" spans="1:13" x14ac:dyDescent="0.3">
      <c r="A87" t="s">
        <v>801</v>
      </c>
      <c r="B87">
        <v>78</v>
      </c>
      <c r="C87">
        <v>20793090</v>
      </c>
      <c r="D87">
        <v>449725</v>
      </c>
      <c r="E87">
        <v>385</v>
      </c>
      <c r="F87">
        <v>0</v>
      </c>
      <c r="G87">
        <v>358278250</v>
      </c>
      <c r="H87">
        <v>4738785</v>
      </c>
      <c r="I87">
        <v>44993</v>
      </c>
      <c r="J87">
        <v>5367439</v>
      </c>
      <c r="K87">
        <v>42960</v>
      </c>
      <c r="L87" t="s">
        <v>936</v>
      </c>
      <c r="M87" t="s">
        <v>944</v>
      </c>
    </row>
    <row r="88" spans="1:13" x14ac:dyDescent="0.3">
      <c r="A88" t="s">
        <v>796</v>
      </c>
      <c r="B88">
        <v>67</v>
      </c>
      <c r="C88">
        <v>20717729</v>
      </c>
      <c r="D88">
        <v>396685</v>
      </c>
      <c r="E88">
        <v>9000</v>
      </c>
      <c r="F88">
        <v>0</v>
      </c>
      <c r="G88">
        <v>360559331</v>
      </c>
      <c r="H88">
        <v>4398423</v>
      </c>
      <c r="I88">
        <v>91882</v>
      </c>
      <c r="J88">
        <v>3048789</v>
      </c>
      <c r="K88">
        <v>35040</v>
      </c>
      <c r="L88" t="s">
        <v>936</v>
      </c>
      <c r="M88" t="s">
        <v>946</v>
      </c>
    </row>
    <row r="89" spans="1:13" x14ac:dyDescent="0.3">
      <c r="A89" t="s">
        <v>874</v>
      </c>
      <c r="B89">
        <v>167</v>
      </c>
      <c r="C89">
        <v>20714811</v>
      </c>
      <c r="D89">
        <v>209489</v>
      </c>
      <c r="E89">
        <v>10489</v>
      </c>
      <c r="F89">
        <v>0</v>
      </c>
      <c r="G89">
        <v>234325093</v>
      </c>
      <c r="H89">
        <v>1735449</v>
      </c>
      <c r="I89">
        <v>19852</v>
      </c>
      <c r="J89">
        <v>8549159</v>
      </c>
      <c r="K89">
        <v>39542</v>
      </c>
      <c r="L89" t="s">
        <v>936</v>
      </c>
      <c r="M89" t="s">
        <v>937</v>
      </c>
    </row>
    <row r="90" spans="1:13" x14ac:dyDescent="0.3">
      <c r="A90" t="s">
        <v>768</v>
      </c>
      <c r="B90">
        <v>41</v>
      </c>
      <c r="C90">
        <v>20457191</v>
      </c>
      <c r="D90">
        <v>412729</v>
      </c>
      <c r="E90">
        <v>0</v>
      </c>
      <c r="F90">
        <v>0</v>
      </c>
      <c r="G90">
        <v>360981335</v>
      </c>
      <c r="H90">
        <v>4772701</v>
      </c>
      <c r="I90">
        <v>49944</v>
      </c>
      <c r="J90">
        <v>2817074</v>
      </c>
      <c r="K90">
        <v>39920</v>
      </c>
      <c r="L90" t="s">
        <v>936</v>
      </c>
      <c r="M90" t="s">
        <v>937</v>
      </c>
    </row>
    <row r="91" spans="1:13" x14ac:dyDescent="0.3">
      <c r="A91" t="s">
        <v>953</v>
      </c>
      <c r="B91">
        <v>85</v>
      </c>
      <c r="C91">
        <v>20433440</v>
      </c>
      <c r="D91">
        <v>421924</v>
      </c>
      <c r="E91">
        <v>101</v>
      </c>
      <c r="F91">
        <v>0</v>
      </c>
      <c r="G91">
        <v>366879314</v>
      </c>
      <c r="H91">
        <v>4432134</v>
      </c>
      <c r="I91">
        <v>32342</v>
      </c>
      <c r="J91">
        <v>3306963</v>
      </c>
      <c r="K91">
        <v>40636</v>
      </c>
      <c r="L91" t="s">
        <v>936</v>
      </c>
      <c r="M91" t="s">
        <v>942</v>
      </c>
    </row>
    <row r="92" spans="1:13" x14ac:dyDescent="0.3">
      <c r="A92" t="s">
        <v>818</v>
      </c>
      <c r="B92">
        <v>92</v>
      </c>
      <c r="C92">
        <v>20363251</v>
      </c>
      <c r="D92">
        <v>331134</v>
      </c>
      <c r="E92">
        <v>10000</v>
      </c>
      <c r="F92">
        <v>0</v>
      </c>
      <c r="G92">
        <v>315034761</v>
      </c>
      <c r="H92">
        <v>4104677</v>
      </c>
      <c r="I92">
        <v>148278</v>
      </c>
      <c r="J92">
        <v>4891434</v>
      </c>
      <c r="K92">
        <v>39730</v>
      </c>
      <c r="L92" t="s">
        <v>936</v>
      </c>
      <c r="M92" t="s">
        <v>946</v>
      </c>
    </row>
    <row r="93" spans="1:13" x14ac:dyDescent="0.3">
      <c r="A93" t="s">
        <v>837</v>
      </c>
      <c r="B93">
        <v>119</v>
      </c>
      <c r="C93">
        <v>20291850</v>
      </c>
      <c r="D93">
        <v>410317</v>
      </c>
      <c r="E93">
        <v>202</v>
      </c>
      <c r="F93">
        <v>0</v>
      </c>
      <c r="G93">
        <v>297691445</v>
      </c>
      <c r="H93">
        <v>3313470</v>
      </c>
      <c r="I93">
        <v>34699</v>
      </c>
      <c r="J93">
        <v>11047709</v>
      </c>
      <c r="K93">
        <v>35713</v>
      </c>
      <c r="L93" t="s">
        <v>936</v>
      </c>
      <c r="M93" t="s">
        <v>937</v>
      </c>
    </row>
    <row r="94" spans="1:13" x14ac:dyDescent="0.3">
      <c r="A94" t="s">
        <v>887</v>
      </c>
      <c r="B94">
        <v>181</v>
      </c>
      <c r="C94">
        <v>19974307</v>
      </c>
      <c r="D94">
        <v>181795</v>
      </c>
      <c r="E94">
        <v>19884</v>
      </c>
      <c r="F94">
        <v>0</v>
      </c>
      <c r="G94">
        <v>125394324</v>
      </c>
      <c r="H94">
        <v>1669097</v>
      </c>
      <c r="I94">
        <v>143718</v>
      </c>
      <c r="J94">
        <v>60926385</v>
      </c>
      <c r="K94">
        <v>20421</v>
      </c>
      <c r="L94" t="s">
        <v>936</v>
      </c>
      <c r="M94" t="s">
        <v>937</v>
      </c>
    </row>
    <row r="95" spans="1:13" x14ac:dyDescent="0.3">
      <c r="A95" t="s">
        <v>788</v>
      </c>
      <c r="B95">
        <v>65</v>
      </c>
      <c r="C95">
        <v>19866576</v>
      </c>
      <c r="D95">
        <v>384785</v>
      </c>
      <c r="E95">
        <v>0</v>
      </c>
      <c r="F95">
        <v>0</v>
      </c>
      <c r="G95">
        <v>353756783</v>
      </c>
      <c r="H95">
        <v>4301748</v>
      </c>
      <c r="I95">
        <v>48763</v>
      </c>
      <c r="J95">
        <v>3359356</v>
      </c>
      <c r="K95">
        <v>47020</v>
      </c>
      <c r="L95" t="s">
        <v>936</v>
      </c>
      <c r="M95" t="s">
        <v>944</v>
      </c>
    </row>
    <row r="96" spans="1:13" x14ac:dyDescent="0.3">
      <c r="A96" t="s">
        <v>601</v>
      </c>
      <c r="B96">
        <v>87</v>
      </c>
      <c r="C96">
        <v>19842026</v>
      </c>
      <c r="D96">
        <v>416478</v>
      </c>
      <c r="E96">
        <v>0</v>
      </c>
      <c r="F96">
        <v>0</v>
      </c>
      <c r="G96">
        <v>298297766</v>
      </c>
      <c r="H96">
        <v>4449401</v>
      </c>
      <c r="I96">
        <v>47174</v>
      </c>
      <c r="J96">
        <v>4578043</v>
      </c>
      <c r="K96">
        <v>37853</v>
      </c>
      <c r="L96" t="s">
        <v>936</v>
      </c>
      <c r="M96" t="s">
        <v>945</v>
      </c>
    </row>
    <row r="97" spans="1:13" x14ac:dyDescent="0.3">
      <c r="A97" t="s">
        <v>779</v>
      </c>
      <c r="B97">
        <v>53</v>
      </c>
      <c r="C97">
        <v>19630391</v>
      </c>
      <c r="D97">
        <v>394548</v>
      </c>
      <c r="E97">
        <v>1050</v>
      </c>
      <c r="F97">
        <v>0</v>
      </c>
      <c r="G97">
        <v>397115857</v>
      </c>
      <c r="H97">
        <v>4869554</v>
      </c>
      <c r="I97">
        <v>36221</v>
      </c>
      <c r="J97">
        <v>3066559</v>
      </c>
      <c r="K97">
        <v>37720</v>
      </c>
      <c r="L97" t="s">
        <v>936</v>
      </c>
      <c r="M97" t="s">
        <v>940</v>
      </c>
    </row>
    <row r="98" spans="1:13" x14ac:dyDescent="0.3">
      <c r="A98" t="s">
        <v>789</v>
      </c>
      <c r="B98">
        <v>58</v>
      </c>
      <c r="C98">
        <v>19580182</v>
      </c>
      <c r="D98">
        <v>398039</v>
      </c>
      <c r="E98">
        <v>573</v>
      </c>
      <c r="F98">
        <v>0</v>
      </c>
      <c r="G98">
        <v>385253862</v>
      </c>
      <c r="H98">
        <v>4863272</v>
      </c>
      <c r="I98">
        <v>90650</v>
      </c>
      <c r="J98">
        <v>3538091</v>
      </c>
      <c r="K98">
        <v>40810</v>
      </c>
      <c r="L98" t="s">
        <v>936</v>
      </c>
      <c r="M98" t="s">
        <v>945</v>
      </c>
    </row>
    <row r="99" spans="1:13" x14ac:dyDescent="0.3">
      <c r="A99" t="s">
        <v>852</v>
      </c>
      <c r="B99">
        <v>147</v>
      </c>
      <c r="C99">
        <v>19576628</v>
      </c>
      <c r="D99">
        <v>227293</v>
      </c>
      <c r="E99">
        <v>0</v>
      </c>
      <c r="F99">
        <v>0</v>
      </c>
      <c r="G99">
        <v>227187786</v>
      </c>
      <c r="H99">
        <v>2395990</v>
      </c>
      <c r="I99">
        <v>17044</v>
      </c>
      <c r="J99">
        <v>3417438</v>
      </c>
      <c r="K99">
        <v>34180</v>
      </c>
      <c r="L99" t="s">
        <v>936</v>
      </c>
      <c r="M99" t="s">
        <v>940</v>
      </c>
    </row>
    <row r="100" spans="1:13" x14ac:dyDescent="0.3">
      <c r="A100" t="s">
        <v>813</v>
      </c>
      <c r="B100">
        <v>90</v>
      </c>
      <c r="C100">
        <v>19090262</v>
      </c>
      <c r="D100">
        <v>399106</v>
      </c>
      <c r="E100">
        <v>0</v>
      </c>
      <c r="F100">
        <v>0</v>
      </c>
      <c r="G100">
        <v>306440464</v>
      </c>
      <c r="H100">
        <v>4274380</v>
      </c>
      <c r="I100">
        <v>34907</v>
      </c>
      <c r="J100">
        <v>3365819</v>
      </c>
      <c r="K100">
        <v>35330</v>
      </c>
      <c r="L100" t="s">
        <v>936</v>
      </c>
      <c r="M100" t="s">
        <v>939</v>
      </c>
    </row>
    <row r="101" spans="1:13" x14ac:dyDescent="0.3">
      <c r="A101" t="s">
        <v>762</v>
      </c>
      <c r="B101">
        <v>27</v>
      </c>
      <c r="C101">
        <v>18940001</v>
      </c>
      <c r="D101">
        <v>380772</v>
      </c>
      <c r="E101">
        <v>900</v>
      </c>
      <c r="F101">
        <v>0</v>
      </c>
      <c r="G101">
        <v>443655661</v>
      </c>
      <c r="H101">
        <v>5350997</v>
      </c>
      <c r="I101">
        <v>74247</v>
      </c>
      <c r="J101">
        <v>4079718</v>
      </c>
      <c r="K101">
        <v>43566</v>
      </c>
      <c r="L101" t="s">
        <v>936</v>
      </c>
      <c r="M101" t="s">
        <v>937</v>
      </c>
    </row>
    <row r="102" spans="1:13" x14ac:dyDescent="0.3">
      <c r="A102" t="s">
        <v>834</v>
      </c>
      <c r="B102">
        <v>115</v>
      </c>
      <c r="C102">
        <v>18856568</v>
      </c>
      <c r="D102">
        <v>379380</v>
      </c>
      <c r="E102">
        <v>714</v>
      </c>
      <c r="F102">
        <v>0</v>
      </c>
      <c r="G102">
        <v>282700978</v>
      </c>
      <c r="H102">
        <v>3484991</v>
      </c>
      <c r="I102">
        <v>6059</v>
      </c>
      <c r="J102">
        <v>8914326</v>
      </c>
      <c r="K102">
        <v>31543</v>
      </c>
      <c r="L102" t="s">
        <v>936</v>
      </c>
      <c r="M102" t="s">
        <v>937</v>
      </c>
    </row>
    <row r="103" spans="1:13" x14ac:dyDescent="0.3">
      <c r="A103" t="s">
        <v>830</v>
      </c>
      <c r="B103">
        <v>118</v>
      </c>
      <c r="C103">
        <v>18845935</v>
      </c>
      <c r="D103">
        <v>336965</v>
      </c>
      <c r="E103">
        <v>3150</v>
      </c>
      <c r="F103">
        <v>0</v>
      </c>
      <c r="G103">
        <v>248855657</v>
      </c>
      <c r="H103">
        <v>3336494</v>
      </c>
      <c r="I103">
        <v>62559</v>
      </c>
      <c r="J103">
        <v>4167307</v>
      </c>
      <c r="K103">
        <v>29470</v>
      </c>
      <c r="L103" t="s">
        <v>936</v>
      </c>
      <c r="M103" t="s">
        <v>945</v>
      </c>
    </row>
    <row r="104" spans="1:13" x14ac:dyDescent="0.3">
      <c r="A104" t="s">
        <v>954</v>
      </c>
      <c r="B104">
        <v>98</v>
      </c>
      <c r="C104">
        <v>18800125</v>
      </c>
      <c r="D104">
        <v>378303</v>
      </c>
      <c r="E104">
        <v>284</v>
      </c>
      <c r="F104">
        <v>0</v>
      </c>
      <c r="G104">
        <v>288473181</v>
      </c>
      <c r="H104">
        <v>3726443</v>
      </c>
      <c r="I104">
        <v>43182</v>
      </c>
      <c r="J104">
        <v>6279036</v>
      </c>
      <c r="K104">
        <v>40910</v>
      </c>
      <c r="L104" t="s">
        <v>936</v>
      </c>
      <c r="M104" t="s">
        <v>945</v>
      </c>
    </row>
    <row r="105" spans="1:13" x14ac:dyDescent="0.3">
      <c r="A105" t="s">
        <v>820</v>
      </c>
      <c r="B105">
        <v>93</v>
      </c>
      <c r="C105">
        <v>18764802</v>
      </c>
      <c r="D105">
        <v>387541</v>
      </c>
      <c r="E105">
        <v>700</v>
      </c>
      <c r="F105">
        <v>0</v>
      </c>
      <c r="G105">
        <v>324152991</v>
      </c>
      <c r="H105">
        <v>3841254</v>
      </c>
      <c r="I105">
        <v>46166</v>
      </c>
      <c r="J105">
        <v>4123091</v>
      </c>
      <c r="K105">
        <v>35683</v>
      </c>
      <c r="L105" t="s">
        <v>936</v>
      </c>
      <c r="M105" t="s">
        <v>946</v>
      </c>
    </row>
    <row r="106" spans="1:13" x14ac:dyDescent="0.3">
      <c r="A106" t="s">
        <v>790</v>
      </c>
      <c r="B106">
        <v>61</v>
      </c>
      <c r="C106">
        <v>18672968</v>
      </c>
      <c r="D106">
        <v>373854</v>
      </c>
      <c r="E106">
        <v>6731</v>
      </c>
      <c r="F106">
        <v>0</v>
      </c>
      <c r="G106">
        <v>344748095</v>
      </c>
      <c r="H106">
        <v>4565882</v>
      </c>
      <c r="I106">
        <v>53612</v>
      </c>
      <c r="J106">
        <v>2836865</v>
      </c>
      <c r="K106">
        <v>38370</v>
      </c>
      <c r="L106" t="s">
        <v>936</v>
      </c>
      <c r="M106" t="s">
        <v>945</v>
      </c>
    </row>
    <row r="107" spans="1:13" x14ac:dyDescent="0.3">
      <c r="A107" t="s">
        <v>958</v>
      </c>
      <c r="B107">
        <v>109</v>
      </c>
      <c r="C107">
        <v>18601787</v>
      </c>
      <c r="D107">
        <v>373511</v>
      </c>
      <c r="E107">
        <v>0</v>
      </c>
      <c r="F107">
        <v>0</v>
      </c>
      <c r="G107">
        <v>257582981</v>
      </c>
      <c r="H107">
        <v>3467078</v>
      </c>
      <c r="I107">
        <v>15948</v>
      </c>
      <c r="J107">
        <v>4317550</v>
      </c>
      <c r="K107">
        <v>41600</v>
      </c>
      <c r="L107" t="s">
        <v>936</v>
      </c>
      <c r="M107" t="s">
        <v>945</v>
      </c>
    </row>
    <row r="108" spans="1:13" x14ac:dyDescent="0.3">
      <c r="A108" t="s">
        <v>971</v>
      </c>
      <c r="B108">
        <v>121</v>
      </c>
      <c r="C108">
        <v>18422682</v>
      </c>
      <c r="D108">
        <v>355178</v>
      </c>
      <c r="E108">
        <v>350</v>
      </c>
      <c r="F108">
        <v>0</v>
      </c>
      <c r="G108">
        <v>277262030</v>
      </c>
      <c r="H108">
        <v>3052511</v>
      </c>
      <c r="I108">
        <v>33151</v>
      </c>
      <c r="J108">
        <v>3579744</v>
      </c>
      <c r="K108">
        <v>37750</v>
      </c>
      <c r="L108" t="s">
        <v>936</v>
      </c>
      <c r="M108" t="s">
        <v>942</v>
      </c>
    </row>
    <row r="109" spans="1:13" x14ac:dyDescent="0.3">
      <c r="A109" t="s">
        <v>822</v>
      </c>
      <c r="B109">
        <v>97</v>
      </c>
      <c r="C109">
        <v>18410294</v>
      </c>
      <c r="D109">
        <v>408612</v>
      </c>
      <c r="E109">
        <v>350</v>
      </c>
      <c r="F109">
        <v>0</v>
      </c>
      <c r="G109">
        <v>327817850</v>
      </c>
      <c r="H109">
        <v>3734845</v>
      </c>
      <c r="I109">
        <v>83787</v>
      </c>
      <c r="J109">
        <v>2963087</v>
      </c>
      <c r="K109">
        <v>39660</v>
      </c>
      <c r="L109" t="s">
        <v>936</v>
      </c>
      <c r="M109" t="s">
        <v>944</v>
      </c>
    </row>
    <row r="110" spans="1:13" x14ac:dyDescent="0.3">
      <c r="A110" t="s">
        <v>829</v>
      </c>
      <c r="B110">
        <v>113</v>
      </c>
      <c r="C110">
        <v>18372292</v>
      </c>
      <c r="D110">
        <v>396056</v>
      </c>
      <c r="E110">
        <v>0</v>
      </c>
      <c r="F110">
        <v>0</v>
      </c>
      <c r="G110">
        <v>405626910</v>
      </c>
      <c r="H110">
        <v>3770291</v>
      </c>
      <c r="I110">
        <v>37907</v>
      </c>
      <c r="J110">
        <v>2736506</v>
      </c>
      <c r="K110">
        <v>49586</v>
      </c>
      <c r="L110" t="s">
        <v>936</v>
      </c>
      <c r="M110" t="s">
        <v>944</v>
      </c>
    </row>
    <row r="111" spans="1:13" x14ac:dyDescent="0.3">
      <c r="A111" t="s">
        <v>956</v>
      </c>
      <c r="B111">
        <v>107</v>
      </c>
      <c r="C111">
        <v>18337304</v>
      </c>
      <c r="D111">
        <v>414569</v>
      </c>
      <c r="E111">
        <v>10800</v>
      </c>
      <c r="F111">
        <v>0</v>
      </c>
      <c r="G111">
        <v>255620439</v>
      </c>
      <c r="H111">
        <v>3628002</v>
      </c>
      <c r="I111">
        <v>116393</v>
      </c>
      <c r="J111">
        <v>8448987</v>
      </c>
      <c r="K111">
        <v>34316</v>
      </c>
      <c r="L111" t="s">
        <v>936</v>
      </c>
      <c r="M111" t="s">
        <v>942</v>
      </c>
    </row>
    <row r="112" spans="1:13" x14ac:dyDescent="0.3">
      <c r="A112" t="s">
        <v>849</v>
      </c>
      <c r="B112">
        <v>136</v>
      </c>
      <c r="C112">
        <v>18321868</v>
      </c>
      <c r="D112">
        <v>318502</v>
      </c>
      <c r="E112">
        <v>0</v>
      </c>
      <c r="F112">
        <v>0</v>
      </c>
      <c r="G112">
        <v>382181559</v>
      </c>
      <c r="H112">
        <v>2660386</v>
      </c>
      <c r="I112">
        <v>19742</v>
      </c>
      <c r="J112">
        <v>4192603</v>
      </c>
      <c r="K112">
        <v>36930</v>
      </c>
      <c r="L112" t="s">
        <v>936</v>
      </c>
      <c r="M112" t="s">
        <v>937</v>
      </c>
    </row>
    <row r="113" spans="1:13" x14ac:dyDescent="0.3">
      <c r="A113" t="s">
        <v>826</v>
      </c>
      <c r="B113">
        <v>106</v>
      </c>
      <c r="C113">
        <v>18251624</v>
      </c>
      <c r="D113">
        <v>374910</v>
      </c>
      <c r="E113">
        <v>1964</v>
      </c>
      <c r="F113">
        <v>0</v>
      </c>
      <c r="G113">
        <v>293816851</v>
      </c>
      <c r="H113">
        <v>3949973</v>
      </c>
      <c r="I113">
        <v>29163</v>
      </c>
      <c r="J113">
        <v>2706596</v>
      </c>
      <c r="K113">
        <v>37583</v>
      </c>
      <c r="L113" t="s">
        <v>936</v>
      </c>
      <c r="M113" t="s">
        <v>940</v>
      </c>
    </row>
    <row r="114" spans="1:13" x14ac:dyDescent="0.3">
      <c r="A114" t="s">
        <v>865</v>
      </c>
      <c r="B114">
        <v>148</v>
      </c>
      <c r="C114">
        <v>18121477</v>
      </c>
      <c r="D114">
        <v>376992</v>
      </c>
      <c r="E114">
        <v>0</v>
      </c>
      <c r="F114">
        <v>0</v>
      </c>
      <c r="G114">
        <v>233162915</v>
      </c>
      <c r="H114">
        <v>2488007</v>
      </c>
      <c r="I114">
        <v>3797</v>
      </c>
      <c r="J114">
        <v>35083546</v>
      </c>
      <c r="K114">
        <v>38640</v>
      </c>
      <c r="L114" t="s">
        <v>936</v>
      </c>
      <c r="M114" t="s">
        <v>937</v>
      </c>
    </row>
    <row r="115" spans="1:13" x14ac:dyDescent="0.3">
      <c r="A115" t="s">
        <v>972</v>
      </c>
      <c r="B115">
        <v>86</v>
      </c>
      <c r="C115">
        <v>18114030</v>
      </c>
      <c r="D115">
        <v>365136</v>
      </c>
      <c r="E115">
        <v>0</v>
      </c>
      <c r="F115">
        <v>0</v>
      </c>
      <c r="G115">
        <v>367049857</v>
      </c>
      <c r="H115">
        <v>4101418</v>
      </c>
      <c r="I115">
        <v>40760</v>
      </c>
      <c r="J115">
        <v>2716994</v>
      </c>
      <c r="K115">
        <v>41820</v>
      </c>
      <c r="L115" t="s">
        <v>936</v>
      </c>
      <c r="M115" t="s">
        <v>942</v>
      </c>
    </row>
    <row r="116" spans="1:13" x14ac:dyDescent="0.3">
      <c r="A116" t="s">
        <v>951</v>
      </c>
      <c r="B116">
        <v>69</v>
      </c>
      <c r="C116">
        <v>17946893</v>
      </c>
      <c r="D116">
        <v>400638</v>
      </c>
      <c r="E116">
        <v>170</v>
      </c>
      <c r="F116">
        <v>0</v>
      </c>
      <c r="G116">
        <v>319042279</v>
      </c>
      <c r="H116">
        <v>4823406</v>
      </c>
      <c r="I116">
        <v>110238</v>
      </c>
      <c r="J116">
        <v>2944971</v>
      </c>
      <c r="K116">
        <v>38300</v>
      </c>
      <c r="L116" t="s">
        <v>936</v>
      </c>
      <c r="M116" t="s">
        <v>940</v>
      </c>
    </row>
    <row r="117" spans="1:13" x14ac:dyDescent="0.3">
      <c r="A117" t="s">
        <v>968</v>
      </c>
      <c r="B117">
        <v>151</v>
      </c>
      <c r="C117">
        <v>17888818</v>
      </c>
      <c r="D117">
        <v>371040</v>
      </c>
      <c r="E117">
        <v>552</v>
      </c>
      <c r="F117">
        <v>0</v>
      </c>
      <c r="G117">
        <v>213666471</v>
      </c>
      <c r="H117">
        <v>2360939</v>
      </c>
      <c r="I117">
        <v>8060</v>
      </c>
      <c r="J117">
        <v>3626092</v>
      </c>
      <c r="K117">
        <v>35570</v>
      </c>
      <c r="L117" t="s">
        <v>936</v>
      </c>
      <c r="M117" t="s">
        <v>945</v>
      </c>
    </row>
    <row r="118" spans="1:13" x14ac:dyDescent="0.3">
      <c r="A118" t="s">
        <v>807</v>
      </c>
      <c r="B118">
        <v>84</v>
      </c>
      <c r="C118">
        <v>17670404</v>
      </c>
      <c r="D118">
        <v>329629</v>
      </c>
      <c r="E118">
        <v>0</v>
      </c>
      <c r="F118">
        <v>0</v>
      </c>
      <c r="G118">
        <v>324160030</v>
      </c>
      <c r="H118">
        <v>4329946</v>
      </c>
      <c r="I118">
        <v>34705</v>
      </c>
      <c r="J118">
        <v>3953012</v>
      </c>
      <c r="K118">
        <v>41800</v>
      </c>
      <c r="L118" t="s">
        <v>936</v>
      </c>
      <c r="M118" t="s">
        <v>939</v>
      </c>
    </row>
    <row r="119" spans="1:13" x14ac:dyDescent="0.3">
      <c r="A119" t="s">
        <v>866</v>
      </c>
      <c r="B119">
        <v>166</v>
      </c>
      <c r="C119">
        <v>17644275</v>
      </c>
      <c r="D119">
        <v>216711</v>
      </c>
      <c r="E119">
        <v>1250</v>
      </c>
      <c r="F119">
        <v>0</v>
      </c>
      <c r="G119">
        <v>222111673</v>
      </c>
      <c r="H119">
        <v>1514818</v>
      </c>
      <c r="I119">
        <v>86743</v>
      </c>
      <c r="J119">
        <v>2792897</v>
      </c>
      <c r="K119">
        <v>34560</v>
      </c>
      <c r="L119" t="s">
        <v>936</v>
      </c>
      <c r="M119" t="s">
        <v>944</v>
      </c>
    </row>
    <row r="120" spans="1:13" x14ac:dyDescent="0.3">
      <c r="A120" t="s">
        <v>974</v>
      </c>
      <c r="B120">
        <v>135</v>
      </c>
      <c r="C120">
        <v>17449348</v>
      </c>
      <c r="D120">
        <v>374717</v>
      </c>
      <c r="E120">
        <v>1050</v>
      </c>
      <c r="F120">
        <v>0</v>
      </c>
      <c r="G120">
        <v>248054980</v>
      </c>
      <c r="H120">
        <v>2829844</v>
      </c>
      <c r="I120">
        <v>25026</v>
      </c>
      <c r="J120">
        <v>12114174</v>
      </c>
      <c r="K120">
        <v>40300</v>
      </c>
      <c r="L120" t="s">
        <v>936</v>
      </c>
      <c r="M120" t="s">
        <v>942</v>
      </c>
    </row>
    <row r="121" spans="1:13" x14ac:dyDescent="0.3">
      <c r="A121" t="s">
        <v>782</v>
      </c>
      <c r="B121">
        <v>60</v>
      </c>
      <c r="C121">
        <v>17292959</v>
      </c>
      <c r="D121">
        <v>317599</v>
      </c>
      <c r="E121">
        <v>1350</v>
      </c>
      <c r="F121">
        <v>0</v>
      </c>
      <c r="G121">
        <v>404188055</v>
      </c>
      <c r="H121">
        <v>4477928</v>
      </c>
      <c r="I121">
        <v>70718</v>
      </c>
      <c r="J121">
        <v>3629210</v>
      </c>
      <c r="K121">
        <v>41210</v>
      </c>
      <c r="L121" t="s">
        <v>936</v>
      </c>
      <c r="M121" t="s">
        <v>937</v>
      </c>
    </row>
    <row r="122" spans="1:13" x14ac:dyDescent="0.3">
      <c r="A122" t="s">
        <v>816</v>
      </c>
      <c r="B122">
        <v>95</v>
      </c>
      <c r="C122">
        <v>17005185</v>
      </c>
      <c r="D122">
        <v>310018</v>
      </c>
      <c r="E122">
        <v>3837</v>
      </c>
      <c r="F122">
        <v>0</v>
      </c>
      <c r="G122">
        <v>283636055</v>
      </c>
      <c r="H122">
        <v>3894617</v>
      </c>
      <c r="I122">
        <v>117026</v>
      </c>
      <c r="J122">
        <v>2734459</v>
      </c>
      <c r="K122">
        <v>39040</v>
      </c>
      <c r="L122" t="s">
        <v>936</v>
      </c>
      <c r="M122" t="s">
        <v>940</v>
      </c>
    </row>
    <row r="123" spans="1:13" x14ac:dyDescent="0.3">
      <c r="A123" t="s">
        <v>750</v>
      </c>
      <c r="B123">
        <v>19</v>
      </c>
      <c r="C123">
        <v>16818955</v>
      </c>
      <c r="D123">
        <v>341568</v>
      </c>
      <c r="E123">
        <v>1400</v>
      </c>
      <c r="F123">
        <v>0</v>
      </c>
      <c r="G123">
        <v>372501663</v>
      </c>
      <c r="H123">
        <v>5642423</v>
      </c>
      <c r="I123">
        <v>39513</v>
      </c>
      <c r="J123">
        <v>2726006</v>
      </c>
      <c r="K123">
        <v>41220</v>
      </c>
      <c r="L123" t="s">
        <v>936</v>
      </c>
      <c r="M123" t="s">
        <v>940</v>
      </c>
    </row>
    <row r="124" spans="1:13" x14ac:dyDescent="0.3">
      <c r="A124" t="s">
        <v>787</v>
      </c>
      <c r="B124">
        <v>64</v>
      </c>
      <c r="C124">
        <v>16740040</v>
      </c>
      <c r="D124">
        <v>335003</v>
      </c>
      <c r="E124">
        <v>0</v>
      </c>
      <c r="F124">
        <v>0</v>
      </c>
      <c r="G124">
        <v>329089992</v>
      </c>
      <c r="H124">
        <v>4419904</v>
      </c>
      <c r="I124">
        <v>42937</v>
      </c>
      <c r="J124">
        <v>3787035</v>
      </c>
      <c r="K124">
        <v>33240</v>
      </c>
      <c r="L124" t="s">
        <v>936</v>
      </c>
      <c r="M124" t="s">
        <v>939</v>
      </c>
    </row>
    <row r="125" spans="1:13" x14ac:dyDescent="0.3">
      <c r="A125" t="s">
        <v>823</v>
      </c>
      <c r="B125">
        <v>99</v>
      </c>
      <c r="C125">
        <v>16726758</v>
      </c>
      <c r="D125">
        <v>369493</v>
      </c>
      <c r="E125">
        <v>293</v>
      </c>
      <c r="F125">
        <v>418103</v>
      </c>
      <c r="G125">
        <v>314926140</v>
      </c>
      <c r="H125">
        <v>3914220</v>
      </c>
      <c r="I125">
        <v>51444</v>
      </c>
      <c r="J125">
        <v>8491243</v>
      </c>
      <c r="K125">
        <v>39053</v>
      </c>
      <c r="L125" t="s">
        <v>936</v>
      </c>
      <c r="M125" t="s">
        <v>937</v>
      </c>
    </row>
    <row r="126" spans="1:13" x14ac:dyDescent="0.3">
      <c r="A126" t="s">
        <v>867</v>
      </c>
      <c r="B126">
        <v>161</v>
      </c>
      <c r="C126">
        <v>15733338</v>
      </c>
      <c r="D126">
        <v>223111</v>
      </c>
      <c r="E126">
        <v>0</v>
      </c>
      <c r="F126">
        <v>0</v>
      </c>
      <c r="G126">
        <v>228470281</v>
      </c>
      <c r="H126">
        <v>1935625</v>
      </c>
      <c r="I126">
        <v>32582</v>
      </c>
      <c r="J126">
        <v>3753806</v>
      </c>
      <c r="K126">
        <v>34780</v>
      </c>
      <c r="L126" t="s">
        <v>936</v>
      </c>
      <c r="M126" t="s">
        <v>940</v>
      </c>
    </row>
    <row r="127" spans="1:13" x14ac:dyDescent="0.3">
      <c r="A127" t="s">
        <v>969</v>
      </c>
      <c r="B127">
        <v>108</v>
      </c>
      <c r="C127">
        <v>15510970</v>
      </c>
      <c r="D127">
        <v>258639</v>
      </c>
      <c r="E127">
        <v>350</v>
      </c>
      <c r="F127">
        <v>0</v>
      </c>
      <c r="G127">
        <v>324669564</v>
      </c>
      <c r="H127">
        <v>3240254</v>
      </c>
      <c r="I127">
        <v>28476</v>
      </c>
      <c r="J127">
        <v>17338769</v>
      </c>
      <c r="K127">
        <v>34560</v>
      </c>
      <c r="L127" t="s">
        <v>936</v>
      </c>
      <c r="M127" t="s">
        <v>946</v>
      </c>
    </row>
    <row r="128" spans="1:13" x14ac:dyDescent="0.3">
      <c r="A128" t="s">
        <v>970</v>
      </c>
      <c r="B128">
        <v>111</v>
      </c>
      <c r="C128">
        <v>15506183</v>
      </c>
      <c r="D128">
        <v>163965</v>
      </c>
      <c r="E128">
        <v>0</v>
      </c>
      <c r="F128">
        <v>0</v>
      </c>
      <c r="G128">
        <v>238562738</v>
      </c>
      <c r="H128">
        <v>2932752</v>
      </c>
      <c r="I128">
        <v>49317</v>
      </c>
      <c r="J128">
        <v>9585335</v>
      </c>
      <c r="K128">
        <v>33900</v>
      </c>
      <c r="L128" t="s">
        <v>936</v>
      </c>
      <c r="M128" t="s">
        <v>939</v>
      </c>
    </row>
    <row r="129" spans="1:13" x14ac:dyDescent="0.3">
      <c r="A129" t="s">
        <v>791</v>
      </c>
      <c r="B129">
        <v>77</v>
      </c>
      <c r="C129">
        <v>15484491</v>
      </c>
      <c r="D129">
        <v>286228</v>
      </c>
      <c r="E129">
        <v>0</v>
      </c>
      <c r="F129">
        <v>0</v>
      </c>
      <c r="G129">
        <v>333273766</v>
      </c>
      <c r="H129">
        <v>4075144</v>
      </c>
      <c r="I129">
        <v>59670</v>
      </c>
      <c r="J129">
        <v>3355651</v>
      </c>
      <c r="K129">
        <v>38110</v>
      </c>
      <c r="L129" t="s">
        <v>936</v>
      </c>
      <c r="M129" t="s">
        <v>939</v>
      </c>
    </row>
    <row r="130" spans="1:13" x14ac:dyDescent="0.3">
      <c r="A130" t="s">
        <v>855</v>
      </c>
      <c r="B130">
        <v>140</v>
      </c>
      <c r="C130">
        <v>15269404</v>
      </c>
      <c r="D130">
        <v>290067</v>
      </c>
      <c r="E130">
        <v>50</v>
      </c>
      <c r="F130">
        <v>0</v>
      </c>
      <c r="G130">
        <v>247050823</v>
      </c>
      <c r="H130">
        <v>2520552</v>
      </c>
      <c r="I130">
        <v>37636</v>
      </c>
      <c r="J130">
        <v>3571075</v>
      </c>
      <c r="K130">
        <v>38630</v>
      </c>
      <c r="L130" t="s">
        <v>936</v>
      </c>
      <c r="M130" t="s">
        <v>940</v>
      </c>
    </row>
    <row r="131" spans="1:13" x14ac:dyDescent="0.3">
      <c r="A131" t="s">
        <v>824</v>
      </c>
      <c r="B131">
        <v>110</v>
      </c>
      <c r="C131">
        <v>15131377</v>
      </c>
      <c r="D131">
        <v>294785</v>
      </c>
      <c r="E131">
        <v>450</v>
      </c>
      <c r="F131">
        <v>0</v>
      </c>
      <c r="G131">
        <v>268627041</v>
      </c>
      <c r="H131">
        <v>3114609</v>
      </c>
      <c r="I131">
        <v>6306</v>
      </c>
      <c r="J131">
        <v>5042586</v>
      </c>
      <c r="K131">
        <v>36393</v>
      </c>
      <c r="L131" t="s">
        <v>936</v>
      </c>
      <c r="M131" t="s">
        <v>959</v>
      </c>
    </row>
    <row r="132" spans="1:13" x14ac:dyDescent="0.3">
      <c r="A132" t="s">
        <v>604</v>
      </c>
      <c r="B132">
        <v>130</v>
      </c>
      <c r="C132">
        <v>15071638</v>
      </c>
      <c r="D132">
        <v>312581</v>
      </c>
      <c r="E132">
        <v>101</v>
      </c>
      <c r="F132">
        <v>0</v>
      </c>
      <c r="G132">
        <v>270501686</v>
      </c>
      <c r="H132">
        <v>2693059</v>
      </c>
      <c r="I132">
        <v>25432</v>
      </c>
      <c r="J132">
        <v>8601549</v>
      </c>
      <c r="K132">
        <v>32323</v>
      </c>
      <c r="L132" t="s">
        <v>936</v>
      </c>
      <c r="M132" t="s">
        <v>945</v>
      </c>
    </row>
    <row r="133" spans="1:13" x14ac:dyDescent="0.3">
      <c r="A133" t="s">
        <v>603</v>
      </c>
      <c r="B133">
        <v>112</v>
      </c>
      <c r="C133">
        <v>15063509</v>
      </c>
      <c r="D133">
        <v>319960</v>
      </c>
      <c r="E133">
        <v>50</v>
      </c>
      <c r="F133">
        <v>0</v>
      </c>
      <c r="G133">
        <v>253387578</v>
      </c>
      <c r="H133">
        <v>3482873</v>
      </c>
      <c r="I133">
        <v>40763</v>
      </c>
      <c r="J133">
        <v>5309261</v>
      </c>
      <c r="K133">
        <v>32700</v>
      </c>
      <c r="L133" t="s">
        <v>936</v>
      </c>
      <c r="M133" t="s">
        <v>945</v>
      </c>
    </row>
    <row r="134" spans="1:13" x14ac:dyDescent="0.3">
      <c r="A134" t="s">
        <v>965</v>
      </c>
      <c r="B134">
        <v>133</v>
      </c>
      <c r="C134">
        <v>14965303</v>
      </c>
      <c r="D134">
        <v>351468</v>
      </c>
      <c r="E134">
        <v>11500</v>
      </c>
      <c r="F134">
        <v>0</v>
      </c>
      <c r="G134">
        <v>233148292</v>
      </c>
      <c r="H134">
        <v>2803371</v>
      </c>
      <c r="I134">
        <v>63010</v>
      </c>
      <c r="J134">
        <v>2946859</v>
      </c>
      <c r="K134">
        <v>36186</v>
      </c>
      <c r="L134" t="s">
        <v>936</v>
      </c>
      <c r="M134" t="s">
        <v>942</v>
      </c>
    </row>
    <row r="135" spans="1:13" x14ac:dyDescent="0.3">
      <c r="A135" t="s">
        <v>857</v>
      </c>
      <c r="B135">
        <v>138</v>
      </c>
      <c r="C135">
        <v>14497263</v>
      </c>
      <c r="D135">
        <v>285783</v>
      </c>
      <c r="E135">
        <v>0</v>
      </c>
      <c r="F135">
        <v>0</v>
      </c>
      <c r="G135">
        <v>254882806</v>
      </c>
      <c r="H135">
        <v>2621876</v>
      </c>
      <c r="I135">
        <v>18214</v>
      </c>
      <c r="J135">
        <v>3835056</v>
      </c>
      <c r="K135">
        <v>42173</v>
      </c>
      <c r="L135" t="s">
        <v>936</v>
      </c>
      <c r="M135" t="s">
        <v>962</v>
      </c>
    </row>
    <row r="136" spans="1:13" x14ac:dyDescent="0.3">
      <c r="A136" t="s">
        <v>842</v>
      </c>
      <c r="B136">
        <v>146</v>
      </c>
      <c r="C136">
        <v>14494939</v>
      </c>
      <c r="D136">
        <v>171206</v>
      </c>
      <c r="E136">
        <v>3050</v>
      </c>
      <c r="F136">
        <v>0</v>
      </c>
      <c r="G136">
        <v>229043991</v>
      </c>
      <c r="H136">
        <v>1958518</v>
      </c>
      <c r="I136">
        <v>88516</v>
      </c>
      <c r="J136">
        <v>3770795</v>
      </c>
      <c r="K136">
        <v>37770</v>
      </c>
      <c r="L136" t="s">
        <v>936</v>
      </c>
      <c r="M136" t="s">
        <v>946</v>
      </c>
    </row>
    <row r="137" spans="1:13" x14ac:dyDescent="0.3">
      <c r="A137" t="s">
        <v>840</v>
      </c>
      <c r="B137">
        <v>127</v>
      </c>
      <c r="C137">
        <v>14349669</v>
      </c>
      <c r="D137">
        <v>308397</v>
      </c>
      <c r="E137">
        <v>0</v>
      </c>
      <c r="F137">
        <v>0</v>
      </c>
      <c r="G137">
        <v>236834028</v>
      </c>
      <c r="H137">
        <v>2932725</v>
      </c>
      <c r="I137">
        <v>24709</v>
      </c>
      <c r="J137">
        <v>7092507</v>
      </c>
      <c r="K137">
        <v>35550</v>
      </c>
      <c r="L137" t="s">
        <v>936</v>
      </c>
      <c r="M137" t="s">
        <v>937</v>
      </c>
    </row>
    <row r="138" spans="1:13" x14ac:dyDescent="0.3">
      <c r="A138" t="s">
        <v>963</v>
      </c>
      <c r="B138">
        <v>120</v>
      </c>
      <c r="C138">
        <v>14216454</v>
      </c>
      <c r="D138">
        <v>322850</v>
      </c>
      <c r="E138">
        <v>1350</v>
      </c>
      <c r="F138">
        <v>0</v>
      </c>
      <c r="G138">
        <v>304687726</v>
      </c>
      <c r="H138">
        <v>3199903</v>
      </c>
      <c r="I138">
        <v>52220</v>
      </c>
      <c r="J138">
        <v>3449800</v>
      </c>
      <c r="K138">
        <v>32060</v>
      </c>
      <c r="L138" t="s">
        <v>936</v>
      </c>
      <c r="M138" t="s">
        <v>946</v>
      </c>
    </row>
    <row r="139" spans="1:13" x14ac:dyDescent="0.3">
      <c r="A139" t="s">
        <v>884</v>
      </c>
      <c r="B139">
        <v>172</v>
      </c>
      <c r="C139">
        <v>14197673</v>
      </c>
      <c r="D139">
        <v>319260</v>
      </c>
      <c r="E139">
        <v>216</v>
      </c>
      <c r="F139">
        <v>0</v>
      </c>
      <c r="G139">
        <v>146615170</v>
      </c>
      <c r="H139">
        <v>2423335</v>
      </c>
      <c r="I139">
        <v>125100</v>
      </c>
      <c r="J139">
        <v>38833787</v>
      </c>
      <c r="K139">
        <v>29790</v>
      </c>
      <c r="L139" t="s">
        <v>936</v>
      </c>
      <c r="M139" t="s">
        <v>959</v>
      </c>
    </row>
    <row r="140" spans="1:13" x14ac:dyDescent="0.3">
      <c r="A140" t="s">
        <v>846</v>
      </c>
      <c r="B140">
        <v>137</v>
      </c>
      <c r="C140">
        <v>14173455</v>
      </c>
      <c r="D140">
        <v>265494</v>
      </c>
      <c r="E140">
        <v>11250</v>
      </c>
      <c r="F140">
        <v>0</v>
      </c>
      <c r="G140">
        <v>246232359</v>
      </c>
      <c r="H140">
        <v>2713727</v>
      </c>
      <c r="I140">
        <v>141860</v>
      </c>
      <c r="J140">
        <v>3654670</v>
      </c>
      <c r="K140">
        <v>34750</v>
      </c>
      <c r="L140" t="s">
        <v>936</v>
      </c>
      <c r="M140" t="s">
        <v>942</v>
      </c>
    </row>
    <row r="141" spans="1:13" x14ac:dyDescent="0.3">
      <c r="A141" t="s">
        <v>844</v>
      </c>
      <c r="B141">
        <v>145</v>
      </c>
      <c r="C141">
        <v>14172007</v>
      </c>
      <c r="D141">
        <v>260618</v>
      </c>
      <c r="E141">
        <v>28548</v>
      </c>
      <c r="F141">
        <v>1451954</v>
      </c>
      <c r="G141">
        <v>270778834</v>
      </c>
      <c r="H141">
        <v>2595582</v>
      </c>
      <c r="I141">
        <v>80127</v>
      </c>
      <c r="J141">
        <v>10699701</v>
      </c>
      <c r="K141">
        <v>33770</v>
      </c>
      <c r="L141" t="s">
        <v>987</v>
      </c>
      <c r="M141" t="s">
        <v>939</v>
      </c>
    </row>
    <row r="142" spans="1:13" x14ac:dyDescent="0.3">
      <c r="A142" t="s">
        <v>838</v>
      </c>
      <c r="B142">
        <v>125</v>
      </c>
      <c r="C142">
        <v>13403504</v>
      </c>
      <c r="D142">
        <v>292169</v>
      </c>
      <c r="E142">
        <v>0</v>
      </c>
      <c r="F142">
        <v>0</v>
      </c>
      <c r="G142">
        <v>241941458</v>
      </c>
      <c r="H142">
        <v>3033421</v>
      </c>
      <c r="I142">
        <v>45920</v>
      </c>
      <c r="J142">
        <v>5152246</v>
      </c>
      <c r="K142">
        <v>34910</v>
      </c>
      <c r="L142" t="s">
        <v>936</v>
      </c>
      <c r="M142" t="s">
        <v>942</v>
      </c>
    </row>
    <row r="143" spans="1:13" x14ac:dyDescent="0.3">
      <c r="A143" t="s">
        <v>815</v>
      </c>
      <c r="B143">
        <v>94</v>
      </c>
      <c r="C143">
        <v>13333166</v>
      </c>
      <c r="D143">
        <v>267462</v>
      </c>
      <c r="E143">
        <v>0</v>
      </c>
      <c r="F143">
        <v>0</v>
      </c>
      <c r="G143">
        <v>260441686</v>
      </c>
      <c r="H143">
        <v>3956555</v>
      </c>
      <c r="I143">
        <v>56236</v>
      </c>
      <c r="J143">
        <v>44520963</v>
      </c>
      <c r="K143">
        <v>30620</v>
      </c>
      <c r="L143" t="s">
        <v>936</v>
      </c>
      <c r="M143" t="s">
        <v>939</v>
      </c>
    </row>
    <row r="144" spans="1:13" x14ac:dyDescent="0.3">
      <c r="A144" t="s">
        <v>977</v>
      </c>
      <c r="B144">
        <v>156</v>
      </c>
      <c r="C144">
        <v>13315006</v>
      </c>
      <c r="D144">
        <v>296276</v>
      </c>
      <c r="E144">
        <v>487</v>
      </c>
      <c r="F144">
        <v>0</v>
      </c>
      <c r="G144">
        <v>213981966</v>
      </c>
      <c r="H144">
        <v>2488461</v>
      </c>
      <c r="I144">
        <v>6884</v>
      </c>
      <c r="J144">
        <v>9466611</v>
      </c>
      <c r="K144">
        <v>37803</v>
      </c>
      <c r="L144" t="s">
        <v>936</v>
      </c>
      <c r="M144" t="s">
        <v>959</v>
      </c>
    </row>
    <row r="145" spans="1:13" x14ac:dyDescent="0.3">
      <c r="A145" t="s">
        <v>862</v>
      </c>
      <c r="B145">
        <v>152</v>
      </c>
      <c r="C145">
        <v>13200118</v>
      </c>
      <c r="D145">
        <v>265060</v>
      </c>
      <c r="E145">
        <v>96</v>
      </c>
      <c r="F145">
        <v>0</v>
      </c>
      <c r="G145">
        <v>275106878</v>
      </c>
      <c r="H145">
        <v>2248898</v>
      </c>
      <c r="I145">
        <v>25357</v>
      </c>
      <c r="J145">
        <v>2262023</v>
      </c>
      <c r="K145">
        <v>40600</v>
      </c>
      <c r="L145" t="s">
        <v>936</v>
      </c>
      <c r="M145" t="s">
        <v>944</v>
      </c>
    </row>
    <row r="146" spans="1:13" x14ac:dyDescent="0.3">
      <c r="A146" t="s">
        <v>871</v>
      </c>
      <c r="B146">
        <v>162</v>
      </c>
      <c r="C146">
        <v>12620629</v>
      </c>
      <c r="D146">
        <v>243941</v>
      </c>
      <c r="E146">
        <v>2412</v>
      </c>
      <c r="F146">
        <v>0</v>
      </c>
      <c r="G146">
        <v>187504556</v>
      </c>
      <c r="H146">
        <v>2074926</v>
      </c>
      <c r="I146">
        <v>10708</v>
      </c>
      <c r="J146">
        <v>4022349</v>
      </c>
      <c r="K146">
        <v>34319</v>
      </c>
      <c r="L146" t="s">
        <v>936</v>
      </c>
      <c r="M146" t="s">
        <v>959</v>
      </c>
    </row>
    <row r="147" spans="1:13" x14ac:dyDescent="0.3">
      <c r="A147" t="s">
        <v>843</v>
      </c>
      <c r="B147">
        <v>134</v>
      </c>
      <c r="C147">
        <v>12530236</v>
      </c>
      <c r="D147">
        <v>248469</v>
      </c>
      <c r="E147">
        <v>2769</v>
      </c>
      <c r="F147">
        <v>0</v>
      </c>
      <c r="G147">
        <v>221043600</v>
      </c>
      <c r="H147">
        <v>2814869</v>
      </c>
      <c r="I147">
        <v>59059</v>
      </c>
      <c r="J147">
        <v>3519551</v>
      </c>
      <c r="K147">
        <v>35393</v>
      </c>
      <c r="L147" t="s">
        <v>936</v>
      </c>
      <c r="M147" t="s">
        <v>962</v>
      </c>
    </row>
    <row r="148" spans="1:13" x14ac:dyDescent="0.3">
      <c r="A148" t="s">
        <v>886</v>
      </c>
      <c r="B148">
        <v>176</v>
      </c>
      <c r="C148">
        <v>12444210</v>
      </c>
      <c r="D148">
        <v>280938</v>
      </c>
      <c r="E148">
        <v>9950</v>
      </c>
      <c r="F148">
        <v>0</v>
      </c>
      <c r="G148">
        <v>168798970</v>
      </c>
      <c r="H148">
        <v>1798132</v>
      </c>
      <c r="I148">
        <v>65687</v>
      </c>
      <c r="J148">
        <v>6840688</v>
      </c>
      <c r="K148">
        <v>32370</v>
      </c>
      <c r="L148" t="s">
        <v>936</v>
      </c>
      <c r="M148" t="s">
        <v>959</v>
      </c>
    </row>
    <row r="149" spans="1:13" x14ac:dyDescent="0.3">
      <c r="A149" t="s">
        <v>890</v>
      </c>
      <c r="B149">
        <v>182</v>
      </c>
      <c r="C149">
        <v>12005846</v>
      </c>
      <c r="D149">
        <v>223735</v>
      </c>
      <c r="E149">
        <v>2250</v>
      </c>
      <c r="F149">
        <v>0</v>
      </c>
      <c r="G149">
        <v>121270668</v>
      </c>
      <c r="H149">
        <v>1027550</v>
      </c>
      <c r="I149">
        <v>14223</v>
      </c>
      <c r="J149">
        <v>11815276</v>
      </c>
      <c r="K149">
        <v>33230</v>
      </c>
      <c r="L149" t="s">
        <v>936</v>
      </c>
      <c r="M149" t="s">
        <v>942</v>
      </c>
    </row>
    <row r="150" spans="1:13" x14ac:dyDescent="0.3">
      <c r="A150" t="s">
        <v>766</v>
      </c>
      <c r="B150">
        <v>42</v>
      </c>
      <c r="C150">
        <v>11908430</v>
      </c>
      <c r="D150">
        <v>252052</v>
      </c>
      <c r="E150">
        <v>3150</v>
      </c>
      <c r="F150">
        <v>0</v>
      </c>
      <c r="G150">
        <v>376465970</v>
      </c>
      <c r="H150">
        <v>4987172</v>
      </c>
      <c r="I150">
        <v>63152</v>
      </c>
      <c r="J150">
        <v>2762450</v>
      </c>
      <c r="K150">
        <v>35440</v>
      </c>
      <c r="L150" t="s">
        <v>936</v>
      </c>
      <c r="M150" t="s">
        <v>937</v>
      </c>
    </row>
    <row r="151" spans="1:13" x14ac:dyDescent="0.3">
      <c r="A151" t="s">
        <v>831</v>
      </c>
      <c r="B151">
        <v>126</v>
      </c>
      <c r="C151">
        <v>11793060</v>
      </c>
      <c r="D151">
        <v>248141</v>
      </c>
      <c r="E151">
        <v>2250</v>
      </c>
      <c r="F151">
        <v>5309865</v>
      </c>
      <c r="G151">
        <v>227299779</v>
      </c>
      <c r="H151">
        <v>2548625</v>
      </c>
      <c r="I151">
        <v>77777</v>
      </c>
      <c r="J151">
        <v>53153766</v>
      </c>
      <c r="K151">
        <v>31746</v>
      </c>
      <c r="L151" t="s">
        <v>936</v>
      </c>
      <c r="M151" t="s">
        <v>940</v>
      </c>
    </row>
    <row r="152" spans="1:13" x14ac:dyDescent="0.3">
      <c r="A152" t="s">
        <v>839</v>
      </c>
      <c r="B152">
        <v>128</v>
      </c>
      <c r="C152">
        <v>11625162</v>
      </c>
      <c r="D152">
        <v>219954</v>
      </c>
      <c r="E152">
        <v>4676</v>
      </c>
      <c r="F152">
        <v>0</v>
      </c>
      <c r="G152">
        <v>307435930</v>
      </c>
      <c r="H152">
        <v>3140423</v>
      </c>
      <c r="I152">
        <v>51106</v>
      </c>
      <c r="J152">
        <v>2529773</v>
      </c>
      <c r="K152">
        <v>39360</v>
      </c>
      <c r="L152" t="s">
        <v>936</v>
      </c>
      <c r="M152" t="s">
        <v>942</v>
      </c>
    </row>
    <row r="153" spans="1:13" x14ac:dyDescent="0.3">
      <c r="A153" t="s">
        <v>827</v>
      </c>
      <c r="B153">
        <v>117</v>
      </c>
      <c r="C153">
        <v>11548324</v>
      </c>
      <c r="D153">
        <v>266432</v>
      </c>
      <c r="E153">
        <v>0</v>
      </c>
      <c r="F153">
        <v>0</v>
      </c>
      <c r="G153">
        <v>252890005</v>
      </c>
      <c r="H153">
        <v>3227370</v>
      </c>
      <c r="I153">
        <v>36746</v>
      </c>
      <c r="J153">
        <v>3415801</v>
      </c>
      <c r="K153">
        <v>37980</v>
      </c>
      <c r="L153" t="s">
        <v>936</v>
      </c>
      <c r="M153" t="s">
        <v>946</v>
      </c>
    </row>
    <row r="154" spans="1:13" x14ac:dyDescent="0.3">
      <c r="A154" t="s">
        <v>860</v>
      </c>
      <c r="B154">
        <v>159</v>
      </c>
      <c r="C154">
        <v>11478783</v>
      </c>
      <c r="D154">
        <v>108529</v>
      </c>
      <c r="E154">
        <v>0</v>
      </c>
      <c r="F154">
        <v>6634618</v>
      </c>
      <c r="G154">
        <v>147916981</v>
      </c>
      <c r="H154">
        <v>1951916</v>
      </c>
      <c r="I154">
        <v>19570</v>
      </c>
      <c r="J154">
        <v>42425411</v>
      </c>
      <c r="K154">
        <v>31263</v>
      </c>
      <c r="L154" t="s">
        <v>936</v>
      </c>
      <c r="M154" t="s">
        <v>946</v>
      </c>
    </row>
    <row r="155" spans="1:13" x14ac:dyDescent="0.3">
      <c r="A155" t="s">
        <v>870</v>
      </c>
      <c r="B155">
        <v>160</v>
      </c>
      <c r="C155">
        <v>11394382</v>
      </c>
      <c r="D155">
        <v>232786</v>
      </c>
      <c r="E155">
        <v>50</v>
      </c>
      <c r="F155">
        <v>0</v>
      </c>
      <c r="G155">
        <v>219981463</v>
      </c>
      <c r="H155">
        <v>1977008</v>
      </c>
      <c r="I155">
        <v>47061</v>
      </c>
      <c r="J155">
        <v>3293993</v>
      </c>
      <c r="K155">
        <v>31530</v>
      </c>
      <c r="L155" t="s">
        <v>936</v>
      </c>
      <c r="M155" t="s">
        <v>944</v>
      </c>
    </row>
    <row r="156" spans="1:13" x14ac:dyDescent="0.3">
      <c r="A156" t="s">
        <v>828</v>
      </c>
      <c r="B156">
        <v>122</v>
      </c>
      <c r="C156">
        <v>11306301</v>
      </c>
      <c r="D156">
        <v>251372</v>
      </c>
      <c r="E156">
        <v>10800</v>
      </c>
      <c r="F156">
        <v>0</v>
      </c>
      <c r="G156">
        <v>239949899</v>
      </c>
      <c r="H156">
        <v>2914611</v>
      </c>
      <c r="I156">
        <v>76001</v>
      </c>
      <c r="J156">
        <v>13759215</v>
      </c>
      <c r="K156">
        <v>34503</v>
      </c>
      <c r="L156" t="s">
        <v>936</v>
      </c>
      <c r="M156" t="s">
        <v>946</v>
      </c>
    </row>
    <row r="157" spans="1:13" x14ac:dyDescent="0.3">
      <c r="A157" t="s">
        <v>832</v>
      </c>
      <c r="B157">
        <v>124</v>
      </c>
      <c r="C157">
        <v>10993977</v>
      </c>
      <c r="D157">
        <v>198552</v>
      </c>
      <c r="E157">
        <v>5400</v>
      </c>
      <c r="F157">
        <v>8970689</v>
      </c>
      <c r="G157">
        <v>234064880</v>
      </c>
      <c r="H157">
        <v>2672858</v>
      </c>
      <c r="I157">
        <v>111252</v>
      </c>
      <c r="J157">
        <v>56038658</v>
      </c>
      <c r="K157">
        <v>30370</v>
      </c>
      <c r="L157" t="s">
        <v>936</v>
      </c>
      <c r="M157" t="s">
        <v>946</v>
      </c>
    </row>
    <row r="158" spans="1:13" x14ac:dyDescent="0.3">
      <c r="A158" t="s">
        <v>888</v>
      </c>
      <c r="B158">
        <v>183</v>
      </c>
      <c r="C158">
        <v>10905332</v>
      </c>
      <c r="D158">
        <v>111694</v>
      </c>
      <c r="E158">
        <v>357</v>
      </c>
      <c r="F158">
        <v>0</v>
      </c>
      <c r="G158">
        <v>140687717</v>
      </c>
      <c r="H158">
        <v>1018908</v>
      </c>
      <c r="I158">
        <v>29480</v>
      </c>
      <c r="J158">
        <v>10097123</v>
      </c>
      <c r="K158">
        <v>30930</v>
      </c>
      <c r="L158" t="s">
        <v>936</v>
      </c>
      <c r="M158" t="s">
        <v>937</v>
      </c>
    </row>
    <row r="159" spans="1:13" x14ac:dyDescent="0.3">
      <c r="A159" t="s">
        <v>876</v>
      </c>
      <c r="B159">
        <v>171</v>
      </c>
      <c r="C159">
        <v>10864862</v>
      </c>
      <c r="D159">
        <v>173634</v>
      </c>
      <c r="E159">
        <v>0</v>
      </c>
      <c r="F159">
        <v>0</v>
      </c>
      <c r="G159">
        <v>216131403</v>
      </c>
      <c r="H159">
        <v>1588911</v>
      </c>
      <c r="I159">
        <v>28244</v>
      </c>
      <c r="J159">
        <v>13900776</v>
      </c>
      <c r="K159">
        <v>36720</v>
      </c>
      <c r="L159" t="s">
        <v>936</v>
      </c>
      <c r="M159" t="s">
        <v>945</v>
      </c>
    </row>
    <row r="160" spans="1:13" x14ac:dyDescent="0.3">
      <c r="A160" t="s">
        <v>821</v>
      </c>
      <c r="B160">
        <v>101</v>
      </c>
      <c r="C160">
        <v>10687705</v>
      </c>
      <c r="D160">
        <v>213003</v>
      </c>
      <c r="E160">
        <v>0</v>
      </c>
      <c r="F160">
        <v>0</v>
      </c>
      <c r="G160">
        <v>329911866</v>
      </c>
      <c r="H160">
        <v>3632701</v>
      </c>
      <c r="I160">
        <v>59195</v>
      </c>
      <c r="J160">
        <v>4680527</v>
      </c>
      <c r="K160">
        <v>38926</v>
      </c>
      <c r="L160" t="s">
        <v>936</v>
      </c>
      <c r="M160" t="s">
        <v>946</v>
      </c>
    </row>
    <row r="161" spans="1:13" x14ac:dyDescent="0.3">
      <c r="A161" t="s">
        <v>875</v>
      </c>
      <c r="B161">
        <v>169</v>
      </c>
      <c r="C161">
        <v>10488768</v>
      </c>
      <c r="D161">
        <v>178725</v>
      </c>
      <c r="E161">
        <v>22519</v>
      </c>
      <c r="F161">
        <v>0</v>
      </c>
      <c r="G161">
        <v>255934076</v>
      </c>
      <c r="H161">
        <v>1514775</v>
      </c>
      <c r="I161">
        <v>70293</v>
      </c>
      <c r="J161">
        <v>16918918</v>
      </c>
      <c r="K161">
        <v>39316</v>
      </c>
      <c r="L161" t="s">
        <v>936</v>
      </c>
      <c r="M161" t="s">
        <v>962</v>
      </c>
    </row>
    <row r="162" spans="1:13" x14ac:dyDescent="0.3">
      <c r="A162" t="s">
        <v>896</v>
      </c>
      <c r="B162">
        <v>188</v>
      </c>
      <c r="C162">
        <v>10359533</v>
      </c>
      <c r="D162">
        <v>135410</v>
      </c>
      <c r="E162">
        <v>350</v>
      </c>
      <c r="F162">
        <v>258857</v>
      </c>
      <c r="G162">
        <v>163270343</v>
      </c>
      <c r="H162">
        <v>742359</v>
      </c>
      <c r="I162">
        <v>19187</v>
      </c>
      <c r="J162">
        <v>12810565</v>
      </c>
      <c r="K162">
        <v>31508</v>
      </c>
      <c r="L162" t="s">
        <v>936</v>
      </c>
      <c r="M162" t="s">
        <v>962</v>
      </c>
    </row>
    <row r="163" spans="1:13" x14ac:dyDescent="0.3">
      <c r="A163" t="s">
        <v>856</v>
      </c>
      <c r="B163">
        <v>157</v>
      </c>
      <c r="C163">
        <v>9362144</v>
      </c>
      <c r="D163">
        <v>205346</v>
      </c>
      <c r="E163">
        <v>450</v>
      </c>
      <c r="F163">
        <v>0</v>
      </c>
      <c r="G163">
        <v>133720491</v>
      </c>
      <c r="H163">
        <v>1907533</v>
      </c>
      <c r="I163">
        <v>38944</v>
      </c>
      <c r="J163">
        <v>37620030</v>
      </c>
      <c r="K163">
        <v>17328</v>
      </c>
      <c r="L163" t="s">
        <v>936</v>
      </c>
      <c r="M163" t="s">
        <v>939</v>
      </c>
    </row>
    <row r="164" spans="1:13" x14ac:dyDescent="0.3">
      <c r="A164" t="s">
        <v>848</v>
      </c>
      <c r="B164">
        <v>141</v>
      </c>
      <c r="C164">
        <v>9245968</v>
      </c>
      <c r="D164">
        <v>170636</v>
      </c>
      <c r="E164">
        <v>14110</v>
      </c>
      <c r="F164">
        <v>0</v>
      </c>
      <c r="G164">
        <v>232884291</v>
      </c>
      <c r="H164">
        <v>2638682</v>
      </c>
      <c r="I164">
        <v>70080</v>
      </c>
      <c r="J164">
        <v>6223868</v>
      </c>
      <c r="K164">
        <v>36610</v>
      </c>
      <c r="L164" t="s">
        <v>987</v>
      </c>
      <c r="M164" t="s">
        <v>945</v>
      </c>
    </row>
    <row r="165" spans="1:13" x14ac:dyDescent="0.3">
      <c r="A165" t="s">
        <v>817</v>
      </c>
      <c r="B165">
        <v>100</v>
      </c>
      <c r="C165">
        <v>9122462</v>
      </c>
      <c r="D165">
        <v>182848</v>
      </c>
      <c r="E165">
        <v>0</v>
      </c>
      <c r="F165">
        <v>0</v>
      </c>
      <c r="G165">
        <v>288881457</v>
      </c>
      <c r="H165">
        <v>3525050</v>
      </c>
      <c r="I165">
        <v>49596</v>
      </c>
      <c r="J165">
        <v>3612005</v>
      </c>
      <c r="K165">
        <v>32899</v>
      </c>
      <c r="L165" t="s">
        <v>936</v>
      </c>
      <c r="M165" t="s">
        <v>940</v>
      </c>
    </row>
    <row r="166" spans="1:13" x14ac:dyDescent="0.3">
      <c r="A166" t="s">
        <v>877</v>
      </c>
      <c r="B166">
        <v>170</v>
      </c>
      <c r="C166">
        <v>9107793</v>
      </c>
      <c r="D166">
        <v>182211</v>
      </c>
      <c r="E166">
        <v>0</v>
      </c>
      <c r="F166">
        <v>0</v>
      </c>
      <c r="G166">
        <v>210773845</v>
      </c>
      <c r="H166">
        <v>1757137</v>
      </c>
      <c r="I166">
        <v>33253</v>
      </c>
      <c r="J166">
        <v>11408653</v>
      </c>
      <c r="K166">
        <v>37720</v>
      </c>
      <c r="L166" t="s">
        <v>936</v>
      </c>
      <c r="M166" t="s">
        <v>942</v>
      </c>
    </row>
    <row r="167" spans="1:13" x14ac:dyDescent="0.3">
      <c r="A167" t="s">
        <v>882</v>
      </c>
      <c r="B167">
        <v>175</v>
      </c>
      <c r="C167">
        <v>8590316</v>
      </c>
      <c r="D167">
        <v>171459</v>
      </c>
      <c r="E167">
        <v>1400</v>
      </c>
      <c r="F167">
        <v>0</v>
      </c>
      <c r="G167">
        <v>169686887</v>
      </c>
      <c r="H167">
        <v>1514941</v>
      </c>
      <c r="I167">
        <v>12140</v>
      </c>
      <c r="J167">
        <v>4024234</v>
      </c>
      <c r="K167">
        <v>29718</v>
      </c>
      <c r="L167" t="s">
        <v>936</v>
      </c>
      <c r="M167" t="s">
        <v>959</v>
      </c>
    </row>
    <row r="168" spans="1:13" x14ac:dyDescent="0.3">
      <c r="A168" t="s">
        <v>885</v>
      </c>
      <c r="B168">
        <v>179</v>
      </c>
      <c r="C168">
        <v>8489072</v>
      </c>
      <c r="D168">
        <v>170209</v>
      </c>
      <c r="E168">
        <v>1400</v>
      </c>
      <c r="F168">
        <v>0</v>
      </c>
      <c r="G168">
        <v>161714209</v>
      </c>
      <c r="H168">
        <v>1500718</v>
      </c>
      <c r="I168">
        <v>11101</v>
      </c>
      <c r="J168">
        <v>4030908</v>
      </c>
      <c r="K168">
        <v>31345</v>
      </c>
      <c r="L168" t="s">
        <v>936</v>
      </c>
      <c r="M168" t="s">
        <v>959</v>
      </c>
    </row>
    <row r="169" spans="1:13" x14ac:dyDescent="0.3">
      <c r="A169" t="s">
        <v>880</v>
      </c>
      <c r="B169">
        <v>178</v>
      </c>
      <c r="C169">
        <v>8121242</v>
      </c>
      <c r="D169">
        <v>53472</v>
      </c>
      <c r="E169">
        <v>0</v>
      </c>
      <c r="F169">
        <v>0</v>
      </c>
      <c r="G169">
        <v>167656820</v>
      </c>
      <c r="H169">
        <v>1191174</v>
      </c>
      <c r="I169">
        <v>49572</v>
      </c>
      <c r="J169">
        <v>2022935</v>
      </c>
      <c r="K169">
        <v>32560</v>
      </c>
      <c r="L169" t="s">
        <v>936</v>
      </c>
      <c r="M169" t="s">
        <v>942</v>
      </c>
    </row>
    <row r="170" spans="1:13" x14ac:dyDescent="0.3">
      <c r="A170" t="s">
        <v>863</v>
      </c>
      <c r="B170">
        <v>154</v>
      </c>
      <c r="C170">
        <v>8053180</v>
      </c>
      <c r="D170">
        <v>161194</v>
      </c>
      <c r="E170">
        <v>192</v>
      </c>
      <c r="F170">
        <v>2014242</v>
      </c>
      <c r="G170">
        <v>212016446</v>
      </c>
      <c r="H170">
        <v>2163448</v>
      </c>
      <c r="I170">
        <v>17622</v>
      </c>
      <c r="J170">
        <v>35239476</v>
      </c>
      <c r="K170">
        <v>43380</v>
      </c>
      <c r="L170" t="s">
        <v>936</v>
      </c>
      <c r="M170" t="s">
        <v>959</v>
      </c>
    </row>
    <row r="171" spans="1:13" x14ac:dyDescent="0.3">
      <c r="A171" t="s">
        <v>861</v>
      </c>
      <c r="B171">
        <v>163</v>
      </c>
      <c r="C171">
        <v>8037064</v>
      </c>
      <c r="D171">
        <v>168341</v>
      </c>
      <c r="E171">
        <v>3500</v>
      </c>
      <c r="F171">
        <v>0</v>
      </c>
      <c r="G171">
        <v>194707701</v>
      </c>
      <c r="H171">
        <v>1647301</v>
      </c>
      <c r="I171">
        <v>51068</v>
      </c>
      <c r="J171">
        <v>12560636</v>
      </c>
      <c r="K171">
        <v>33710</v>
      </c>
      <c r="L171" t="s">
        <v>936</v>
      </c>
      <c r="M171" t="s">
        <v>942</v>
      </c>
    </row>
    <row r="172" spans="1:13" x14ac:dyDescent="0.3">
      <c r="A172" t="s">
        <v>819</v>
      </c>
      <c r="B172">
        <v>102</v>
      </c>
      <c r="C172">
        <v>7877925</v>
      </c>
      <c r="D172">
        <v>156020</v>
      </c>
      <c r="E172">
        <v>0</v>
      </c>
      <c r="F172">
        <v>0</v>
      </c>
      <c r="G172">
        <v>240684506</v>
      </c>
      <c r="H172">
        <v>3260057</v>
      </c>
      <c r="I172">
        <v>61557</v>
      </c>
      <c r="J172">
        <v>8640603</v>
      </c>
      <c r="K172">
        <v>27206</v>
      </c>
      <c r="L172" t="s">
        <v>936</v>
      </c>
      <c r="M172" t="s">
        <v>946</v>
      </c>
    </row>
    <row r="173" spans="1:13" x14ac:dyDescent="0.3">
      <c r="A173" t="s">
        <v>879</v>
      </c>
      <c r="B173">
        <v>173</v>
      </c>
      <c r="C173">
        <v>7864952</v>
      </c>
      <c r="D173">
        <v>157353</v>
      </c>
      <c r="E173">
        <v>0</v>
      </c>
      <c r="F173">
        <v>0</v>
      </c>
      <c r="G173">
        <v>157854336</v>
      </c>
      <c r="H173">
        <v>1557948</v>
      </c>
      <c r="I173">
        <v>12812</v>
      </c>
      <c r="J173">
        <v>1523337</v>
      </c>
      <c r="K173">
        <v>28120</v>
      </c>
      <c r="L173" t="s">
        <v>936</v>
      </c>
      <c r="M173" t="s">
        <v>942</v>
      </c>
    </row>
    <row r="174" spans="1:13" x14ac:dyDescent="0.3">
      <c r="A174" t="s">
        <v>881</v>
      </c>
      <c r="B174">
        <v>177</v>
      </c>
      <c r="C174">
        <v>7800036</v>
      </c>
      <c r="D174">
        <v>157702</v>
      </c>
      <c r="E174">
        <v>0</v>
      </c>
      <c r="F174">
        <v>0</v>
      </c>
      <c r="G174">
        <v>153650605</v>
      </c>
      <c r="H174">
        <v>1330818</v>
      </c>
      <c r="I174">
        <v>5980</v>
      </c>
      <c r="J174">
        <v>3912709</v>
      </c>
      <c r="K174">
        <v>32133</v>
      </c>
      <c r="L174" t="s">
        <v>936</v>
      </c>
      <c r="M174" t="s">
        <v>940</v>
      </c>
    </row>
    <row r="175" spans="1:13" x14ac:dyDescent="0.3">
      <c r="A175" t="s">
        <v>869</v>
      </c>
      <c r="B175">
        <v>164</v>
      </c>
      <c r="C175">
        <v>7781026</v>
      </c>
      <c r="D175">
        <v>181672</v>
      </c>
      <c r="E175">
        <v>3600</v>
      </c>
      <c r="F175">
        <v>0</v>
      </c>
      <c r="G175">
        <v>182927137</v>
      </c>
      <c r="H175">
        <v>2191224</v>
      </c>
      <c r="I175">
        <v>92827</v>
      </c>
      <c r="J175">
        <v>2945065</v>
      </c>
      <c r="K175">
        <v>27240</v>
      </c>
      <c r="L175" t="s">
        <v>936</v>
      </c>
      <c r="M175" t="s">
        <v>940</v>
      </c>
    </row>
    <row r="176" spans="1:13" x14ac:dyDescent="0.3">
      <c r="A176" t="s">
        <v>858</v>
      </c>
      <c r="B176">
        <v>150</v>
      </c>
      <c r="C176">
        <v>7473114</v>
      </c>
      <c r="D176">
        <v>148576</v>
      </c>
      <c r="E176">
        <v>900</v>
      </c>
      <c r="F176">
        <v>4712242</v>
      </c>
      <c r="G176">
        <v>283056979</v>
      </c>
      <c r="H176">
        <v>2046607</v>
      </c>
      <c r="I176">
        <v>59137</v>
      </c>
      <c r="J176">
        <v>43326222</v>
      </c>
      <c r="K176">
        <v>35410</v>
      </c>
      <c r="L176" t="s">
        <v>936</v>
      </c>
      <c r="M176" t="s">
        <v>942</v>
      </c>
    </row>
    <row r="177" spans="1:13" x14ac:dyDescent="0.3">
      <c r="A177" t="s">
        <v>901</v>
      </c>
      <c r="B177">
        <v>195</v>
      </c>
      <c r="C177">
        <v>7390073</v>
      </c>
      <c r="D177">
        <v>31012</v>
      </c>
      <c r="E177">
        <v>350</v>
      </c>
      <c r="F177">
        <v>0</v>
      </c>
      <c r="G177">
        <v>111216012</v>
      </c>
      <c r="H177">
        <v>287984</v>
      </c>
      <c r="I177">
        <v>24102</v>
      </c>
      <c r="J177">
        <v>54100651</v>
      </c>
      <c r="K177">
        <v>23730</v>
      </c>
      <c r="L177" t="s">
        <v>936</v>
      </c>
      <c r="M177" t="s">
        <v>937</v>
      </c>
    </row>
    <row r="178" spans="1:13" x14ac:dyDescent="0.3">
      <c r="A178" t="s">
        <v>835</v>
      </c>
      <c r="B178">
        <v>132</v>
      </c>
      <c r="C178">
        <v>6665611</v>
      </c>
      <c r="D178">
        <v>139272</v>
      </c>
      <c r="E178">
        <v>0</v>
      </c>
      <c r="F178">
        <v>0</v>
      </c>
      <c r="G178">
        <v>260939192</v>
      </c>
      <c r="H178">
        <v>2391953</v>
      </c>
      <c r="I178">
        <v>32568</v>
      </c>
      <c r="J178">
        <v>4525150</v>
      </c>
      <c r="K178">
        <v>36713</v>
      </c>
      <c r="L178" t="s">
        <v>936</v>
      </c>
      <c r="M178" t="s">
        <v>944</v>
      </c>
    </row>
    <row r="179" spans="1:13" x14ac:dyDescent="0.3">
      <c r="A179" t="s">
        <v>878</v>
      </c>
      <c r="B179">
        <v>174</v>
      </c>
      <c r="C179">
        <v>6375165</v>
      </c>
      <c r="D179">
        <v>127555</v>
      </c>
      <c r="E179">
        <v>0</v>
      </c>
      <c r="F179">
        <v>0</v>
      </c>
      <c r="G179">
        <v>166089019</v>
      </c>
      <c r="H179">
        <v>1406754</v>
      </c>
      <c r="I179">
        <v>26727</v>
      </c>
      <c r="J179">
        <v>3024324</v>
      </c>
      <c r="K179">
        <v>36390</v>
      </c>
      <c r="L179" t="s">
        <v>936</v>
      </c>
      <c r="M179" t="s">
        <v>962</v>
      </c>
    </row>
    <row r="180" spans="1:13" x14ac:dyDescent="0.3">
      <c r="A180" t="s">
        <v>868</v>
      </c>
      <c r="B180">
        <v>165</v>
      </c>
      <c r="C180">
        <v>6329170</v>
      </c>
      <c r="D180">
        <v>113237</v>
      </c>
      <c r="E180">
        <v>0</v>
      </c>
      <c r="F180">
        <v>2891185</v>
      </c>
      <c r="G180">
        <v>149835302</v>
      </c>
      <c r="H180">
        <v>1664716</v>
      </c>
      <c r="I180">
        <v>15497</v>
      </c>
      <c r="J180">
        <v>39003172</v>
      </c>
      <c r="K180">
        <v>35663</v>
      </c>
      <c r="L180" t="s">
        <v>936</v>
      </c>
      <c r="M180" t="s">
        <v>962</v>
      </c>
    </row>
    <row r="181" spans="1:13" x14ac:dyDescent="0.3">
      <c r="A181" t="s">
        <v>873</v>
      </c>
      <c r="B181">
        <v>168</v>
      </c>
      <c r="C181">
        <v>6274460</v>
      </c>
      <c r="D181">
        <v>145341</v>
      </c>
      <c r="E181">
        <v>0</v>
      </c>
      <c r="F181">
        <v>0</v>
      </c>
      <c r="G181">
        <v>205861551</v>
      </c>
      <c r="H181">
        <v>1882269</v>
      </c>
      <c r="I181">
        <v>33716</v>
      </c>
      <c r="J181">
        <v>6642651</v>
      </c>
      <c r="K181">
        <v>33983</v>
      </c>
      <c r="L181" t="s">
        <v>936</v>
      </c>
      <c r="M181" t="s">
        <v>937</v>
      </c>
    </row>
    <row r="182" spans="1:13" x14ac:dyDescent="0.3">
      <c r="A182" t="s">
        <v>895</v>
      </c>
      <c r="B182">
        <v>189</v>
      </c>
      <c r="C182">
        <v>6053590</v>
      </c>
      <c r="D182">
        <v>88854</v>
      </c>
      <c r="E182">
        <v>0</v>
      </c>
      <c r="F182">
        <v>0</v>
      </c>
      <c r="G182">
        <v>127639160</v>
      </c>
      <c r="H182">
        <v>636081</v>
      </c>
      <c r="I182">
        <v>13297</v>
      </c>
      <c r="J182">
        <v>9629723</v>
      </c>
      <c r="K182">
        <v>33819</v>
      </c>
      <c r="L182" t="s">
        <v>936</v>
      </c>
      <c r="M182" t="s">
        <v>962</v>
      </c>
    </row>
    <row r="183" spans="1:13" x14ac:dyDescent="0.3">
      <c r="A183" t="s">
        <v>854</v>
      </c>
      <c r="B183">
        <v>155</v>
      </c>
      <c r="C183">
        <v>5788456</v>
      </c>
      <c r="D183">
        <v>116707</v>
      </c>
      <c r="E183">
        <v>0</v>
      </c>
      <c r="F183">
        <v>0</v>
      </c>
      <c r="G183">
        <v>220343693</v>
      </c>
      <c r="H183">
        <v>1911893</v>
      </c>
      <c r="I183">
        <v>26223</v>
      </c>
      <c r="J183">
        <v>3243805</v>
      </c>
      <c r="K183">
        <v>18793</v>
      </c>
      <c r="L183" t="s">
        <v>936</v>
      </c>
      <c r="M183" t="s">
        <v>942</v>
      </c>
    </row>
    <row r="184" spans="1:13" x14ac:dyDescent="0.3">
      <c r="A184" t="s">
        <v>883</v>
      </c>
      <c r="B184">
        <v>180</v>
      </c>
      <c r="C184">
        <v>5560683</v>
      </c>
      <c r="D184">
        <v>111962</v>
      </c>
      <c r="E184">
        <v>5600</v>
      </c>
      <c r="F184">
        <v>0</v>
      </c>
      <c r="G184">
        <v>133774640</v>
      </c>
      <c r="H184">
        <v>1182122</v>
      </c>
      <c r="I184">
        <v>30275</v>
      </c>
      <c r="J184">
        <v>8057288</v>
      </c>
      <c r="K184">
        <v>34260</v>
      </c>
      <c r="L184" t="s">
        <v>936</v>
      </c>
      <c r="M184" t="s">
        <v>962</v>
      </c>
    </row>
    <row r="185" spans="1:13" x14ac:dyDescent="0.3">
      <c r="A185" t="s">
        <v>966</v>
      </c>
      <c r="B185">
        <v>149</v>
      </c>
      <c r="C185">
        <v>5338224</v>
      </c>
      <c r="D185">
        <v>108368</v>
      </c>
      <c r="E185">
        <v>0</v>
      </c>
      <c r="F185">
        <v>0</v>
      </c>
      <c r="G185">
        <v>244586090</v>
      </c>
      <c r="H185">
        <v>2578973</v>
      </c>
      <c r="I185">
        <v>6084</v>
      </c>
      <c r="J185">
        <v>8821778</v>
      </c>
      <c r="K185">
        <v>40810</v>
      </c>
      <c r="L185" t="s">
        <v>936</v>
      </c>
      <c r="M185" t="s">
        <v>940</v>
      </c>
    </row>
    <row r="186" spans="1:13" x14ac:dyDescent="0.3">
      <c r="A186" t="s">
        <v>889</v>
      </c>
      <c r="B186">
        <v>184</v>
      </c>
      <c r="C186">
        <v>5256478</v>
      </c>
      <c r="D186">
        <v>101375</v>
      </c>
      <c r="E186">
        <v>0</v>
      </c>
      <c r="F186">
        <v>1027076</v>
      </c>
      <c r="G186">
        <v>139878015</v>
      </c>
      <c r="H186">
        <v>928696</v>
      </c>
      <c r="I186">
        <v>30181</v>
      </c>
      <c r="J186">
        <v>8027071</v>
      </c>
      <c r="K186">
        <v>31183</v>
      </c>
      <c r="L186" t="s">
        <v>936</v>
      </c>
      <c r="M186" t="s">
        <v>962</v>
      </c>
    </row>
    <row r="187" spans="1:13" x14ac:dyDescent="0.3">
      <c r="A187" t="s">
        <v>894</v>
      </c>
      <c r="B187">
        <v>187</v>
      </c>
      <c r="C187">
        <v>4772479</v>
      </c>
      <c r="D187">
        <v>96942</v>
      </c>
      <c r="E187">
        <v>0</v>
      </c>
      <c r="F187">
        <v>0</v>
      </c>
      <c r="G187">
        <v>108771706</v>
      </c>
      <c r="H187">
        <v>745240</v>
      </c>
      <c r="I187">
        <v>7644</v>
      </c>
      <c r="J187">
        <v>6188510</v>
      </c>
      <c r="K187">
        <v>25160</v>
      </c>
      <c r="L187" t="s">
        <v>936</v>
      </c>
      <c r="M187" t="s">
        <v>940</v>
      </c>
    </row>
    <row r="188" spans="1:13" x14ac:dyDescent="0.3">
      <c r="A188" t="s">
        <v>898</v>
      </c>
      <c r="B188">
        <v>191</v>
      </c>
      <c r="C188">
        <v>4176735</v>
      </c>
      <c r="D188">
        <v>86968</v>
      </c>
      <c r="E188">
        <v>178</v>
      </c>
      <c r="F188">
        <v>0</v>
      </c>
      <c r="G188">
        <v>89338636</v>
      </c>
      <c r="H188">
        <v>630594</v>
      </c>
      <c r="I188">
        <v>16144</v>
      </c>
      <c r="J188">
        <v>49390691</v>
      </c>
      <c r="K188">
        <v>22563</v>
      </c>
      <c r="L188" t="s">
        <v>936</v>
      </c>
      <c r="M188" t="s">
        <v>937</v>
      </c>
    </row>
    <row r="189" spans="1:13" x14ac:dyDescent="0.3">
      <c r="A189" t="s">
        <v>975</v>
      </c>
      <c r="B189">
        <v>158</v>
      </c>
      <c r="C189">
        <v>4034665</v>
      </c>
      <c r="D189">
        <v>80723</v>
      </c>
      <c r="E189">
        <v>0</v>
      </c>
      <c r="F189">
        <v>0</v>
      </c>
      <c r="G189">
        <v>166614450</v>
      </c>
      <c r="H189">
        <v>1889168</v>
      </c>
      <c r="I189">
        <v>60531</v>
      </c>
      <c r="J189">
        <v>5539743</v>
      </c>
      <c r="K189">
        <v>35100</v>
      </c>
      <c r="L189" t="s">
        <v>936</v>
      </c>
      <c r="M189" t="s">
        <v>945</v>
      </c>
    </row>
    <row r="190" spans="1:13" x14ac:dyDescent="0.3">
      <c r="A190" t="s">
        <v>892</v>
      </c>
      <c r="B190">
        <v>186</v>
      </c>
      <c r="C190">
        <v>3351941</v>
      </c>
      <c r="D190">
        <v>67064</v>
      </c>
      <c r="E190">
        <v>0</v>
      </c>
      <c r="F190">
        <v>0</v>
      </c>
      <c r="G190">
        <v>115285287</v>
      </c>
      <c r="H190">
        <v>746619</v>
      </c>
      <c r="I190">
        <v>4977</v>
      </c>
      <c r="J190">
        <v>15924862</v>
      </c>
      <c r="K190">
        <v>33503</v>
      </c>
      <c r="L190" t="s">
        <v>936</v>
      </c>
      <c r="M190" t="s">
        <v>962</v>
      </c>
    </row>
    <row r="191" spans="1:13" x14ac:dyDescent="0.3">
      <c r="A191" t="s">
        <v>899</v>
      </c>
      <c r="B191">
        <v>192</v>
      </c>
      <c r="C191">
        <v>3319070</v>
      </c>
      <c r="D191">
        <v>86887</v>
      </c>
      <c r="E191">
        <v>4500</v>
      </c>
      <c r="F191">
        <v>0</v>
      </c>
      <c r="G191">
        <v>81213510</v>
      </c>
      <c r="H191">
        <v>672443</v>
      </c>
      <c r="I191">
        <v>41586</v>
      </c>
      <c r="J191">
        <v>64649956</v>
      </c>
      <c r="K191">
        <v>23300</v>
      </c>
      <c r="L191" t="s">
        <v>936</v>
      </c>
      <c r="M191" t="s">
        <v>945</v>
      </c>
    </row>
    <row r="192" spans="1:13" x14ac:dyDescent="0.3">
      <c r="A192" t="s">
        <v>980</v>
      </c>
      <c r="B192">
        <v>196</v>
      </c>
      <c r="C192">
        <v>3135988</v>
      </c>
      <c r="D192">
        <v>123396</v>
      </c>
      <c r="E192">
        <v>16150</v>
      </c>
      <c r="F192">
        <v>12071949</v>
      </c>
      <c r="G192">
        <v>35435635</v>
      </c>
      <c r="H192">
        <v>330357</v>
      </c>
      <c r="I192">
        <v>49600</v>
      </c>
      <c r="J192">
        <v>80110661</v>
      </c>
      <c r="K192">
        <v>13840</v>
      </c>
      <c r="L192" t="s">
        <v>936</v>
      </c>
      <c r="M192" t="s">
        <v>959</v>
      </c>
    </row>
    <row r="193" spans="1:13" x14ac:dyDescent="0.3">
      <c r="A193" t="s">
        <v>900</v>
      </c>
      <c r="B193">
        <v>194</v>
      </c>
      <c r="C193">
        <v>2309155</v>
      </c>
      <c r="D193">
        <v>43861</v>
      </c>
      <c r="E193">
        <v>1160</v>
      </c>
      <c r="F193">
        <v>15098466</v>
      </c>
      <c r="G193">
        <v>54549056</v>
      </c>
      <c r="H193">
        <v>363030</v>
      </c>
      <c r="I193">
        <v>20235</v>
      </c>
      <c r="J193">
        <v>92420793</v>
      </c>
      <c r="K193">
        <v>17470</v>
      </c>
      <c r="L193" t="s">
        <v>936</v>
      </c>
      <c r="M193" t="s">
        <v>937</v>
      </c>
    </row>
    <row r="194" spans="1:13" x14ac:dyDescent="0.3">
      <c r="A194" t="s">
        <v>851</v>
      </c>
      <c r="B194">
        <v>153</v>
      </c>
      <c r="C194">
        <v>1901125</v>
      </c>
      <c r="D194">
        <v>41781</v>
      </c>
      <c r="E194">
        <v>1350</v>
      </c>
      <c r="F194">
        <v>0</v>
      </c>
      <c r="G194">
        <v>167426582</v>
      </c>
      <c r="H194">
        <v>1930815</v>
      </c>
      <c r="I194">
        <v>51320</v>
      </c>
      <c r="J194">
        <v>4801442</v>
      </c>
      <c r="K194">
        <v>30640</v>
      </c>
      <c r="L194" t="s">
        <v>936</v>
      </c>
      <c r="M194" t="s">
        <v>940</v>
      </c>
    </row>
    <row r="195" spans="1:13" x14ac:dyDescent="0.3">
      <c r="A195" t="s">
        <v>891</v>
      </c>
      <c r="B195">
        <v>185</v>
      </c>
      <c r="C195">
        <v>825294</v>
      </c>
      <c r="D195">
        <v>16400</v>
      </c>
      <c r="E195">
        <v>0</v>
      </c>
      <c r="F195">
        <v>0</v>
      </c>
      <c r="G195">
        <v>70705865</v>
      </c>
      <c r="H195">
        <v>685897</v>
      </c>
      <c r="I195">
        <v>0</v>
      </c>
      <c r="J195">
        <v>51514017</v>
      </c>
      <c r="K195">
        <v>24000</v>
      </c>
      <c r="L195" t="s">
        <v>936</v>
      </c>
      <c r="M195" t="s">
        <v>959</v>
      </c>
    </row>
    <row r="196" spans="1:13" x14ac:dyDescent="0.3">
      <c r="A196" t="s">
        <v>893</v>
      </c>
      <c r="B196">
        <v>190</v>
      </c>
      <c r="C196">
        <v>498031</v>
      </c>
      <c r="D196">
        <v>4637</v>
      </c>
      <c r="E196">
        <v>0</v>
      </c>
      <c r="F196">
        <v>26626824</v>
      </c>
      <c r="G196">
        <v>43390028</v>
      </c>
      <c r="H196">
        <v>458808</v>
      </c>
      <c r="I196">
        <v>76192</v>
      </c>
      <c r="J196">
        <v>316213292</v>
      </c>
      <c r="K196">
        <v>20506</v>
      </c>
      <c r="L196" t="s">
        <v>936</v>
      </c>
      <c r="M196" t="s">
        <v>937</v>
      </c>
    </row>
    <row r="197" spans="1:13" x14ac:dyDescent="0.3">
      <c r="A197" t="s">
        <v>897</v>
      </c>
      <c r="B197">
        <v>193</v>
      </c>
      <c r="C197">
        <v>0</v>
      </c>
      <c r="D197">
        <v>0</v>
      </c>
      <c r="E197">
        <v>0</v>
      </c>
      <c r="F197">
        <v>0</v>
      </c>
      <c r="G197">
        <v>57051857</v>
      </c>
      <c r="H197">
        <v>312495</v>
      </c>
      <c r="I197">
        <v>5816</v>
      </c>
      <c r="J197">
        <v>2216756</v>
      </c>
      <c r="K197">
        <v>23480</v>
      </c>
      <c r="L197" t="s">
        <v>936</v>
      </c>
      <c r="M197" t="s">
        <v>937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505A0-714B-4214-90FD-041DB6107909}">
  <dimension ref="A1:M198"/>
  <sheetViews>
    <sheetView workbookViewId="0">
      <selection activeCell="J16" sqref="J16"/>
    </sheetView>
  </sheetViews>
  <sheetFormatPr defaultRowHeight="16.5" x14ac:dyDescent="0.3"/>
  <sheetData>
    <row r="1" spans="1:13" x14ac:dyDescent="0.3">
      <c r="A1" t="s">
        <v>923</v>
      </c>
      <c r="B1" t="s">
        <v>924</v>
      </c>
      <c r="C1" t="s">
        <v>925</v>
      </c>
      <c r="D1" t="s">
        <v>926</v>
      </c>
      <c r="E1" t="s">
        <v>927</v>
      </c>
      <c r="F1" t="s">
        <v>928</v>
      </c>
      <c r="G1" t="s">
        <v>929</v>
      </c>
      <c r="H1" t="s">
        <v>930</v>
      </c>
      <c r="I1" t="s">
        <v>931</v>
      </c>
      <c r="J1" t="s">
        <v>932</v>
      </c>
      <c r="K1" t="s">
        <v>933</v>
      </c>
      <c r="L1" t="s">
        <v>934</v>
      </c>
      <c r="M1" t="s">
        <v>935</v>
      </c>
    </row>
    <row r="2" spans="1:13" x14ac:dyDescent="0.3">
      <c r="A2" t="s">
        <v>742</v>
      </c>
      <c r="B2">
        <v>2</v>
      </c>
      <c r="C2">
        <v>63792686</v>
      </c>
      <c r="D2">
        <v>1339982</v>
      </c>
      <c r="E2">
        <v>1099</v>
      </c>
      <c r="F2">
        <v>0</v>
      </c>
      <c r="G2">
        <v>614575592</v>
      </c>
      <c r="H2">
        <v>9293693</v>
      </c>
      <c r="I2">
        <v>56718</v>
      </c>
      <c r="J2">
        <v>2762893</v>
      </c>
      <c r="K2">
        <v>42170</v>
      </c>
      <c r="L2" t="s">
        <v>936</v>
      </c>
      <c r="M2" t="s">
        <v>937</v>
      </c>
    </row>
    <row r="3" spans="1:13" x14ac:dyDescent="0.3">
      <c r="A3" t="s">
        <v>740</v>
      </c>
      <c r="B3">
        <v>1</v>
      </c>
      <c r="C3">
        <v>54198470</v>
      </c>
      <c r="D3">
        <v>1090077</v>
      </c>
      <c r="E3">
        <v>10350</v>
      </c>
      <c r="F3">
        <v>0</v>
      </c>
      <c r="G3">
        <v>612569791</v>
      </c>
      <c r="H3">
        <v>9369803</v>
      </c>
      <c r="I3">
        <v>124975</v>
      </c>
      <c r="J3">
        <v>2709594</v>
      </c>
      <c r="K3">
        <v>43543</v>
      </c>
      <c r="L3" t="s">
        <v>936</v>
      </c>
      <c r="M3" t="s">
        <v>944</v>
      </c>
    </row>
    <row r="4" spans="1:13" x14ac:dyDescent="0.3">
      <c r="A4" t="s">
        <v>744</v>
      </c>
      <c r="B4">
        <v>7</v>
      </c>
      <c r="C4">
        <v>52454604</v>
      </c>
      <c r="D4">
        <v>1076326</v>
      </c>
      <c r="E4">
        <v>0</v>
      </c>
      <c r="F4">
        <v>0</v>
      </c>
      <c r="G4">
        <v>570123420</v>
      </c>
      <c r="H4">
        <v>8205571</v>
      </c>
      <c r="I4">
        <v>47662</v>
      </c>
      <c r="J4">
        <v>8203813</v>
      </c>
      <c r="K4">
        <v>47220</v>
      </c>
      <c r="L4" t="s">
        <v>936</v>
      </c>
      <c r="M4" t="s">
        <v>939</v>
      </c>
    </row>
    <row r="5" spans="1:13" x14ac:dyDescent="0.3">
      <c r="A5" t="s">
        <v>752</v>
      </c>
      <c r="B5">
        <v>12</v>
      </c>
      <c r="C5">
        <v>47984588</v>
      </c>
      <c r="D5">
        <v>1034539</v>
      </c>
      <c r="E5">
        <v>4500</v>
      </c>
      <c r="F5">
        <v>0</v>
      </c>
      <c r="G5">
        <v>485518818</v>
      </c>
      <c r="H5">
        <v>7197345</v>
      </c>
      <c r="I5">
        <v>68555</v>
      </c>
      <c r="J5">
        <v>3457225</v>
      </c>
      <c r="K5">
        <v>44840</v>
      </c>
      <c r="L5" t="s">
        <v>936</v>
      </c>
      <c r="M5" t="s">
        <v>943</v>
      </c>
    </row>
    <row r="6" spans="1:13" x14ac:dyDescent="0.3">
      <c r="A6" t="s">
        <v>598</v>
      </c>
      <c r="B6">
        <v>3</v>
      </c>
      <c r="C6">
        <v>49292973</v>
      </c>
      <c r="D6">
        <v>984227</v>
      </c>
      <c r="E6">
        <v>1104</v>
      </c>
      <c r="F6">
        <v>0</v>
      </c>
      <c r="G6">
        <v>569260442</v>
      </c>
      <c r="H6">
        <v>8322265</v>
      </c>
      <c r="I6">
        <v>55009</v>
      </c>
      <c r="J6">
        <v>3882655</v>
      </c>
      <c r="K6">
        <v>41310</v>
      </c>
      <c r="L6" t="s">
        <v>936</v>
      </c>
      <c r="M6" t="s">
        <v>945</v>
      </c>
    </row>
    <row r="7" spans="1:13" x14ac:dyDescent="0.3">
      <c r="A7" t="s">
        <v>804</v>
      </c>
      <c r="B7">
        <v>45</v>
      </c>
      <c r="C7">
        <v>45824863</v>
      </c>
      <c r="D7">
        <v>950077</v>
      </c>
      <c r="E7">
        <v>0</v>
      </c>
      <c r="F7">
        <v>0</v>
      </c>
      <c r="G7">
        <v>456115255</v>
      </c>
      <c r="H7">
        <v>5776176</v>
      </c>
      <c r="I7">
        <v>15311</v>
      </c>
      <c r="J7">
        <v>12260817</v>
      </c>
      <c r="K7">
        <v>39860</v>
      </c>
      <c r="L7" t="s">
        <v>936</v>
      </c>
      <c r="M7" t="s">
        <v>937</v>
      </c>
    </row>
    <row r="8" spans="1:13" x14ac:dyDescent="0.3">
      <c r="A8" t="s">
        <v>938</v>
      </c>
      <c r="B8">
        <v>4</v>
      </c>
      <c r="C8">
        <v>56854133</v>
      </c>
      <c r="D8">
        <v>944140</v>
      </c>
      <c r="E8">
        <v>400</v>
      </c>
      <c r="F8">
        <v>0</v>
      </c>
      <c r="G8">
        <v>593367522</v>
      </c>
      <c r="H8">
        <v>8384949</v>
      </c>
      <c r="I8">
        <v>35838</v>
      </c>
      <c r="J8">
        <v>3237273</v>
      </c>
      <c r="K8">
        <v>45180</v>
      </c>
      <c r="L8" t="s">
        <v>936</v>
      </c>
      <c r="M8" t="s">
        <v>939</v>
      </c>
    </row>
    <row r="9" spans="1:13" x14ac:dyDescent="0.3">
      <c r="A9" t="s">
        <v>746</v>
      </c>
      <c r="B9">
        <v>9</v>
      </c>
      <c r="C9">
        <v>43799337</v>
      </c>
      <c r="D9">
        <v>938663</v>
      </c>
      <c r="E9">
        <v>1078</v>
      </c>
      <c r="F9">
        <v>0</v>
      </c>
      <c r="G9">
        <v>493393191</v>
      </c>
      <c r="H9">
        <v>7667071</v>
      </c>
      <c r="I9">
        <v>61723</v>
      </c>
      <c r="J9">
        <v>2964363</v>
      </c>
      <c r="K9">
        <v>38820</v>
      </c>
      <c r="L9" t="s">
        <v>936</v>
      </c>
      <c r="M9" t="s">
        <v>943</v>
      </c>
    </row>
    <row r="10" spans="1:13" x14ac:dyDescent="0.3">
      <c r="A10" t="s">
        <v>743</v>
      </c>
      <c r="B10">
        <v>5</v>
      </c>
      <c r="C10">
        <v>56739044</v>
      </c>
      <c r="D10">
        <v>918589</v>
      </c>
      <c r="E10">
        <v>3150</v>
      </c>
      <c r="F10">
        <v>0</v>
      </c>
      <c r="G10">
        <v>546198384</v>
      </c>
      <c r="H10">
        <v>8256598</v>
      </c>
      <c r="I10">
        <v>57627</v>
      </c>
      <c r="J10">
        <v>2727930</v>
      </c>
      <c r="K10">
        <v>41910</v>
      </c>
      <c r="L10" t="s">
        <v>936</v>
      </c>
      <c r="M10" t="s">
        <v>940</v>
      </c>
    </row>
    <row r="11" spans="1:13" x14ac:dyDescent="0.3">
      <c r="A11" t="s">
        <v>747</v>
      </c>
      <c r="B11">
        <v>10</v>
      </c>
      <c r="C11">
        <v>45533897</v>
      </c>
      <c r="D11">
        <v>914654</v>
      </c>
      <c r="E11">
        <v>13106</v>
      </c>
      <c r="F11">
        <v>0</v>
      </c>
      <c r="G11">
        <v>530333900</v>
      </c>
      <c r="H11">
        <v>7242222</v>
      </c>
      <c r="I11">
        <v>122679</v>
      </c>
      <c r="J11">
        <v>2761789</v>
      </c>
      <c r="K11">
        <v>42130</v>
      </c>
      <c r="L11" t="s">
        <v>936</v>
      </c>
      <c r="M11" t="s">
        <v>943</v>
      </c>
    </row>
    <row r="12" spans="1:13" x14ac:dyDescent="0.3">
      <c r="A12" t="s">
        <v>753</v>
      </c>
      <c r="B12">
        <v>13</v>
      </c>
      <c r="C12">
        <v>42151294</v>
      </c>
      <c r="D12">
        <v>890726</v>
      </c>
      <c r="E12">
        <v>0</v>
      </c>
      <c r="F12">
        <v>0</v>
      </c>
      <c r="G12">
        <v>519505776</v>
      </c>
      <c r="H12">
        <v>6735391</v>
      </c>
      <c r="I12">
        <v>41451</v>
      </c>
      <c r="J12">
        <v>2702231</v>
      </c>
      <c r="K12">
        <v>39070</v>
      </c>
      <c r="L12" t="s">
        <v>936</v>
      </c>
      <c r="M12" t="s">
        <v>939</v>
      </c>
    </row>
    <row r="13" spans="1:13" x14ac:dyDescent="0.3">
      <c r="A13" t="s">
        <v>741</v>
      </c>
      <c r="B13">
        <v>6</v>
      </c>
      <c r="C13">
        <v>44601348</v>
      </c>
      <c r="D13">
        <v>872104</v>
      </c>
      <c r="E13">
        <v>350</v>
      </c>
      <c r="F13">
        <v>0</v>
      </c>
      <c r="G13">
        <v>510489139</v>
      </c>
      <c r="H13">
        <v>7964786</v>
      </c>
      <c r="I13">
        <v>31973</v>
      </c>
      <c r="J13">
        <v>2802676</v>
      </c>
      <c r="K13">
        <v>35890</v>
      </c>
      <c r="L13" t="s">
        <v>936</v>
      </c>
      <c r="M13" t="s">
        <v>940</v>
      </c>
    </row>
    <row r="14" spans="1:13" x14ac:dyDescent="0.3">
      <c r="A14" t="s">
        <v>806</v>
      </c>
      <c r="B14">
        <v>75</v>
      </c>
      <c r="C14">
        <v>51937276</v>
      </c>
      <c r="D14">
        <v>832775</v>
      </c>
      <c r="E14">
        <v>0</v>
      </c>
      <c r="F14">
        <v>0</v>
      </c>
      <c r="G14">
        <v>459733939</v>
      </c>
      <c r="H14">
        <v>4561368</v>
      </c>
      <c r="I14">
        <v>34958</v>
      </c>
      <c r="J14">
        <v>4581119</v>
      </c>
      <c r="K14">
        <v>48523</v>
      </c>
      <c r="L14" t="s">
        <v>936</v>
      </c>
      <c r="M14" t="s">
        <v>939</v>
      </c>
    </row>
    <row r="15" spans="1:13" x14ac:dyDescent="0.3">
      <c r="A15" t="s">
        <v>745</v>
      </c>
      <c r="B15">
        <v>11</v>
      </c>
      <c r="C15">
        <v>38230552</v>
      </c>
      <c r="D15">
        <v>832213</v>
      </c>
      <c r="E15">
        <v>531</v>
      </c>
      <c r="F15">
        <v>0</v>
      </c>
      <c r="G15">
        <v>495604069</v>
      </c>
      <c r="H15">
        <v>7741734</v>
      </c>
      <c r="I15">
        <v>63170</v>
      </c>
      <c r="J15">
        <v>3058362</v>
      </c>
      <c r="K15">
        <v>42190</v>
      </c>
      <c r="L15" t="s">
        <v>936</v>
      </c>
      <c r="M15" t="s">
        <v>943</v>
      </c>
    </row>
    <row r="16" spans="1:13" x14ac:dyDescent="0.3">
      <c r="A16" t="s">
        <v>599</v>
      </c>
      <c r="B16">
        <v>16</v>
      </c>
      <c r="C16">
        <v>37957167</v>
      </c>
      <c r="D16">
        <v>802375</v>
      </c>
      <c r="E16">
        <v>0</v>
      </c>
      <c r="F16">
        <v>0</v>
      </c>
      <c r="G16">
        <v>464427913</v>
      </c>
      <c r="H16">
        <v>6614556</v>
      </c>
      <c r="I16">
        <v>43491</v>
      </c>
      <c r="J16">
        <v>2707023</v>
      </c>
      <c r="K16">
        <v>42370</v>
      </c>
      <c r="L16" t="s">
        <v>936</v>
      </c>
      <c r="M16" t="s">
        <v>945</v>
      </c>
    </row>
    <row r="17" spans="1:13" x14ac:dyDescent="0.3">
      <c r="A17" t="s">
        <v>761</v>
      </c>
      <c r="B17">
        <v>25</v>
      </c>
      <c r="C17">
        <v>36228798</v>
      </c>
      <c r="D17">
        <v>800567</v>
      </c>
      <c r="E17">
        <v>4147</v>
      </c>
      <c r="F17">
        <v>0</v>
      </c>
      <c r="G17">
        <v>453934154</v>
      </c>
      <c r="H17">
        <v>6265173</v>
      </c>
      <c r="I17">
        <v>68270</v>
      </c>
      <c r="J17">
        <v>5426407</v>
      </c>
      <c r="K17">
        <v>40730</v>
      </c>
      <c r="L17" t="s">
        <v>936</v>
      </c>
      <c r="M17" t="s">
        <v>945</v>
      </c>
    </row>
    <row r="18" spans="1:13" x14ac:dyDescent="0.3">
      <c r="A18" t="s">
        <v>600</v>
      </c>
      <c r="B18">
        <v>70</v>
      </c>
      <c r="C18">
        <v>37734284</v>
      </c>
      <c r="D18">
        <v>784311</v>
      </c>
      <c r="E18">
        <v>50</v>
      </c>
      <c r="F18">
        <v>0</v>
      </c>
      <c r="G18">
        <v>351184601</v>
      </c>
      <c r="H18">
        <v>4926771</v>
      </c>
      <c r="I18">
        <v>30229</v>
      </c>
      <c r="J18">
        <v>6107671</v>
      </c>
      <c r="K18">
        <v>42890</v>
      </c>
      <c r="L18" t="s">
        <v>936</v>
      </c>
      <c r="M18" t="s">
        <v>945</v>
      </c>
    </row>
    <row r="19" spans="1:13" x14ac:dyDescent="0.3">
      <c r="A19" t="s">
        <v>783</v>
      </c>
      <c r="B19">
        <v>36</v>
      </c>
      <c r="C19">
        <v>38361855</v>
      </c>
      <c r="D19">
        <v>771158</v>
      </c>
      <c r="E19">
        <v>4016</v>
      </c>
      <c r="F19">
        <v>0</v>
      </c>
      <c r="G19">
        <v>403650689</v>
      </c>
      <c r="H19">
        <v>5467120</v>
      </c>
      <c r="I19">
        <v>61607</v>
      </c>
      <c r="J19">
        <v>2823608</v>
      </c>
      <c r="K19">
        <v>42030</v>
      </c>
      <c r="L19" t="s">
        <v>936</v>
      </c>
      <c r="M19" t="s">
        <v>945</v>
      </c>
    </row>
    <row r="20" spans="1:13" x14ac:dyDescent="0.3">
      <c r="A20" t="s">
        <v>941</v>
      </c>
      <c r="B20">
        <v>8</v>
      </c>
      <c r="C20">
        <v>51788073</v>
      </c>
      <c r="D20">
        <v>767253</v>
      </c>
      <c r="E20">
        <v>500</v>
      </c>
      <c r="F20">
        <v>0</v>
      </c>
      <c r="G20">
        <v>533599770</v>
      </c>
      <c r="H20">
        <v>7667737</v>
      </c>
      <c r="I20">
        <v>41849</v>
      </c>
      <c r="J20">
        <v>2702688</v>
      </c>
      <c r="K20">
        <v>45210</v>
      </c>
      <c r="L20" t="s">
        <v>936</v>
      </c>
      <c r="M20" t="s">
        <v>942</v>
      </c>
    </row>
    <row r="21" spans="1:13" x14ac:dyDescent="0.3">
      <c r="A21" t="s">
        <v>757</v>
      </c>
      <c r="B21">
        <v>22</v>
      </c>
      <c r="C21">
        <v>37109125</v>
      </c>
      <c r="D21">
        <v>758996</v>
      </c>
      <c r="E21">
        <v>0</v>
      </c>
      <c r="F21">
        <v>0</v>
      </c>
      <c r="G21">
        <v>416966079</v>
      </c>
      <c r="H21">
        <v>6175118</v>
      </c>
      <c r="I21">
        <v>37588</v>
      </c>
      <c r="J21">
        <v>2782290</v>
      </c>
      <c r="K21">
        <v>37800</v>
      </c>
      <c r="L21" t="s">
        <v>936</v>
      </c>
      <c r="M21" t="s">
        <v>942</v>
      </c>
    </row>
    <row r="22" spans="1:13" x14ac:dyDescent="0.3">
      <c r="A22" t="s">
        <v>776</v>
      </c>
      <c r="B22">
        <v>35</v>
      </c>
      <c r="C22">
        <v>36617425</v>
      </c>
      <c r="D22">
        <v>757538</v>
      </c>
      <c r="E22">
        <v>0</v>
      </c>
      <c r="F22">
        <v>0</v>
      </c>
      <c r="G22">
        <v>406460004</v>
      </c>
      <c r="H22">
        <v>5620708</v>
      </c>
      <c r="I22">
        <v>31461</v>
      </c>
      <c r="J22">
        <v>19401162</v>
      </c>
      <c r="K22">
        <v>42890</v>
      </c>
      <c r="L22" t="s">
        <v>936</v>
      </c>
      <c r="M22" t="s">
        <v>939</v>
      </c>
    </row>
    <row r="23" spans="1:13" x14ac:dyDescent="0.3">
      <c r="A23" t="s">
        <v>784</v>
      </c>
      <c r="B23">
        <v>38</v>
      </c>
      <c r="C23">
        <v>39728003</v>
      </c>
      <c r="D23">
        <v>752500</v>
      </c>
      <c r="E23">
        <v>0</v>
      </c>
      <c r="F23">
        <v>0</v>
      </c>
      <c r="G23">
        <v>418244820</v>
      </c>
      <c r="H23">
        <v>5446716</v>
      </c>
      <c r="I23">
        <v>69120</v>
      </c>
      <c r="J23">
        <v>5913914</v>
      </c>
      <c r="K23">
        <v>43190</v>
      </c>
      <c r="L23" t="s">
        <v>936</v>
      </c>
      <c r="M23" t="s">
        <v>942</v>
      </c>
    </row>
    <row r="24" spans="1:13" x14ac:dyDescent="0.3">
      <c r="A24" t="s">
        <v>949</v>
      </c>
      <c r="B24">
        <v>28</v>
      </c>
      <c r="C24">
        <v>34503080</v>
      </c>
      <c r="D24">
        <v>741238</v>
      </c>
      <c r="E24">
        <v>0</v>
      </c>
      <c r="F24">
        <v>0</v>
      </c>
      <c r="G24">
        <v>385673780</v>
      </c>
      <c r="H24">
        <v>5840791</v>
      </c>
      <c r="I24">
        <v>61840</v>
      </c>
      <c r="J24">
        <v>3815296</v>
      </c>
      <c r="K24">
        <v>39300</v>
      </c>
      <c r="L24" t="s">
        <v>936</v>
      </c>
      <c r="M24" t="s">
        <v>945</v>
      </c>
    </row>
    <row r="25" spans="1:13" x14ac:dyDescent="0.3">
      <c r="A25" t="s">
        <v>812</v>
      </c>
      <c r="B25">
        <v>80</v>
      </c>
      <c r="C25">
        <v>36396993</v>
      </c>
      <c r="D25">
        <v>738119</v>
      </c>
      <c r="E25">
        <v>303</v>
      </c>
      <c r="F25">
        <v>309045</v>
      </c>
      <c r="G25">
        <v>358047377</v>
      </c>
      <c r="H25">
        <v>5004332</v>
      </c>
      <c r="I25">
        <v>5276</v>
      </c>
      <c r="J25">
        <v>10898566</v>
      </c>
      <c r="K25">
        <v>43200</v>
      </c>
      <c r="L25" t="s">
        <v>936</v>
      </c>
      <c r="M25" t="s">
        <v>940</v>
      </c>
    </row>
    <row r="26" spans="1:13" x14ac:dyDescent="0.3">
      <c r="A26" t="s">
        <v>795</v>
      </c>
      <c r="B26">
        <v>61</v>
      </c>
      <c r="C26">
        <v>34680969</v>
      </c>
      <c r="D26">
        <v>737964</v>
      </c>
      <c r="E26">
        <v>1001</v>
      </c>
      <c r="F26">
        <v>0</v>
      </c>
      <c r="G26">
        <v>361156204</v>
      </c>
      <c r="H26">
        <v>4985484</v>
      </c>
      <c r="I26">
        <v>43880</v>
      </c>
      <c r="J26">
        <v>3989749</v>
      </c>
      <c r="K26">
        <v>41370</v>
      </c>
      <c r="L26" t="s">
        <v>936</v>
      </c>
      <c r="M26" t="s">
        <v>939</v>
      </c>
    </row>
    <row r="27" spans="1:13" x14ac:dyDescent="0.3">
      <c r="A27" t="s">
        <v>777</v>
      </c>
      <c r="B27">
        <v>43</v>
      </c>
      <c r="C27">
        <v>37742962</v>
      </c>
      <c r="D27">
        <v>733004</v>
      </c>
      <c r="E27">
        <v>11250</v>
      </c>
      <c r="F27">
        <v>0</v>
      </c>
      <c r="G27">
        <v>356077724</v>
      </c>
      <c r="H27">
        <v>5201773</v>
      </c>
      <c r="I27">
        <v>107642</v>
      </c>
      <c r="J27">
        <v>5085296</v>
      </c>
      <c r="K27">
        <v>37633</v>
      </c>
      <c r="L27" t="s">
        <v>936</v>
      </c>
      <c r="M27" t="s">
        <v>940</v>
      </c>
    </row>
    <row r="28" spans="1:13" x14ac:dyDescent="0.3">
      <c r="A28" t="s">
        <v>748</v>
      </c>
      <c r="B28">
        <v>14</v>
      </c>
      <c r="C28">
        <v>46611330</v>
      </c>
      <c r="D28">
        <v>716932</v>
      </c>
      <c r="E28">
        <v>0</v>
      </c>
      <c r="F28">
        <v>0</v>
      </c>
      <c r="G28">
        <v>512925204</v>
      </c>
      <c r="H28">
        <v>6370156</v>
      </c>
      <c r="I28">
        <v>29239</v>
      </c>
      <c r="J28">
        <v>2770716</v>
      </c>
      <c r="K28">
        <v>38600</v>
      </c>
      <c r="L28" t="s">
        <v>936</v>
      </c>
      <c r="M28" t="s">
        <v>937</v>
      </c>
    </row>
    <row r="29" spans="1:13" x14ac:dyDescent="0.3">
      <c r="A29" t="s">
        <v>755</v>
      </c>
      <c r="B29">
        <v>18</v>
      </c>
      <c r="C29">
        <v>35722032</v>
      </c>
      <c r="D29">
        <v>715650</v>
      </c>
      <c r="E29">
        <v>15052</v>
      </c>
      <c r="F29">
        <v>0</v>
      </c>
      <c r="G29">
        <v>463054334</v>
      </c>
      <c r="H29">
        <v>6416430</v>
      </c>
      <c r="I29">
        <v>139574</v>
      </c>
      <c r="J29">
        <v>6912971</v>
      </c>
      <c r="K29">
        <v>40510</v>
      </c>
      <c r="L29" t="s">
        <v>936</v>
      </c>
      <c r="M29" t="s">
        <v>940</v>
      </c>
    </row>
    <row r="30" spans="1:13" x14ac:dyDescent="0.3">
      <c r="A30" t="s">
        <v>758</v>
      </c>
      <c r="B30">
        <v>21</v>
      </c>
      <c r="C30">
        <v>35482345</v>
      </c>
      <c r="D30">
        <v>715389</v>
      </c>
      <c r="E30">
        <v>246</v>
      </c>
      <c r="F30">
        <v>0</v>
      </c>
      <c r="G30">
        <v>438272033</v>
      </c>
      <c r="H30">
        <v>6302933</v>
      </c>
      <c r="I30">
        <v>47340</v>
      </c>
      <c r="J30">
        <v>2705074</v>
      </c>
      <c r="K30">
        <v>40543</v>
      </c>
      <c r="L30" t="s">
        <v>936</v>
      </c>
      <c r="M30" t="s">
        <v>939</v>
      </c>
    </row>
    <row r="31" spans="1:13" x14ac:dyDescent="0.3">
      <c r="A31" t="s">
        <v>792</v>
      </c>
      <c r="B31">
        <v>56</v>
      </c>
      <c r="C31">
        <v>33392344</v>
      </c>
      <c r="D31">
        <v>705112</v>
      </c>
      <c r="E31">
        <v>2700</v>
      </c>
      <c r="F31">
        <v>0</v>
      </c>
      <c r="G31">
        <v>358454909</v>
      </c>
      <c r="H31">
        <v>5233369</v>
      </c>
      <c r="I31">
        <v>128589</v>
      </c>
      <c r="J31">
        <v>5387592</v>
      </c>
      <c r="K31">
        <v>38009</v>
      </c>
      <c r="L31" t="s">
        <v>936</v>
      </c>
      <c r="M31" t="s">
        <v>943</v>
      </c>
    </row>
    <row r="32" spans="1:13" x14ac:dyDescent="0.3">
      <c r="A32" t="s">
        <v>772</v>
      </c>
      <c r="B32">
        <v>34</v>
      </c>
      <c r="C32">
        <v>32807749</v>
      </c>
      <c r="D32">
        <v>704953</v>
      </c>
      <c r="E32">
        <v>522</v>
      </c>
      <c r="F32">
        <v>0</v>
      </c>
      <c r="G32">
        <v>404384051</v>
      </c>
      <c r="H32">
        <v>5493974</v>
      </c>
      <c r="I32">
        <v>62925</v>
      </c>
      <c r="J32">
        <v>2504414</v>
      </c>
      <c r="K32">
        <v>39043</v>
      </c>
      <c r="L32" t="s">
        <v>936</v>
      </c>
      <c r="M32" t="s">
        <v>946</v>
      </c>
    </row>
    <row r="33" spans="1:13" x14ac:dyDescent="0.3">
      <c r="A33" t="s">
        <v>759</v>
      </c>
      <c r="B33">
        <v>26</v>
      </c>
      <c r="C33">
        <v>36102191</v>
      </c>
      <c r="D33">
        <v>703954</v>
      </c>
      <c r="E33">
        <v>7200</v>
      </c>
      <c r="F33">
        <v>0</v>
      </c>
      <c r="G33">
        <v>437860669</v>
      </c>
      <c r="H33">
        <v>5877970</v>
      </c>
      <c r="I33">
        <v>75089</v>
      </c>
      <c r="J33">
        <v>3467961</v>
      </c>
      <c r="K33">
        <v>47310</v>
      </c>
      <c r="L33" t="s">
        <v>936</v>
      </c>
      <c r="M33" t="s">
        <v>946</v>
      </c>
    </row>
    <row r="34" spans="1:13" x14ac:dyDescent="0.3">
      <c r="A34" t="s">
        <v>769</v>
      </c>
      <c r="B34">
        <v>37</v>
      </c>
      <c r="C34">
        <v>32842387</v>
      </c>
      <c r="D34">
        <v>685581</v>
      </c>
      <c r="E34">
        <v>802</v>
      </c>
      <c r="F34">
        <v>0</v>
      </c>
      <c r="G34">
        <v>373411931</v>
      </c>
      <c r="H34">
        <v>5619229</v>
      </c>
      <c r="I34">
        <v>46527</v>
      </c>
      <c r="J34">
        <v>3310084</v>
      </c>
      <c r="K34">
        <v>41630</v>
      </c>
      <c r="L34" t="s">
        <v>936</v>
      </c>
      <c r="M34" t="s">
        <v>939</v>
      </c>
    </row>
    <row r="35" spans="1:13" x14ac:dyDescent="0.3">
      <c r="A35" t="s">
        <v>947</v>
      </c>
      <c r="B35">
        <v>53</v>
      </c>
      <c r="C35">
        <v>33151184</v>
      </c>
      <c r="D35">
        <v>681465</v>
      </c>
      <c r="E35">
        <v>303</v>
      </c>
      <c r="F35">
        <v>0</v>
      </c>
      <c r="G35">
        <v>393377126</v>
      </c>
      <c r="H35">
        <v>5287981</v>
      </c>
      <c r="I35">
        <v>45494</v>
      </c>
      <c r="J35">
        <v>9110940</v>
      </c>
      <c r="K35">
        <v>42370</v>
      </c>
      <c r="L35" t="s">
        <v>936</v>
      </c>
      <c r="M35" t="s">
        <v>939</v>
      </c>
    </row>
    <row r="36" spans="1:13" x14ac:dyDescent="0.3">
      <c r="A36" t="s">
        <v>805</v>
      </c>
      <c r="B36">
        <v>69</v>
      </c>
      <c r="C36">
        <v>32583822</v>
      </c>
      <c r="D36">
        <v>679730</v>
      </c>
      <c r="E36">
        <v>2367</v>
      </c>
      <c r="F36">
        <v>0</v>
      </c>
      <c r="G36">
        <v>387298162</v>
      </c>
      <c r="H36">
        <v>5053269</v>
      </c>
      <c r="I36">
        <v>32645</v>
      </c>
      <c r="J36">
        <v>3701831</v>
      </c>
      <c r="K36">
        <v>41010</v>
      </c>
      <c r="L36" t="s">
        <v>936</v>
      </c>
      <c r="M36" t="s">
        <v>940</v>
      </c>
    </row>
    <row r="37" spans="1:13" x14ac:dyDescent="0.3">
      <c r="A37" t="s">
        <v>774</v>
      </c>
      <c r="B37">
        <v>33</v>
      </c>
      <c r="C37">
        <v>34472637</v>
      </c>
      <c r="D37">
        <v>678499</v>
      </c>
      <c r="E37">
        <v>0</v>
      </c>
      <c r="F37">
        <v>0</v>
      </c>
      <c r="G37">
        <v>405413444</v>
      </c>
      <c r="H37">
        <v>5410311</v>
      </c>
      <c r="I37">
        <v>32608</v>
      </c>
      <c r="J37">
        <v>4422108</v>
      </c>
      <c r="K37">
        <v>38226</v>
      </c>
      <c r="L37" t="s">
        <v>936</v>
      </c>
      <c r="M37" t="s">
        <v>946</v>
      </c>
    </row>
    <row r="38" spans="1:13" x14ac:dyDescent="0.3">
      <c r="A38" t="s">
        <v>785</v>
      </c>
      <c r="B38">
        <v>50</v>
      </c>
      <c r="C38">
        <v>29790614</v>
      </c>
      <c r="D38">
        <v>677499</v>
      </c>
      <c r="E38">
        <v>13338</v>
      </c>
      <c r="F38">
        <v>0</v>
      </c>
      <c r="G38">
        <v>344423433</v>
      </c>
      <c r="H38">
        <v>5794360</v>
      </c>
      <c r="I38">
        <v>151170</v>
      </c>
      <c r="J38">
        <v>3404300</v>
      </c>
      <c r="K38">
        <v>38850</v>
      </c>
      <c r="L38" t="s">
        <v>936</v>
      </c>
      <c r="M38" t="s">
        <v>946</v>
      </c>
    </row>
    <row r="39" spans="1:13" x14ac:dyDescent="0.3">
      <c r="A39" t="s">
        <v>803</v>
      </c>
      <c r="B39">
        <v>66</v>
      </c>
      <c r="C39">
        <v>32728439</v>
      </c>
      <c r="D39">
        <v>675318</v>
      </c>
      <c r="E39">
        <v>0</v>
      </c>
      <c r="F39">
        <v>0</v>
      </c>
      <c r="G39">
        <v>346518162</v>
      </c>
      <c r="H39">
        <v>4920732</v>
      </c>
      <c r="I39">
        <v>47397</v>
      </c>
      <c r="J39">
        <v>52282692</v>
      </c>
      <c r="K39">
        <v>42030</v>
      </c>
      <c r="L39" t="s">
        <v>936</v>
      </c>
      <c r="M39" t="s">
        <v>939</v>
      </c>
    </row>
    <row r="40" spans="1:13" x14ac:dyDescent="0.3">
      <c r="A40" t="s">
        <v>955</v>
      </c>
      <c r="B40">
        <v>44</v>
      </c>
      <c r="C40">
        <v>30791774</v>
      </c>
      <c r="D40">
        <v>672404</v>
      </c>
      <c r="E40">
        <v>300</v>
      </c>
      <c r="F40">
        <v>0</v>
      </c>
      <c r="G40">
        <v>411550051</v>
      </c>
      <c r="H40">
        <v>5340251</v>
      </c>
      <c r="I40">
        <v>58262</v>
      </c>
      <c r="J40">
        <v>2743373</v>
      </c>
      <c r="K40">
        <v>42300</v>
      </c>
      <c r="L40" t="s">
        <v>936</v>
      </c>
      <c r="M40" t="s">
        <v>939</v>
      </c>
    </row>
    <row r="41" spans="1:13" x14ac:dyDescent="0.3">
      <c r="A41" t="s">
        <v>814</v>
      </c>
      <c r="B41">
        <v>83</v>
      </c>
      <c r="C41">
        <v>37862868</v>
      </c>
      <c r="D41">
        <v>671175</v>
      </c>
      <c r="E41">
        <v>350</v>
      </c>
      <c r="F41">
        <v>0</v>
      </c>
      <c r="G41">
        <v>352702287</v>
      </c>
      <c r="H41">
        <v>4363371</v>
      </c>
      <c r="I41">
        <v>37852</v>
      </c>
      <c r="J41">
        <v>6353831</v>
      </c>
      <c r="K41">
        <v>42100</v>
      </c>
      <c r="L41" t="s">
        <v>936</v>
      </c>
      <c r="M41" t="s">
        <v>940</v>
      </c>
    </row>
    <row r="42" spans="1:13" x14ac:dyDescent="0.3">
      <c r="A42" t="s">
        <v>797</v>
      </c>
      <c r="B42">
        <v>60</v>
      </c>
      <c r="C42">
        <v>28934855</v>
      </c>
      <c r="D42">
        <v>669847</v>
      </c>
      <c r="E42">
        <v>14602</v>
      </c>
      <c r="F42">
        <v>0</v>
      </c>
      <c r="G42">
        <v>367389490</v>
      </c>
      <c r="H42">
        <v>5714902</v>
      </c>
      <c r="I42">
        <v>172619</v>
      </c>
      <c r="J42">
        <v>5856448</v>
      </c>
      <c r="K42">
        <v>39290</v>
      </c>
      <c r="L42" t="s">
        <v>936</v>
      </c>
      <c r="M42" t="s">
        <v>939</v>
      </c>
    </row>
    <row r="43" spans="1:13" x14ac:dyDescent="0.3">
      <c r="A43" t="s">
        <v>793</v>
      </c>
      <c r="B43">
        <v>57</v>
      </c>
      <c r="C43">
        <v>31838116</v>
      </c>
      <c r="D43">
        <v>669818</v>
      </c>
      <c r="E43">
        <v>120</v>
      </c>
      <c r="F43">
        <v>0</v>
      </c>
      <c r="G43">
        <v>382440796</v>
      </c>
      <c r="H43">
        <v>5107974</v>
      </c>
      <c r="I43">
        <v>44452</v>
      </c>
      <c r="J43">
        <v>3522751</v>
      </c>
      <c r="K43">
        <v>39940</v>
      </c>
      <c r="L43" t="s">
        <v>936</v>
      </c>
      <c r="M43" t="s">
        <v>937</v>
      </c>
    </row>
    <row r="44" spans="1:13" x14ac:dyDescent="0.3">
      <c r="A44" t="s">
        <v>773</v>
      </c>
      <c r="B44">
        <v>39</v>
      </c>
      <c r="C44">
        <v>35583777</v>
      </c>
      <c r="D44">
        <v>660562</v>
      </c>
      <c r="E44">
        <v>0</v>
      </c>
      <c r="F44">
        <v>0</v>
      </c>
      <c r="G44">
        <v>397028934</v>
      </c>
      <c r="H44">
        <v>5529598</v>
      </c>
      <c r="I44">
        <v>63434</v>
      </c>
      <c r="J44">
        <v>3727713</v>
      </c>
      <c r="K44">
        <v>43593</v>
      </c>
      <c r="L44" t="s">
        <v>936</v>
      </c>
      <c r="M44" t="s">
        <v>946</v>
      </c>
    </row>
    <row r="45" spans="1:13" x14ac:dyDescent="0.3">
      <c r="A45" t="s">
        <v>760</v>
      </c>
      <c r="B45">
        <v>23</v>
      </c>
      <c r="C45">
        <v>44681921</v>
      </c>
      <c r="D45">
        <v>660312</v>
      </c>
      <c r="E45">
        <v>0</v>
      </c>
      <c r="F45">
        <v>0</v>
      </c>
      <c r="G45">
        <v>664787159</v>
      </c>
      <c r="H45">
        <v>5908492</v>
      </c>
      <c r="I45">
        <v>35635</v>
      </c>
      <c r="J45">
        <v>4082120</v>
      </c>
      <c r="K45">
        <v>44383</v>
      </c>
      <c r="L45" t="s">
        <v>936</v>
      </c>
      <c r="M45" t="s">
        <v>940</v>
      </c>
    </row>
    <row r="46" spans="1:13" x14ac:dyDescent="0.3">
      <c r="A46" t="s">
        <v>751</v>
      </c>
      <c r="B46">
        <v>17</v>
      </c>
      <c r="C46">
        <v>31464024</v>
      </c>
      <c r="D46">
        <v>655100</v>
      </c>
      <c r="E46">
        <v>0</v>
      </c>
      <c r="F46">
        <v>0</v>
      </c>
      <c r="G46">
        <v>431003372</v>
      </c>
      <c r="H46">
        <v>6620977</v>
      </c>
      <c r="I46">
        <v>46851</v>
      </c>
      <c r="J46">
        <v>4819625</v>
      </c>
      <c r="K46">
        <v>39960</v>
      </c>
      <c r="L46" t="s">
        <v>936</v>
      </c>
      <c r="M46" t="s">
        <v>939</v>
      </c>
    </row>
    <row r="47" spans="1:13" x14ac:dyDescent="0.3">
      <c r="A47" t="s">
        <v>799</v>
      </c>
      <c r="B47">
        <v>67</v>
      </c>
      <c r="C47">
        <v>41492904</v>
      </c>
      <c r="D47">
        <v>653153</v>
      </c>
      <c r="E47">
        <v>1430</v>
      </c>
      <c r="F47">
        <v>0</v>
      </c>
      <c r="G47">
        <v>540474289</v>
      </c>
      <c r="H47">
        <v>4995585</v>
      </c>
      <c r="I47">
        <v>51486</v>
      </c>
      <c r="J47">
        <v>3345422</v>
      </c>
      <c r="K47">
        <v>45580</v>
      </c>
      <c r="L47" t="s">
        <v>936</v>
      </c>
      <c r="M47" t="s">
        <v>940</v>
      </c>
    </row>
    <row r="48" spans="1:13" x14ac:dyDescent="0.3">
      <c r="A48" t="s">
        <v>786</v>
      </c>
      <c r="B48">
        <v>48</v>
      </c>
      <c r="C48">
        <v>43456896</v>
      </c>
      <c r="D48">
        <v>648105</v>
      </c>
      <c r="E48">
        <v>16301</v>
      </c>
      <c r="F48">
        <v>0</v>
      </c>
      <c r="G48">
        <v>446500444</v>
      </c>
      <c r="H48">
        <v>5289636</v>
      </c>
      <c r="I48">
        <v>97976</v>
      </c>
      <c r="J48">
        <v>2065216</v>
      </c>
      <c r="K48">
        <v>38170</v>
      </c>
      <c r="L48" t="s">
        <v>936</v>
      </c>
      <c r="M48" t="s">
        <v>940</v>
      </c>
    </row>
    <row r="49" spans="1:13" x14ac:dyDescent="0.3">
      <c r="A49" t="s">
        <v>775</v>
      </c>
      <c r="B49">
        <v>47</v>
      </c>
      <c r="C49">
        <v>29834934</v>
      </c>
      <c r="D49">
        <v>640565</v>
      </c>
      <c r="E49">
        <v>0</v>
      </c>
      <c r="F49">
        <v>816743</v>
      </c>
      <c r="G49">
        <v>336969339</v>
      </c>
      <c r="H49">
        <v>5158011</v>
      </c>
      <c r="I49">
        <v>49560</v>
      </c>
      <c r="J49">
        <v>4223435</v>
      </c>
      <c r="K49">
        <v>38979</v>
      </c>
      <c r="L49" t="s">
        <v>936</v>
      </c>
      <c r="M49" t="s">
        <v>939</v>
      </c>
    </row>
    <row r="50" spans="1:13" x14ac:dyDescent="0.3">
      <c r="A50" t="s">
        <v>754</v>
      </c>
      <c r="B50">
        <v>19</v>
      </c>
      <c r="C50">
        <v>32395617</v>
      </c>
      <c r="D50">
        <v>636215</v>
      </c>
      <c r="E50">
        <v>50</v>
      </c>
      <c r="F50">
        <v>0</v>
      </c>
      <c r="G50">
        <v>408456754</v>
      </c>
      <c r="H50">
        <v>5919207</v>
      </c>
      <c r="I50">
        <v>32057</v>
      </c>
      <c r="J50">
        <v>3859526</v>
      </c>
      <c r="K50">
        <v>42400</v>
      </c>
      <c r="L50" t="s">
        <v>936</v>
      </c>
      <c r="M50" t="s">
        <v>942</v>
      </c>
    </row>
    <row r="51" spans="1:13" x14ac:dyDescent="0.3">
      <c r="A51" t="s">
        <v>765</v>
      </c>
      <c r="B51">
        <v>30</v>
      </c>
      <c r="C51">
        <v>29738253</v>
      </c>
      <c r="D51">
        <v>633738</v>
      </c>
      <c r="E51">
        <v>2700</v>
      </c>
      <c r="F51">
        <v>384740</v>
      </c>
      <c r="G51">
        <v>428955397</v>
      </c>
      <c r="H51">
        <v>5776961</v>
      </c>
      <c r="I51">
        <v>80924</v>
      </c>
      <c r="J51">
        <v>3848650</v>
      </c>
      <c r="K51">
        <v>42520</v>
      </c>
      <c r="L51" t="s">
        <v>936</v>
      </c>
      <c r="M51" t="s">
        <v>946</v>
      </c>
    </row>
    <row r="52" spans="1:13" x14ac:dyDescent="0.3">
      <c r="A52" t="s">
        <v>770</v>
      </c>
      <c r="B52">
        <v>32</v>
      </c>
      <c r="C52">
        <v>31402398</v>
      </c>
      <c r="D52">
        <v>629289</v>
      </c>
      <c r="E52">
        <v>8558</v>
      </c>
      <c r="F52">
        <v>0</v>
      </c>
      <c r="G52">
        <v>428287654</v>
      </c>
      <c r="H52">
        <v>5404315</v>
      </c>
      <c r="I52">
        <v>76562</v>
      </c>
      <c r="J52">
        <v>2702575</v>
      </c>
      <c r="K52">
        <v>39513</v>
      </c>
      <c r="L52" t="s">
        <v>936</v>
      </c>
      <c r="M52" t="s">
        <v>940</v>
      </c>
    </row>
    <row r="53" spans="1:13" x14ac:dyDescent="0.3">
      <c r="A53" t="s">
        <v>749</v>
      </c>
      <c r="B53">
        <v>15</v>
      </c>
      <c r="C53">
        <v>31745974</v>
      </c>
      <c r="D53">
        <v>628671</v>
      </c>
      <c r="E53">
        <v>350</v>
      </c>
      <c r="F53">
        <v>0</v>
      </c>
      <c r="G53">
        <v>461188213</v>
      </c>
      <c r="H53">
        <v>6398556</v>
      </c>
      <c r="I53">
        <v>44718</v>
      </c>
      <c r="J53">
        <v>3448225</v>
      </c>
      <c r="K53">
        <v>46150</v>
      </c>
      <c r="L53" t="s">
        <v>936</v>
      </c>
      <c r="M53" t="s">
        <v>940</v>
      </c>
    </row>
    <row r="54" spans="1:13" x14ac:dyDescent="0.3">
      <c r="A54" t="s">
        <v>952</v>
      </c>
      <c r="B54">
        <v>74</v>
      </c>
      <c r="C54">
        <v>28569846</v>
      </c>
      <c r="D54">
        <v>628662</v>
      </c>
      <c r="E54">
        <v>1203</v>
      </c>
      <c r="F54">
        <v>0</v>
      </c>
      <c r="G54">
        <v>410841595</v>
      </c>
      <c r="H54">
        <v>5125595</v>
      </c>
      <c r="I54">
        <v>56438</v>
      </c>
      <c r="J54">
        <v>3312487</v>
      </c>
      <c r="K54">
        <v>36950</v>
      </c>
      <c r="L54" t="s">
        <v>936</v>
      </c>
      <c r="M54" t="s">
        <v>942</v>
      </c>
    </row>
    <row r="55" spans="1:13" x14ac:dyDescent="0.3">
      <c r="A55" t="s">
        <v>948</v>
      </c>
      <c r="B55">
        <v>82</v>
      </c>
      <c r="C55">
        <v>29456472</v>
      </c>
      <c r="D55">
        <v>619945</v>
      </c>
      <c r="E55">
        <v>1010</v>
      </c>
      <c r="F55">
        <v>0</v>
      </c>
      <c r="G55">
        <v>362689094</v>
      </c>
      <c r="H55">
        <v>4696549</v>
      </c>
      <c r="I55">
        <v>60874</v>
      </c>
      <c r="J55">
        <v>3007799</v>
      </c>
      <c r="K55">
        <v>40276</v>
      </c>
      <c r="L55" t="s">
        <v>936</v>
      </c>
      <c r="M55" t="s">
        <v>942</v>
      </c>
    </row>
    <row r="56" spans="1:13" x14ac:dyDescent="0.3">
      <c r="A56" t="s">
        <v>767</v>
      </c>
      <c r="B56">
        <v>31</v>
      </c>
      <c r="C56">
        <v>27911544</v>
      </c>
      <c r="D56">
        <v>619113</v>
      </c>
      <c r="E56">
        <v>50</v>
      </c>
      <c r="F56">
        <v>0</v>
      </c>
      <c r="G56">
        <v>397461478</v>
      </c>
      <c r="H56">
        <v>5652075</v>
      </c>
      <c r="I56">
        <v>74664</v>
      </c>
      <c r="J56">
        <v>3135417</v>
      </c>
      <c r="K56">
        <v>39770</v>
      </c>
      <c r="L56" t="s">
        <v>936</v>
      </c>
      <c r="M56" t="s">
        <v>944</v>
      </c>
    </row>
    <row r="57" spans="1:13" x14ac:dyDescent="0.3">
      <c r="A57" t="s">
        <v>801</v>
      </c>
      <c r="B57">
        <v>77</v>
      </c>
      <c r="C57">
        <v>37811210</v>
      </c>
      <c r="D57">
        <v>616362</v>
      </c>
      <c r="E57">
        <v>385</v>
      </c>
      <c r="F57">
        <v>0</v>
      </c>
      <c r="G57">
        <v>375296370</v>
      </c>
      <c r="H57">
        <v>4905422</v>
      </c>
      <c r="I57">
        <v>44993</v>
      </c>
      <c r="J57">
        <v>5367439</v>
      </c>
      <c r="K57">
        <v>42960</v>
      </c>
      <c r="L57" t="s">
        <v>936</v>
      </c>
      <c r="M57" t="s">
        <v>944</v>
      </c>
    </row>
    <row r="58" spans="1:13" x14ac:dyDescent="0.3">
      <c r="A58" t="s">
        <v>763</v>
      </c>
      <c r="B58">
        <v>29</v>
      </c>
      <c r="C58">
        <v>31184449</v>
      </c>
      <c r="D58">
        <v>614780</v>
      </c>
      <c r="E58">
        <v>0</v>
      </c>
      <c r="F58">
        <v>0</v>
      </c>
      <c r="G58">
        <v>357077681</v>
      </c>
      <c r="H58">
        <v>5410116</v>
      </c>
      <c r="I58">
        <v>43894</v>
      </c>
      <c r="J58">
        <v>2990195</v>
      </c>
      <c r="K58">
        <v>37283</v>
      </c>
      <c r="L58" t="s">
        <v>936</v>
      </c>
      <c r="M58" t="s">
        <v>940</v>
      </c>
    </row>
    <row r="59" spans="1:13" x14ac:dyDescent="0.3">
      <c r="A59" t="s">
        <v>756</v>
      </c>
      <c r="B59">
        <v>24</v>
      </c>
      <c r="C59">
        <v>27848916</v>
      </c>
      <c r="D59">
        <v>614131</v>
      </c>
      <c r="E59">
        <v>426</v>
      </c>
      <c r="F59">
        <v>0</v>
      </c>
      <c r="G59">
        <v>396188945</v>
      </c>
      <c r="H59">
        <v>6061101</v>
      </c>
      <c r="I59">
        <v>56031</v>
      </c>
      <c r="J59">
        <v>3079272</v>
      </c>
      <c r="K59">
        <v>39333</v>
      </c>
      <c r="L59" t="s">
        <v>936</v>
      </c>
      <c r="M59" t="s">
        <v>945</v>
      </c>
    </row>
    <row r="60" spans="1:13" x14ac:dyDescent="0.3">
      <c r="A60" t="s">
        <v>802</v>
      </c>
      <c r="B60">
        <v>79</v>
      </c>
      <c r="C60">
        <v>28959755</v>
      </c>
      <c r="D60">
        <v>609968</v>
      </c>
      <c r="E60">
        <v>1672</v>
      </c>
      <c r="F60">
        <v>0</v>
      </c>
      <c r="G60">
        <v>384896571</v>
      </c>
      <c r="H60">
        <v>4744513</v>
      </c>
      <c r="I60">
        <v>46536</v>
      </c>
      <c r="J60">
        <v>2912558</v>
      </c>
      <c r="K60">
        <v>39880</v>
      </c>
      <c r="L60" t="s">
        <v>936</v>
      </c>
      <c r="M60" t="s">
        <v>937</v>
      </c>
    </row>
    <row r="61" spans="1:13" x14ac:dyDescent="0.3">
      <c r="A61" t="s">
        <v>950</v>
      </c>
      <c r="B61">
        <v>73</v>
      </c>
      <c r="C61">
        <v>27806375</v>
      </c>
      <c r="D61">
        <v>600885</v>
      </c>
      <c r="E61">
        <v>348</v>
      </c>
      <c r="F61">
        <v>0</v>
      </c>
      <c r="G61">
        <v>377561455</v>
      </c>
      <c r="H61">
        <v>5081456</v>
      </c>
      <c r="I61">
        <v>35687</v>
      </c>
      <c r="J61">
        <v>3348287</v>
      </c>
      <c r="K61">
        <v>36760</v>
      </c>
      <c r="L61" t="s">
        <v>936</v>
      </c>
      <c r="M61" t="s">
        <v>942</v>
      </c>
    </row>
    <row r="62" spans="1:13" x14ac:dyDescent="0.3">
      <c r="A62" t="s">
        <v>601</v>
      </c>
      <c r="B62">
        <v>87</v>
      </c>
      <c r="C62">
        <v>28221520</v>
      </c>
      <c r="D62">
        <v>595581</v>
      </c>
      <c r="E62">
        <v>0</v>
      </c>
      <c r="F62">
        <v>0</v>
      </c>
      <c r="G62">
        <v>306677260</v>
      </c>
      <c r="H62">
        <v>4628504</v>
      </c>
      <c r="I62">
        <v>47174</v>
      </c>
      <c r="J62">
        <v>4578043</v>
      </c>
      <c r="K62">
        <v>38170</v>
      </c>
      <c r="L62" t="s">
        <v>936</v>
      </c>
      <c r="M62" t="s">
        <v>945</v>
      </c>
    </row>
    <row r="63" spans="1:13" x14ac:dyDescent="0.3">
      <c r="A63" t="s">
        <v>780</v>
      </c>
      <c r="B63">
        <v>49</v>
      </c>
      <c r="C63">
        <v>38153972</v>
      </c>
      <c r="D63">
        <v>585602</v>
      </c>
      <c r="E63">
        <v>0</v>
      </c>
      <c r="F63">
        <v>0</v>
      </c>
      <c r="G63">
        <v>435973544</v>
      </c>
      <c r="H63">
        <v>5203724</v>
      </c>
      <c r="I63">
        <v>50577</v>
      </c>
      <c r="J63">
        <v>3385461</v>
      </c>
      <c r="K63">
        <v>39840</v>
      </c>
      <c r="L63" t="s">
        <v>936</v>
      </c>
      <c r="M63" t="s">
        <v>942</v>
      </c>
    </row>
    <row r="64" spans="1:13" x14ac:dyDescent="0.3">
      <c r="A64" t="s">
        <v>602</v>
      </c>
      <c r="B64">
        <v>96</v>
      </c>
      <c r="C64">
        <v>29476556</v>
      </c>
      <c r="D64">
        <v>584549</v>
      </c>
      <c r="E64">
        <v>1523</v>
      </c>
      <c r="F64">
        <v>0</v>
      </c>
      <c r="G64">
        <v>320887278</v>
      </c>
      <c r="H64">
        <v>4056098</v>
      </c>
      <c r="I64">
        <v>64985</v>
      </c>
      <c r="J64">
        <v>6527035</v>
      </c>
      <c r="K64">
        <v>36710</v>
      </c>
      <c r="L64" t="s">
        <v>936</v>
      </c>
      <c r="M64" t="s">
        <v>945</v>
      </c>
    </row>
    <row r="65" spans="1:13" x14ac:dyDescent="0.3">
      <c r="A65" t="s">
        <v>800</v>
      </c>
      <c r="B65">
        <v>63</v>
      </c>
      <c r="C65">
        <v>30683312</v>
      </c>
      <c r="D65">
        <v>581620</v>
      </c>
      <c r="E65">
        <v>303</v>
      </c>
      <c r="F65">
        <v>0</v>
      </c>
      <c r="G65">
        <v>363766305</v>
      </c>
      <c r="H65">
        <v>4954467</v>
      </c>
      <c r="I65">
        <v>128138</v>
      </c>
      <c r="J65">
        <v>6872085</v>
      </c>
      <c r="K65">
        <v>39860</v>
      </c>
      <c r="L65" t="s">
        <v>936</v>
      </c>
      <c r="M65" t="s">
        <v>945</v>
      </c>
    </row>
    <row r="66" spans="1:13" x14ac:dyDescent="0.3">
      <c r="A66" t="s">
        <v>837</v>
      </c>
      <c r="B66">
        <v>115</v>
      </c>
      <c r="C66">
        <v>28808845</v>
      </c>
      <c r="D66">
        <v>580703</v>
      </c>
      <c r="E66">
        <v>202</v>
      </c>
      <c r="F66">
        <v>0</v>
      </c>
      <c r="G66">
        <v>306208440</v>
      </c>
      <c r="H66">
        <v>3483856</v>
      </c>
      <c r="I66">
        <v>34699</v>
      </c>
      <c r="J66">
        <v>11047709</v>
      </c>
      <c r="K66">
        <v>36190</v>
      </c>
      <c r="L66" t="s">
        <v>936</v>
      </c>
      <c r="M66" t="s">
        <v>937</v>
      </c>
    </row>
    <row r="67" spans="1:13" x14ac:dyDescent="0.3">
      <c r="A67" t="s">
        <v>771</v>
      </c>
      <c r="B67">
        <v>40</v>
      </c>
      <c r="C67">
        <v>33693568</v>
      </c>
      <c r="D67">
        <v>580434</v>
      </c>
      <c r="E67">
        <v>50</v>
      </c>
      <c r="F67">
        <v>0</v>
      </c>
      <c r="G67">
        <v>354281021</v>
      </c>
      <c r="H67">
        <v>5208990</v>
      </c>
      <c r="I67">
        <v>48351</v>
      </c>
      <c r="J67">
        <v>3978341</v>
      </c>
      <c r="K67">
        <v>28529</v>
      </c>
      <c r="L67" t="s">
        <v>936</v>
      </c>
      <c r="M67" t="s">
        <v>939</v>
      </c>
    </row>
    <row r="68" spans="1:13" x14ac:dyDescent="0.3">
      <c r="A68" t="s">
        <v>762</v>
      </c>
      <c r="B68">
        <v>27</v>
      </c>
      <c r="C68">
        <v>28595549</v>
      </c>
      <c r="D68">
        <v>573938</v>
      </c>
      <c r="E68">
        <v>2700</v>
      </c>
      <c r="F68">
        <v>0</v>
      </c>
      <c r="G68">
        <v>453311209</v>
      </c>
      <c r="H68">
        <v>5544163</v>
      </c>
      <c r="I68">
        <v>76047</v>
      </c>
      <c r="J68">
        <v>4079718</v>
      </c>
      <c r="K68">
        <v>43566</v>
      </c>
      <c r="L68" t="s">
        <v>936</v>
      </c>
      <c r="M68" t="s">
        <v>937</v>
      </c>
    </row>
    <row r="69" spans="1:13" x14ac:dyDescent="0.3">
      <c r="A69" t="s">
        <v>781</v>
      </c>
      <c r="B69">
        <v>46</v>
      </c>
      <c r="C69">
        <v>28309035</v>
      </c>
      <c r="D69">
        <v>568327</v>
      </c>
      <c r="E69">
        <v>0</v>
      </c>
      <c r="F69">
        <v>0</v>
      </c>
      <c r="G69">
        <v>371780060</v>
      </c>
      <c r="H69">
        <v>4950733</v>
      </c>
      <c r="I69">
        <v>44811</v>
      </c>
      <c r="J69">
        <v>2870594</v>
      </c>
      <c r="K69">
        <v>41040</v>
      </c>
      <c r="L69" t="s">
        <v>936</v>
      </c>
      <c r="M69" t="s">
        <v>944</v>
      </c>
    </row>
    <row r="70" spans="1:13" x14ac:dyDescent="0.3">
      <c r="A70" t="s">
        <v>778</v>
      </c>
      <c r="B70">
        <v>51</v>
      </c>
      <c r="C70">
        <v>31981281</v>
      </c>
      <c r="D70">
        <v>566831</v>
      </c>
      <c r="E70">
        <v>1350</v>
      </c>
      <c r="F70">
        <v>0</v>
      </c>
      <c r="G70">
        <v>447034047</v>
      </c>
      <c r="H70">
        <v>4913670</v>
      </c>
      <c r="I70">
        <v>48308</v>
      </c>
      <c r="J70">
        <v>2712776</v>
      </c>
      <c r="K70">
        <v>39030</v>
      </c>
      <c r="L70" t="s">
        <v>936</v>
      </c>
      <c r="M70" t="s">
        <v>937</v>
      </c>
    </row>
    <row r="71" spans="1:13" x14ac:dyDescent="0.3">
      <c r="A71" t="s">
        <v>796</v>
      </c>
      <c r="B71">
        <v>68</v>
      </c>
      <c r="C71">
        <v>28744435</v>
      </c>
      <c r="D71">
        <v>553589</v>
      </c>
      <c r="E71">
        <v>12150</v>
      </c>
      <c r="F71">
        <v>0</v>
      </c>
      <c r="G71">
        <v>368586037</v>
      </c>
      <c r="H71">
        <v>4555327</v>
      </c>
      <c r="I71">
        <v>95032</v>
      </c>
      <c r="J71">
        <v>3048789</v>
      </c>
      <c r="K71">
        <v>35520</v>
      </c>
      <c r="L71" t="s">
        <v>936</v>
      </c>
      <c r="M71" t="s">
        <v>946</v>
      </c>
    </row>
    <row r="72" spans="1:13" x14ac:dyDescent="0.3">
      <c r="A72" t="s">
        <v>829</v>
      </c>
      <c r="B72">
        <v>111</v>
      </c>
      <c r="C72">
        <v>25444236</v>
      </c>
      <c r="D72">
        <v>553291</v>
      </c>
      <c r="E72">
        <v>0</v>
      </c>
      <c r="F72">
        <v>0</v>
      </c>
      <c r="G72">
        <v>412698854</v>
      </c>
      <c r="H72">
        <v>3927526</v>
      </c>
      <c r="I72">
        <v>37907</v>
      </c>
      <c r="J72">
        <v>2736506</v>
      </c>
      <c r="K72">
        <v>49586</v>
      </c>
      <c r="L72" t="s">
        <v>936</v>
      </c>
      <c r="M72" t="s">
        <v>944</v>
      </c>
    </row>
    <row r="73" spans="1:13" x14ac:dyDescent="0.3">
      <c r="A73" t="s">
        <v>951</v>
      </c>
      <c r="B73">
        <v>72</v>
      </c>
      <c r="C73">
        <v>24715576</v>
      </c>
      <c r="D73">
        <v>551047</v>
      </c>
      <c r="E73">
        <v>170</v>
      </c>
      <c r="F73">
        <v>0</v>
      </c>
      <c r="G73">
        <v>325810962</v>
      </c>
      <c r="H73">
        <v>4973815</v>
      </c>
      <c r="I73">
        <v>110238</v>
      </c>
      <c r="J73">
        <v>2944971</v>
      </c>
      <c r="K73">
        <v>38300</v>
      </c>
      <c r="L73" t="s">
        <v>936</v>
      </c>
      <c r="M73" t="s">
        <v>940</v>
      </c>
    </row>
    <row r="74" spans="1:13" x14ac:dyDescent="0.3">
      <c r="A74" t="s">
        <v>864</v>
      </c>
      <c r="B74">
        <v>139</v>
      </c>
      <c r="C74">
        <v>34775720</v>
      </c>
      <c r="D74">
        <v>548810</v>
      </c>
      <c r="E74">
        <v>0</v>
      </c>
      <c r="F74">
        <v>0</v>
      </c>
      <c r="G74">
        <v>277833184</v>
      </c>
      <c r="H74">
        <v>2891178</v>
      </c>
      <c r="I74">
        <v>15455</v>
      </c>
      <c r="J74">
        <v>3144058</v>
      </c>
      <c r="K74">
        <v>44213</v>
      </c>
      <c r="L74" t="s">
        <v>936</v>
      </c>
      <c r="M74" t="s">
        <v>937</v>
      </c>
    </row>
    <row r="75" spans="1:13" x14ac:dyDescent="0.3">
      <c r="A75" t="s">
        <v>789</v>
      </c>
      <c r="B75">
        <v>58</v>
      </c>
      <c r="C75">
        <v>26913106</v>
      </c>
      <c r="D75">
        <v>544743</v>
      </c>
      <c r="E75">
        <v>573</v>
      </c>
      <c r="F75">
        <v>0</v>
      </c>
      <c r="G75">
        <v>392586786</v>
      </c>
      <c r="H75">
        <v>5009976</v>
      </c>
      <c r="I75">
        <v>90650</v>
      </c>
      <c r="J75">
        <v>3538091</v>
      </c>
      <c r="K75">
        <v>40810</v>
      </c>
      <c r="L75" t="s">
        <v>936</v>
      </c>
      <c r="M75" t="s">
        <v>945</v>
      </c>
    </row>
    <row r="76" spans="1:13" x14ac:dyDescent="0.3">
      <c r="A76" t="s">
        <v>768</v>
      </c>
      <c r="B76">
        <v>41</v>
      </c>
      <c r="C76">
        <v>26972394</v>
      </c>
      <c r="D76">
        <v>543073</v>
      </c>
      <c r="E76">
        <v>0</v>
      </c>
      <c r="F76">
        <v>0</v>
      </c>
      <c r="G76">
        <v>367496538</v>
      </c>
      <c r="H76">
        <v>4903045</v>
      </c>
      <c r="I76">
        <v>49944</v>
      </c>
      <c r="J76">
        <v>2817074</v>
      </c>
      <c r="K76">
        <v>39920</v>
      </c>
      <c r="L76" t="s">
        <v>936</v>
      </c>
      <c r="M76" t="s">
        <v>937</v>
      </c>
    </row>
    <row r="77" spans="1:13" x14ac:dyDescent="0.3">
      <c r="A77" t="s">
        <v>798</v>
      </c>
      <c r="B77">
        <v>76</v>
      </c>
      <c r="C77">
        <v>23949287</v>
      </c>
      <c r="D77">
        <v>536380</v>
      </c>
      <c r="E77">
        <v>12650</v>
      </c>
      <c r="F77">
        <v>0</v>
      </c>
      <c r="G77">
        <v>353235358</v>
      </c>
      <c r="H77">
        <v>4895624</v>
      </c>
      <c r="I77">
        <v>140761</v>
      </c>
      <c r="J77">
        <v>4290497</v>
      </c>
      <c r="K77">
        <v>39550</v>
      </c>
      <c r="L77" t="s">
        <v>936</v>
      </c>
      <c r="M77" t="s">
        <v>946</v>
      </c>
    </row>
    <row r="78" spans="1:13" x14ac:dyDescent="0.3">
      <c r="A78" t="s">
        <v>833</v>
      </c>
      <c r="B78">
        <v>114</v>
      </c>
      <c r="C78">
        <v>30663780</v>
      </c>
      <c r="D78">
        <v>532931</v>
      </c>
      <c r="E78">
        <v>14850</v>
      </c>
      <c r="F78">
        <v>0</v>
      </c>
      <c r="G78">
        <v>355633220</v>
      </c>
      <c r="H78">
        <v>3513659</v>
      </c>
      <c r="I78">
        <v>67974</v>
      </c>
      <c r="J78">
        <v>2144170</v>
      </c>
      <c r="K78">
        <v>45340</v>
      </c>
      <c r="L78" t="s">
        <v>936</v>
      </c>
      <c r="M78" t="s">
        <v>944</v>
      </c>
    </row>
    <row r="79" spans="1:13" x14ac:dyDescent="0.3">
      <c r="A79" t="s">
        <v>953</v>
      </c>
      <c r="B79">
        <v>86</v>
      </c>
      <c r="C79">
        <v>25938786</v>
      </c>
      <c r="D79">
        <v>532066</v>
      </c>
      <c r="E79">
        <v>101</v>
      </c>
      <c r="F79">
        <v>0</v>
      </c>
      <c r="G79">
        <v>372384660</v>
      </c>
      <c r="H79">
        <v>4542276</v>
      </c>
      <c r="I79">
        <v>32342</v>
      </c>
      <c r="J79">
        <v>3306963</v>
      </c>
      <c r="K79">
        <v>40636</v>
      </c>
      <c r="L79" t="s">
        <v>936</v>
      </c>
      <c r="M79" t="s">
        <v>942</v>
      </c>
    </row>
    <row r="80" spans="1:13" x14ac:dyDescent="0.3">
      <c r="A80" t="s">
        <v>964</v>
      </c>
      <c r="B80">
        <v>102</v>
      </c>
      <c r="C80">
        <v>25807603</v>
      </c>
      <c r="D80">
        <v>530914</v>
      </c>
      <c r="E80">
        <v>0</v>
      </c>
      <c r="F80">
        <v>0</v>
      </c>
      <c r="G80">
        <v>269803006</v>
      </c>
      <c r="H80">
        <v>3743877</v>
      </c>
      <c r="I80">
        <v>55883</v>
      </c>
      <c r="J80">
        <v>3037846</v>
      </c>
      <c r="K80">
        <v>33640</v>
      </c>
      <c r="L80" t="s">
        <v>936</v>
      </c>
      <c r="M80" t="s">
        <v>939</v>
      </c>
    </row>
    <row r="81" spans="1:13" x14ac:dyDescent="0.3">
      <c r="A81" t="s">
        <v>972</v>
      </c>
      <c r="B81">
        <v>85</v>
      </c>
      <c r="C81">
        <v>26023727</v>
      </c>
      <c r="D81">
        <v>523747</v>
      </c>
      <c r="E81">
        <v>0</v>
      </c>
      <c r="F81">
        <v>0</v>
      </c>
      <c r="G81">
        <v>374959554</v>
      </c>
      <c r="H81">
        <v>4260029</v>
      </c>
      <c r="I81">
        <v>40760</v>
      </c>
      <c r="J81">
        <v>2716994</v>
      </c>
      <c r="K81">
        <v>41820</v>
      </c>
      <c r="L81" t="s">
        <v>936</v>
      </c>
      <c r="M81" t="s">
        <v>942</v>
      </c>
    </row>
    <row r="82" spans="1:13" x14ac:dyDescent="0.3">
      <c r="A82" t="s">
        <v>961</v>
      </c>
      <c r="B82">
        <v>54</v>
      </c>
      <c r="C82">
        <v>44113308</v>
      </c>
      <c r="D82">
        <v>519674</v>
      </c>
      <c r="E82">
        <v>138</v>
      </c>
      <c r="F82">
        <v>0</v>
      </c>
      <c r="G82">
        <v>381996322</v>
      </c>
      <c r="H82">
        <v>4953560</v>
      </c>
      <c r="I82">
        <v>44675</v>
      </c>
      <c r="J82">
        <v>3480620</v>
      </c>
      <c r="K82">
        <v>42220</v>
      </c>
      <c r="L82" t="s">
        <v>936</v>
      </c>
      <c r="M82" t="s">
        <v>946</v>
      </c>
    </row>
    <row r="83" spans="1:13" x14ac:dyDescent="0.3">
      <c r="A83" t="s">
        <v>809</v>
      </c>
      <c r="B83">
        <v>90</v>
      </c>
      <c r="C83">
        <v>39080270</v>
      </c>
      <c r="D83">
        <v>519158</v>
      </c>
      <c r="E83">
        <v>50</v>
      </c>
      <c r="F83">
        <v>0</v>
      </c>
      <c r="G83">
        <v>345696083</v>
      </c>
      <c r="H83">
        <v>3972111</v>
      </c>
      <c r="I83">
        <v>49182</v>
      </c>
      <c r="J83">
        <v>5987927</v>
      </c>
      <c r="K83">
        <v>43140</v>
      </c>
      <c r="L83" t="s">
        <v>936</v>
      </c>
      <c r="M83" t="s">
        <v>939</v>
      </c>
    </row>
    <row r="84" spans="1:13" x14ac:dyDescent="0.3">
      <c r="A84" t="s">
        <v>788</v>
      </c>
      <c r="B84">
        <v>65</v>
      </c>
      <c r="C84">
        <v>28882170</v>
      </c>
      <c r="D84">
        <v>514729</v>
      </c>
      <c r="E84">
        <v>0</v>
      </c>
      <c r="F84">
        <v>0</v>
      </c>
      <c r="G84">
        <v>362772377</v>
      </c>
      <c r="H84">
        <v>4431692</v>
      </c>
      <c r="I84">
        <v>48763</v>
      </c>
      <c r="J84">
        <v>3359356</v>
      </c>
      <c r="K84">
        <v>47020</v>
      </c>
      <c r="L84" t="s">
        <v>936</v>
      </c>
      <c r="M84" t="s">
        <v>944</v>
      </c>
    </row>
    <row r="85" spans="1:13" x14ac:dyDescent="0.3">
      <c r="A85" t="s">
        <v>820</v>
      </c>
      <c r="B85">
        <v>95</v>
      </c>
      <c r="C85">
        <v>26833674</v>
      </c>
      <c r="D85">
        <v>514456</v>
      </c>
      <c r="E85">
        <v>700</v>
      </c>
      <c r="F85">
        <v>0</v>
      </c>
      <c r="G85">
        <v>332221863</v>
      </c>
      <c r="H85">
        <v>3968169</v>
      </c>
      <c r="I85">
        <v>46166</v>
      </c>
      <c r="J85">
        <v>4123091</v>
      </c>
      <c r="K85">
        <v>36143</v>
      </c>
      <c r="L85" t="s">
        <v>936</v>
      </c>
      <c r="M85" t="s">
        <v>946</v>
      </c>
    </row>
    <row r="86" spans="1:13" x14ac:dyDescent="0.3">
      <c r="A86" t="s">
        <v>794</v>
      </c>
      <c r="B86">
        <v>71</v>
      </c>
      <c r="C86">
        <v>29648531</v>
      </c>
      <c r="D86">
        <v>513898</v>
      </c>
      <c r="E86">
        <v>0</v>
      </c>
      <c r="F86">
        <v>0</v>
      </c>
      <c r="G86">
        <v>355931647</v>
      </c>
      <c r="H86">
        <v>4382538</v>
      </c>
      <c r="I86">
        <v>29325</v>
      </c>
      <c r="J86">
        <v>6477417</v>
      </c>
      <c r="K86">
        <v>43130</v>
      </c>
      <c r="L86" t="s">
        <v>936</v>
      </c>
      <c r="M86" t="s">
        <v>942</v>
      </c>
    </row>
    <row r="87" spans="1:13" x14ac:dyDescent="0.3">
      <c r="A87" t="s">
        <v>956</v>
      </c>
      <c r="B87">
        <v>108</v>
      </c>
      <c r="C87">
        <v>23114385</v>
      </c>
      <c r="D87">
        <v>513885</v>
      </c>
      <c r="E87">
        <v>13050</v>
      </c>
      <c r="F87">
        <v>0</v>
      </c>
      <c r="G87">
        <v>260397520</v>
      </c>
      <c r="H87">
        <v>3727318</v>
      </c>
      <c r="I87">
        <v>118643</v>
      </c>
      <c r="J87">
        <v>8448987</v>
      </c>
      <c r="K87">
        <v>34316</v>
      </c>
      <c r="L87" t="s">
        <v>936</v>
      </c>
      <c r="M87" t="s">
        <v>942</v>
      </c>
    </row>
    <row r="88" spans="1:13" x14ac:dyDescent="0.3">
      <c r="A88" t="s">
        <v>790</v>
      </c>
      <c r="B88">
        <v>59</v>
      </c>
      <c r="C88">
        <v>25614787</v>
      </c>
      <c r="D88">
        <v>510186</v>
      </c>
      <c r="E88">
        <v>8981</v>
      </c>
      <c r="F88">
        <v>0</v>
      </c>
      <c r="G88">
        <v>351689914</v>
      </c>
      <c r="H88">
        <v>4702214</v>
      </c>
      <c r="I88">
        <v>55862</v>
      </c>
      <c r="J88">
        <v>2836865</v>
      </c>
      <c r="K88">
        <v>38670</v>
      </c>
      <c r="L88" t="s">
        <v>936</v>
      </c>
      <c r="M88" t="s">
        <v>945</v>
      </c>
    </row>
    <row r="89" spans="1:13" x14ac:dyDescent="0.3">
      <c r="A89" t="s">
        <v>958</v>
      </c>
      <c r="B89">
        <v>107</v>
      </c>
      <c r="C89">
        <v>25424122</v>
      </c>
      <c r="D89">
        <v>510003</v>
      </c>
      <c r="E89">
        <v>0</v>
      </c>
      <c r="F89">
        <v>0</v>
      </c>
      <c r="G89">
        <v>264405316</v>
      </c>
      <c r="H89">
        <v>3603570</v>
      </c>
      <c r="I89">
        <v>15948</v>
      </c>
      <c r="J89">
        <v>4317550</v>
      </c>
      <c r="K89">
        <v>41600</v>
      </c>
      <c r="L89" t="s">
        <v>936</v>
      </c>
      <c r="M89" t="s">
        <v>945</v>
      </c>
    </row>
    <row r="90" spans="1:13" x14ac:dyDescent="0.3">
      <c r="A90" t="s">
        <v>865</v>
      </c>
      <c r="B90">
        <v>145</v>
      </c>
      <c r="C90">
        <v>26936591</v>
      </c>
      <c r="D90">
        <v>505590</v>
      </c>
      <c r="E90">
        <v>0</v>
      </c>
      <c r="F90">
        <v>0</v>
      </c>
      <c r="G90">
        <v>241978029</v>
      </c>
      <c r="H90">
        <v>2616605</v>
      </c>
      <c r="I90">
        <v>3797</v>
      </c>
      <c r="J90">
        <v>35083546</v>
      </c>
      <c r="K90">
        <v>38643</v>
      </c>
      <c r="L90" t="s">
        <v>936</v>
      </c>
      <c r="M90" t="s">
        <v>937</v>
      </c>
    </row>
    <row r="91" spans="1:13" x14ac:dyDescent="0.3">
      <c r="A91" t="s">
        <v>823</v>
      </c>
      <c r="B91">
        <v>97</v>
      </c>
      <c r="C91">
        <v>22743232</v>
      </c>
      <c r="D91">
        <v>502970</v>
      </c>
      <c r="E91">
        <v>643</v>
      </c>
      <c r="F91">
        <v>418103</v>
      </c>
      <c r="G91">
        <v>320942614</v>
      </c>
      <c r="H91">
        <v>4047697</v>
      </c>
      <c r="I91">
        <v>51794</v>
      </c>
      <c r="J91">
        <v>8491243</v>
      </c>
      <c r="K91">
        <v>39093</v>
      </c>
      <c r="L91" t="s">
        <v>936</v>
      </c>
      <c r="M91" t="s">
        <v>937</v>
      </c>
    </row>
    <row r="92" spans="1:13" x14ac:dyDescent="0.3">
      <c r="A92" t="s">
        <v>826</v>
      </c>
      <c r="B92">
        <v>105</v>
      </c>
      <c r="C92">
        <v>24039111</v>
      </c>
      <c r="D92">
        <v>500961</v>
      </c>
      <c r="E92">
        <v>1964</v>
      </c>
      <c r="F92">
        <v>0</v>
      </c>
      <c r="G92">
        <v>299604338</v>
      </c>
      <c r="H92">
        <v>4076024</v>
      </c>
      <c r="I92">
        <v>29163</v>
      </c>
      <c r="J92">
        <v>2706596</v>
      </c>
      <c r="K92">
        <v>37900</v>
      </c>
      <c r="L92" t="s">
        <v>936</v>
      </c>
      <c r="M92" t="s">
        <v>940</v>
      </c>
    </row>
    <row r="93" spans="1:13" x14ac:dyDescent="0.3">
      <c r="A93" t="s">
        <v>957</v>
      </c>
      <c r="B93">
        <v>52</v>
      </c>
      <c r="C93">
        <v>25615406</v>
      </c>
      <c r="D93">
        <v>500436</v>
      </c>
      <c r="E93">
        <v>9183</v>
      </c>
      <c r="F93">
        <v>0</v>
      </c>
      <c r="G93">
        <v>375608294</v>
      </c>
      <c r="H93">
        <v>4987388</v>
      </c>
      <c r="I93">
        <v>53410</v>
      </c>
      <c r="J93">
        <v>2705997</v>
      </c>
      <c r="K93">
        <v>40560</v>
      </c>
      <c r="L93" t="s">
        <v>936</v>
      </c>
      <c r="M93" t="s">
        <v>943</v>
      </c>
    </row>
    <row r="94" spans="1:13" x14ac:dyDescent="0.3">
      <c r="A94" t="s">
        <v>811</v>
      </c>
      <c r="B94">
        <v>88</v>
      </c>
      <c r="C94">
        <v>28256350</v>
      </c>
      <c r="D94">
        <v>497306</v>
      </c>
      <c r="E94">
        <v>4500</v>
      </c>
      <c r="F94">
        <v>555531</v>
      </c>
      <c r="G94">
        <v>307649699</v>
      </c>
      <c r="H94">
        <v>4173273</v>
      </c>
      <c r="I94">
        <v>70686</v>
      </c>
      <c r="J94">
        <v>6383975</v>
      </c>
      <c r="K94">
        <v>40060</v>
      </c>
      <c r="L94" t="s">
        <v>936</v>
      </c>
      <c r="M94" t="s">
        <v>939</v>
      </c>
    </row>
    <row r="95" spans="1:13" x14ac:dyDescent="0.3">
      <c r="A95" t="s">
        <v>813</v>
      </c>
      <c r="B95">
        <v>91</v>
      </c>
      <c r="C95">
        <v>23884487</v>
      </c>
      <c r="D95">
        <v>497276</v>
      </c>
      <c r="E95">
        <v>0</v>
      </c>
      <c r="F95">
        <v>0</v>
      </c>
      <c r="G95">
        <v>311234689</v>
      </c>
      <c r="H95">
        <v>4372550</v>
      </c>
      <c r="I95">
        <v>34907</v>
      </c>
      <c r="J95">
        <v>3365819</v>
      </c>
      <c r="K95">
        <v>35650</v>
      </c>
      <c r="L95" t="s">
        <v>936</v>
      </c>
      <c r="M95" t="s">
        <v>939</v>
      </c>
    </row>
    <row r="96" spans="1:13" x14ac:dyDescent="0.3">
      <c r="A96" t="s">
        <v>968</v>
      </c>
      <c r="B96">
        <v>150</v>
      </c>
      <c r="C96">
        <v>23943041</v>
      </c>
      <c r="D96">
        <v>492160</v>
      </c>
      <c r="E96">
        <v>552</v>
      </c>
      <c r="F96">
        <v>0</v>
      </c>
      <c r="G96">
        <v>219720694</v>
      </c>
      <c r="H96">
        <v>2482059</v>
      </c>
      <c r="I96">
        <v>8060</v>
      </c>
      <c r="J96">
        <v>3626092</v>
      </c>
      <c r="K96">
        <v>35570</v>
      </c>
      <c r="L96" t="s">
        <v>936</v>
      </c>
      <c r="M96" t="s">
        <v>945</v>
      </c>
    </row>
    <row r="97" spans="1:13" x14ac:dyDescent="0.3">
      <c r="A97" t="s">
        <v>822</v>
      </c>
      <c r="B97">
        <v>99</v>
      </c>
      <c r="C97">
        <v>22167358</v>
      </c>
      <c r="D97">
        <v>491517</v>
      </c>
      <c r="E97">
        <v>1700</v>
      </c>
      <c r="F97">
        <v>0</v>
      </c>
      <c r="G97">
        <v>331574914</v>
      </c>
      <c r="H97">
        <v>3817750</v>
      </c>
      <c r="I97">
        <v>85137</v>
      </c>
      <c r="J97">
        <v>2963087</v>
      </c>
      <c r="K97">
        <v>39660</v>
      </c>
      <c r="L97" t="s">
        <v>936</v>
      </c>
      <c r="M97" t="s">
        <v>944</v>
      </c>
    </row>
    <row r="98" spans="1:13" x14ac:dyDescent="0.3">
      <c r="A98" t="s">
        <v>779</v>
      </c>
      <c r="B98">
        <v>55</v>
      </c>
      <c r="C98">
        <v>24321863</v>
      </c>
      <c r="D98">
        <v>488410</v>
      </c>
      <c r="E98">
        <v>1050</v>
      </c>
      <c r="F98">
        <v>0</v>
      </c>
      <c r="G98">
        <v>401807329</v>
      </c>
      <c r="H98">
        <v>4963416</v>
      </c>
      <c r="I98">
        <v>36221</v>
      </c>
      <c r="J98">
        <v>3066559</v>
      </c>
      <c r="K98">
        <v>37720</v>
      </c>
      <c r="L98" t="s">
        <v>936</v>
      </c>
      <c r="M98" t="s">
        <v>940</v>
      </c>
    </row>
    <row r="99" spans="1:13" x14ac:dyDescent="0.3">
      <c r="A99" t="s">
        <v>818</v>
      </c>
      <c r="B99">
        <v>92</v>
      </c>
      <c r="C99">
        <v>27263548</v>
      </c>
      <c r="D99">
        <v>482940</v>
      </c>
      <c r="E99">
        <v>14500</v>
      </c>
      <c r="F99">
        <v>0</v>
      </c>
      <c r="G99">
        <v>321935058</v>
      </c>
      <c r="H99">
        <v>4256483</v>
      </c>
      <c r="I99">
        <v>152778</v>
      </c>
      <c r="J99">
        <v>4891434</v>
      </c>
      <c r="K99">
        <v>39730</v>
      </c>
      <c r="L99" t="s">
        <v>936</v>
      </c>
      <c r="M99" t="s">
        <v>946</v>
      </c>
    </row>
    <row r="100" spans="1:13" x14ac:dyDescent="0.3">
      <c r="A100" t="s">
        <v>954</v>
      </c>
      <c r="B100">
        <v>98</v>
      </c>
      <c r="C100">
        <v>23948771</v>
      </c>
      <c r="D100">
        <v>481305</v>
      </c>
      <c r="E100">
        <v>284</v>
      </c>
      <c r="F100">
        <v>0</v>
      </c>
      <c r="G100">
        <v>293621827</v>
      </c>
      <c r="H100">
        <v>3829445</v>
      </c>
      <c r="I100">
        <v>43182</v>
      </c>
      <c r="J100">
        <v>6279036</v>
      </c>
      <c r="K100">
        <v>40910</v>
      </c>
      <c r="L100" t="s">
        <v>936</v>
      </c>
      <c r="M100" t="s">
        <v>945</v>
      </c>
    </row>
    <row r="101" spans="1:13" x14ac:dyDescent="0.3">
      <c r="A101" t="s">
        <v>976</v>
      </c>
      <c r="B101">
        <v>106</v>
      </c>
      <c r="C101">
        <v>28551137</v>
      </c>
      <c r="D101">
        <v>479796</v>
      </c>
      <c r="E101">
        <v>1600</v>
      </c>
      <c r="F101">
        <v>0</v>
      </c>
      <c r="G101">
        <v>294098522</v>
      </c>
      <c r="H101">
        <v>3799848</v>
      </c>
      <c r="I101">
        <v>20122</v>
      </c>
      <c r="J101">
        <v>8905273</v>
      </c>
      <c r="K101">
        <v>39620</v>
      </c>
      <c r="L101" t="s">
        <v>936</v>
      </c>
      <c r="M101" t="s">
        <v>942</v>
      </c>
    </row>
    <row r="102" spans="1:13" x14ac:dyDescent="0.3">
      <c r="A102" t="s">
        <v>825</v>
      </c>
      <c r="B102">
        <v>104</v>
      </c>
      <c r="C102">
        <v>30034560</v>
      </c>
      <c r="D102">
        <v>474399</v>
      </c>
      <c r="E102">
        <v>392</v>
      </c>
      <c r="F102">
        <v>0</v>
      </c>
      <c r="G102">
        <v>293356911</v>
      </c>
      <c r="H102">
        <v>3569533</v>
      </c>
      <c r="I102">
        <v>54980</v>
      </c>
      <c r="J102">
        <v>3499294</v>
      </c>
      <c r="K102">
        <v>39262</v>
      </c>
      <c r="L102" t="s">
        <v>936</v>
      </c>
      <c r="M102" t="s">
        <v>937</v>
      </c>
    </row>
    <row r="103" spans="1:13" x14ac:dyDescent="0.3">
      <c r="A103" t="s">
        <v>808</v>
      </c>
      <c r="B103">
        <v>81</v>
      </c>
      <c r="C103">
        <v>42598389</v>
      </c>
      <c r="D103">
        <v>472246</v>
      </c>
      <c r="E103">
        <v>540</v>
      </c>
      <c r="F103">
        <v>0</v>
      </c>
      <c r="G103">
        <v>388462682</v>
      </c>
      <c r="H103">
        <v>4707561</v>
      </c>
      <c r="I103">
        <v>31829</v>
      </c>
      <c r="J103">
        <v>3174407</v>
      </c>
      <c r="K103">
        <v>35210</v>
      </c>
      <c r="L103" t="s">
        <v>936</v>
      </c>
      <c r="M103" t="s">
        <v>946</v>
      </c>
    </row>
    <row r="104" spans="1:13" x14ac:dyDescent="0.3">
      <c r="A104" t="s">
        <v>807</v>
      </c>
      <c r="B104">
        <v>84</v>
      </c>
      <c r="C104">
        <v>24523595</v>
      </c>
      <c r="D104">
        <v>471169</v>
      </c>
      <c r="E104">
        <v>0</v>
      </c>
      <c r="F104">
        <v>0</v>
      </c>
      <c r="G104">
        <v>331013221</v>
      </c>
      <c r="H104">
        <v>4471486</v>
      </c>
      <c r="I104">
        <v>34705</v>
      </c>
      <c r="J104">
        <v>3953012</v>
      </c>
      <c r="K104">
        <v>41800</v>
      </c>
      <c r="L104" t="s">
        <v>936</v>
      </c>
      <c r="M104" t="s">
        <v>939</v>
      </c>
    </row>
    <row r="105" spans="1:13" x14ac:dyDescent="0.3">
      <c r="A105" t="s">
        <v>834</v>
      </c>
      <c r="B105">
        <v>116</v>
      </c>
      <c r="C105">
        <v>23240261</v>
      </c>
      <c r="D105">
        <v>467080</v>
      </c>
      <c r="E105">
        <v>714</v>
      </c>
      <c r="F105">
        <v>0</v>
      </c>
      <c r="G105">
        <v>287084671</v>
      </c>
      <c r="H105">
        <v>3572691</v>
      </c>
      <c r="I105">
        <v>6059</v>
      </c>
      <c r="J105">
        <v>8914326</v>
      </c>
      <c r="K105">
        <v>31543</v>
      </c>
      <c r="L105" t="s">
        <v>936</v>
      </c>
      <c r="M105" t="s">
        <v>937</v>
      </c>
    </row>
    <row r="106" spans="1:13" x14ac:dyDescent="0.3">
      <c r="A106" t="s">
        <v>816</v>
      </c>
      <c r="B106">
        <v>94</v>
      </c>
      <c r="C106">
        <v>27218201</v>
      </c>
      <c r="D106">
        <v>465141</v>
      </c>
      <c r="E106">
        <v>6087</v>
      </c>
      <c r="F106">
        <v>0</v>
      </c>
      <c r="G106">
        <v>293849071</v>
      </c>
      <c r="H106">
        <v>4049740</v>
      </c>
      <c r="I106">
        <v>119276</v>
      </c>
      <c r="J106">
        <v>2734459</v>
      </c>
      <c r="K106">
        <v>39040</v>
      </c>
      <c r="L106" t="s">
        <v>936</v>
      </c>
      <c r="M106" t="s">
        <v>940</v>
      </c>
    </row>
    <row r="107" spans="1:13" x14ac:dyDescent="0.3">
      <c r="A107" t="s">
        <v>830</v>
      </c>
      <c r="B107">
        <v>117</v>
      </c>
      <c r="C107">
        <v>26003633</v>
      </c>
      <c r="D107">
        <v>458223</v>
      </c>
      <c r="E107">
        <v>3600</v>
      </c>
      <c r="F107">
        <v>600912</v>
      </c>
      <c r="G107">
        <v>256013355</v>
      </c>
      <c r="H107">
        <v>3457752</v>
      </c>
      <c r="I107">
        <v>63009</v>
      </c>
      <c r="J107">
        <v>4768219</v>
      </c>
      <c r="K107">
        <v>29470</v>
      </c>
      <c r="L107" t="s">
        <v>936</v>
      </c>
      <c r="M107" t="s">
        <v>945</v>
      </c>
    </row>
    <row r="108" spans="1:13" x14ac:dyDescent="0.3">
      <c r="A108" t="s">
        <v>853</v>
      </c>
      <c r="B108">
        <v>142</v>
      </c>
      <c r="C108">
        <v>23392512</v>
      </c>
      <c r="D108">
        <v>448646</v>
      </c>
      <c r="E108">
        <v>101</v>
      </c>
      <c r="F108">
        <v>0</v>
      </c>
      <c r="G108">
        <v>199976456</v>
      </c>
      <c r="H108">
        <v>2329128</v>
      </c>
      <c r="I108">
        <v>36410</v>
      </c>
      <c r="J108">
        <v>53580116</v>
      </c>
      <c r="K108">
        <v>32593</v>
      </c>
      <c r="L108" t="s">
        <v>936</v>
      </c>
      <c r="M108" t="s">
        <v>943</v>
      </c>
    </row>
    <row r="109" spans="1:13" x14ac:dyDescent="0.3">
      <c r="A109" t="s">
        <v>971</v>
      </c>
      <c r="B109">
        <v>121</v>
      </c>
      <c r="C109">
        <v>23795807</v>
      </c>
      <c r="D109">
        <v>448623</v>
      </c>
      <c r="E109">
        <v>350</v>
      </c>
      <c r="F109">
        <v>0</v>
      </c>
      <c r="G109">
        <v>282635155</v>
      </c>
      <c r="H109">
        <v>3145956</v>
      </c>
      <c r="I109">
        <v>33151</v>
      </c>
      <c r="J109">
        <v>3579744</v>
      </c>
      <c r="K109">
        <v>39093</v>
      </c>
      <c r="L109" t="s">
        <v>936</v>
      </c>
      <c r="M109" t="s">
        <v>942</v>
      </c>
    </row>
    <row r="110" spans="1:13" x14ac:dyDescent="0.3">
      <c r="A110" t="s">
        <v>787</v>
      </c>
      <c r="B110">
        <v>64</v>
      </c>
      <c r="C110">
        <v>21578913</v>
      </c>
      <c r="D110">
        <v>441809</v>
      </c>
      <c r="E110">
        <v>3150</v>
      </c>
      <c r="F110">
        <v>0</v>
      </c>
      <c r="G110">
        <v>333928865</v>
      </c>
      <c r="H110">
        <v>4526710</v>
      </c>
      <c r="I110">
        <v>46087</v>
      </c>
      <c r="J110">
        <v>3787035</v>
      </c>
      <c r="K110">
        <v>33340</v>
      </c>
      <c r="L110" t="s">
        <v>936</v>
      </c>
      <c r="M110" t="s">
        <v>939</v>
      </c>
    </row>
    <row r="111" spans="1:13" x14ac:dyDescent="0.3">
      <c r="A111" t="s">
        <v>974</v>
      </c>
      <c r="B111">
        <v>136</v>
      </c>
      <c r="C111">
        <v>20191298</v>
      </c>
      <c r="D111">
        <v>432878</v>
      </c>
      <c r="E111">
        <v>1050</v>
      </c>
      <c r="F111">
        <v>0</v>
      </c>
      <c r="G111">
        <v>250796930</v>
      </c>
      <c r="H111">
        <v>2888005</v>
      </c>
      <c r="I111">
        <v>25026</v>
      </c>
      <c r="J111">
        <v>12114174</v>
      </c>
      <c r="K111">
        <v>40300</v>
      </c>
      <c r="L111" t="s">
        <v>936</v>
      </c>
      <c r="M111" t="s">
        <v>942</v>
      </c>
    </row>
    <row r="112" spans="1:13" x14ac:dyDescent="0.3">
      <c r="A112" t="s">
        <v>836</v>
      </c>
      <c r="B112">
        <v>123</v>
      </c>
      <c r="C112">
        <v>32123685</v>
      </c>
      <c r="D112">
        <v>431875</v>
      </c>
      <c r="E112">
        <v>0</v>
      </c>
      <c r="F112">
        <v>0</v>
      </c>
      <c r="G112">
        <v>331907453</v>
      </c>
      <c r="H112">
        <v>3258115</v>
      </c>
      <c r="I112">
        <v>22159</v>
      </c>
      <c r="J112">
        <v>3937082</v>
      </c>
      <c r="K112">
        <v>39220</v>
      </c>
      <c r="L112" t="s">
        <v>936</v>
      </c>
      <c r="M112" t="s">
        <v>940</v>
      </c>
    </row>
    <row r="113" spans="1:13" x14ac:dyDescent="0.3">
      <c r="A113" t="s">
        <v>841</v>
      </c>
      <c r="B113">
        <v>130</v>
      </c>
      <c r="C113">
        <v>41447333</v>
      </c>
      <c r="D113">
        <v>420403</v>
      </c>
      <c r="E113">
        <v>17793</v>
      </c>
      <c r="F113">
        <v>0</v>
      </c>
      <c r="G113">
        <v>223809005</v>
      </c>
      <c r="H113">
        <v>2913696</v>
      </c>
      <c r="I113">
        <v>97296</v>
      </c>
      <c r="J113">
        <v>37062837</v>
      </c>
      <c r="K113">
        <v>30190</v>
      </c>
      <c r="L113" t="s">
        <v>936</v>
      </c>
      <c r="M113" t="s">
        <v>945</v>
      </c>
    </row>
    <row r="114" spans="1:13" x14ac:dyDescent="0.3">
      <c r="A114" t="s">
        <v>859</v>
      </c>
      <c r="B114">
        <v>141</v>
      </c>
      <c r="C114">
        <v>34476447</v>
      </c>
      <c r="D114">
        <v>420374</v>
      </c>
      <c r="E114">
        <v>17695</v>
      </c>
      <c r="F114">
        <v>0</v>
      </c>
      <c r="G114">
        <v>310509366</v>
      </c>
      <c r="H114">
        <v>2740344</v>
      </c>
      <c r="I114">
        <v>46254</v>
      </c>
      <c r="J114">
        <v>5374699</v>
      </c>
      <c r="K114">
        <v>40880</v>
      </c>
      <c r="L114" t="s">
        <v>936</v>
      </c>
      <c r="M114" t="s">
        <v>962</v>
      </c>
    </row>
    <row r="115" spans="1:13" x14ac:dyDescent="0.3">
      <c r="A115" t="s">
        <v>604</v>
      </c>
      <c r="B115">
        <v>129</v>
      </c>
      <c r="C115">
        <v>19722965</v>
      </c>
      <c r="D115">
        <v>419188</v>
      </c>
      <c r="E115">
        <v>101</v>
      </c>
      <c r="F115">
        <v>0</v>
      </c>
      <c r="G115">
        <v>275153013</v>
      </c>
      <c r="H115">
        <v>2799666</v>
      </c>
      <c r="I115">
        <v>25432</v>
      </c>
      <c r="J115">
        <v>8601549</v>
      </c>
      <c r="K115">
        <v>32983</v>
      </c>
      <c r="L115" t="s">
        <v>936</v>
      </c>
      <c r="M115" t="s">
        <v>945</v>
      </c>
    </row>
    <row r="116" spans="1:13" x14ac:dyDescent="0.3">
      <c r="A116" t="s">
        <v>977</v>
      </c>
      <c r="B116">
        <v>152</v>
      </c>
      <c r="C116">
        <v>18890895</v>
      </c>
      <c r="D116">
        <v>418161</v>
      </c>
      <c r="E116">
        <v>487</v>
      </c>
      <c r="F116">
        <v>0</v>
      </c>
      <c r="G116">
        <v>219557855</v>
      </c>
      <c r="H116">
        <v>2610346</v>
      </c>
      <c r="I116">
        <v>6884</v>
      </c>
      <c r="J116">
        <v>9466611</v>
      </c>
      <c r="K116">
        <v>37803</v>
      </c>
      <c r="L116" t="s">
        <v>936</v>
      </c>
      <c r="M116" t="s">
        <v>959</v>
      </c>
    </row>
    <row r="117" spans="1:13" x14ac:dyDescent="0.3">
      <c r="A117" t="s">
        <v>603</v>
      </c>
      <c r="B117">
        <v>112</v>
      </c>
      <c r="C117">
        <v>19940485</v>
      </c>
      <c r="D117">
        <v>417532</v>
      </c>
      <c r="E117">
        <v>50</v>
      </c>
      <c r="F117">
        <v>0</v>
      </c>
      <c r="G117">
        <v>258264554</v>
      </c>
      <c r="H117">
        <v>3580445</v>
      </c>
      <c r="I117">
        <v>40763</v>
      </c>
      <c r="J117">
        <v>5309261</v>
      </c>
      <c r="K117">
        <v>32700</v>
      </c>
      <c r="L117" t="s">
        <v>936</v>
      </c>
      <c r="M117" t="s">
        <v>945</v>
      </c>
    </row>
    <row r="118" spans="1:13" x14ac:dyDescent="0.3">
      <c r="A118" t="s">
        <v>840</v>
      </c>
      <c r="B118">
        <v>126</v>
      </c>
      <c r="C118">
        <v>21089868</v>
      </c>
      <c r="D118">
        <v>415018</v>
      </c>
      <c r="E118">
        <v>0</v>
      </c>
      <c r="F118">
        <v>452989</v>
      </c>
      <c r="G118">
        <v>243574227</v>
      </c>
      <c r="H118">
        <v>3039346</v>
      </c>
      <c r="I118">
        <v>24709</v>
      </c>
      <c r="J118">
        <v>7545496</v>
      </c>
      <c r="K118">
        <v>35550</v>
      </c>
      <c r="L118" t="s">
        <v>936</v>
      </c>
      <c r="M118" t="s">
        <v>937</v>
      </c>
    </row>
    <row r="119" spans="1:13" x14ac:dyDescent="0.3">
      <c r="A119" t="s">
        <v>815</v>
      </c>
      <c r="B119">
        <v>93</v>
      </c>
      <c r="C119">
        <v>20703961</v>
      </c>
      <c r="D119">
        <v>414920</v>
      </c>
      <c r="E119">
        <v>0</v>
      </c>
      <c r="F119">
        <v>0</v>
      </c>
      <c r="G119">
        <v>267812481</v>
      </c>
      <c r="H119">
        <v>4104013</v>
      </c>
      <c r="I119">
        <v>56236</v>
      </c>
      <c r="J119">
        <v>44520963</v>
      </c>
      <c r="K119">
        <v>30620</v>
      </c>
      <c r="L119" t="s">
        <v>936</v>
      </c>
      <c r="M119" t="s">
        <v>939</v>
      </c>
    </row>
    <row r="120" spans="1:13" x14ac:dyDescent="0.3">
      <c r="A120" t="s">
        <v>782</v>
      </c>
      <c r="B120">
        <v>62</v>
      </c>
      <c r="C120">
        <v>22524865</v>
      </c>
      <c r="D120">
        <v>413874</v>
      </c>
      <c r="E120">
        <v>1800</v>
      </c>
      <c r="F120">
        <v>0</v>
      </c>
      <c r="G120">
        <v>409419961</v>
      </c>
      <c r="H120">
        <v>4574203</v>
      </c>
      <c r="I120">
        <v>71168</v>
      </c>
      <c r="J120">
        <v>3629210</v>
      </c>
      <c r="K120">
        <v>41510</v>
      </c>
      <c r="L120" t="s">
        <v>936</v>
      </c>
      <c r="M120" t="s">
        <v>937</v>
      </c>
    </row>
    <row r="121" spans="1:13" x14ac:dyDescent="0.3">
      <c r="A121" t="s">
        <v>849</v>
      </c>
      <c r="B121">
        <v>133</v>
      </c>
      <c r="C121">
        <v>22968550</v>
      </c>
      <c r="D121">
        <v>411465</v>
      </c>
      <c r="E121">
        <v>0</v>
      </c>
      <c r="F121">
        <v>0</v>
      </c>
      <c r="G121">
        <v>386828241</v>
      </c>
      <c r="H121">
        <v>2753349</v>
      </c>
      <c r="I121">
        <v>19742</v>
      </c>
      <c r="J121">
        <v>4192603</v>
      </c>
      <c r="K121">
        <v>36930</v>
      </c>
      <c r="L121" t="s">
        <v>936</v>
      </c>
      <c r="M121" t="s">
        <v>937</v>
      </c>
    </row>
    <row r="122" spans="1:13" x14ac:dyDescent="0.3">
      <c r="A122" t="s">
        <v>963</v>
      </c>
      <c r="B122">
        <v>120</v>
      </c>
      <c r="C122">
        <v>18594246</v>
      </c>
      <c r="D122">
        <v>410432</v>
      </c>
      <c r="E122">
        <v>1350</v>
      </c>
      <c r="F122">
        <v>0</v>
      </c>
      <c r="G122">
        <v>309065518</v>
      </c>
      <c r="H122">
        <v>3287485</v>
      </c>
      <c r="I122">
        <v>52220</v>
      </c>
      <c r="J122">
        <v>3449800</v>
      </c>
      <c r="K122">
        <v>32160</v>
      </c>
      <c r="L122" t="s">
        <v>936</v>
      </c>
      <c r="M122" t="s">
        <v>946</v>
      </c>
    </row>
    <row r="123" spans="1:13" x14ac:dyDescent="0.3">
      <c r="A123" t="s">
        <v>965</v>
      </c>
      <c r="B123">
        <v>135</v>
      </c>
      <c r="C123">
        <v>16749250</v>
      </c>
      <c r="D123">
        <v>403400</v>
      </c>
      <c r="E123">
        <v>14200</v>
      </c>
      <c r="F123">
        <v>0</v>
      </c>
      <c r="G123">
        <v>234932239</v>
      </c>
      <c r="H123">
        <v>2855303</v>
      </c>
      <c r="I123">
        <v>65710</v>
      </c>
      <c r="J123">
        <v>2946859</v>
      </c>
      <c r="K123">
        <v>36186</v>
      </c>
      <c r="L123" t="s">
        <v>936</v>
      </c>
      <c r="M123" t="s">
        <v>942</v>
      </c>
    </row>
    <row r="124" spans="1:13" x14ac:dyDescent="0.3">
      <c r="A124" t="s">
        <v>884</v>
      </c>
      <c r="B124">
        <v>170</v>
      </c>
      <c r="C124">
        <v>17564711</v>
      </c>
      <c r="D124">
        <v>401619</v>
      </c>
      <c r="E124">
        <v>216</v>
      </c>
      <c r="F124">
        <v>0</v>
      </c>
      <c r="G124">
        <v>149982208</v>
      </c>
      <c r="H124">
        <v>2505694</v>
      </c>
      <c r="I124">
        <v>125100</v>
      </c>
      <c r="J124">
        <v>38833787</v>
      </c>
      <c r="K124">
        <v>29940</v>
      </c>
      <c r="L124" t="s">
        <v>936</v>
      </c>
      <c r="M124" t="s">
        <v>959</v>
      </c>
    </row>
    <row r="125" spans="1:13" x14ac:dyDescent="0.3">
      <c r="A125" t="s">
        <v>967</v>
      </c>
      <c r="B125">
        <v>118</v>
      </c>
      <c r="C125">
        <v>29336394</v>
      </c>
      <c r="D125">
        <v>394971</v>
      </c>
      <c r="E125">
        <v>0</v>
      </c>
      <c r="F125">
        <v>0</v>
      </c>
      <c r="G125">
        <v>355750196</v>
      </c>
      <c r="H125">
        <v>3641697</v>
      </c>
      <c r="I125">
        <v>32145</v>
      </c>
      <c r="J125">
        <v>3722185</v>
      </c>
      <c r="K125">
        <v>44630</v>
      </c>
      <c r="L125" t="s">
        <v>936</v>
      </c>
      <c r="M125" t="s">
        <v>942</v>
      </c>
    </row>
    <row r="126" spans="1:13" x14ac:dyDescent="0.3">
      <c r="A126" t="s">
        <v>750</v>
      </c>
      <c r="B126">
        <v>20</v>
      </c>
      <c r="C126">
        <v>19445287</v>
      </c>
      <c r="D126">
        <v>394111</v>
      </c>
      <c r="E126">
        <v>1400</v>
      </c>
      <c r="F126">
        <v>0</v>
      </c>
      <c r="G126">
        <v>375127995</v>
      </c>
      <c r="H126">
        <v>5694966</v>
      </c>
      <c r="I126">
        <v>39513</v>
      </c>
      <c r="J126">
        <v>2726006</v>
      </c>
      <c r="K126">
        <v>41220</v>
      </c>
      <c r="L126" t="s">
        <v>936</v>
      </c>
      <c r="M126" t="s">
        <v>940</v>
      </c>
    </row>
    <row r="127" spans="1:13" x14ac:dyDescent="0.3">
      <c r="A127" t="s">
        <v>824</v>
      </c>
      <c r="B127">
        <v>109</v>
      </c>
      <c r="C127">
        <v>19802725</v>
      </c>
      <c r="D127">
        <v>391502</v>
      </c>
      <c r="E127">
        <v>450</v>
      </c>
      <c r="F127">
        <v>0</v>
      </c>
      <c r="G127">
        <v>273298389</v>
      </c>
      <c r="H127">
        <v>3211326</v>
      </c>
      <c r="I127">
        <v>6306</v>
      </c>
      <c r="J127">
        <v>5042586</v>
      </c>
      <c r="K127">
        <v>37193</v>
      </c>
      <c r="L127" t="s">
        <v>936</v>
      </c>
      <c r="M127" t="s">
        <v>959</v>
      </c>
    </row>
    <row r="128" spans="1:13" x14ac:dyDescent="0.3">
      <c r="A128" t="s">
        <v>766</v>
      </c>
      <c r="B128">
        <v>42</v>
      </c>
      <c r="C128">
        <v>21629732</v>
      </c>
      <c r="D128">
        <v>387205</v>
      </c>
      <c r="E128">
        <v>4050</v>
      </c>
      <c r="F128">
        <v>0</v>
      </c>
      <c r="G128">
        <v>386187272</v>
      </c>
      <c r="H128">
        <v>5122325</v>
      </c>
      <c r="I128">
        <v>64052</v>
      </c>
      <c r="J128">
        <v>2762450</v>
      </c>
      <c r="K128">
        <v>35440</v>
      </c>
      <c r="L128" t="s">
        <v>936</v>
      </c>
      <c r="M128" t="s">
        <v>937</v>
      </c>
    </row>
    <row r="129" spans="1:13" x14ac:dyDescent="0.3">
      <c r="A129" t="s">
        <v>791</v>
      </c>
      <c r="B129">
        <v>78</v>
      </c>
      <c r="C129">
        <v>19942764</v>
      </c>
      <c r="D129">
        <v>380754</v>
      </c>
      <c r="E129">
        <v>0</v>
      </c>
      <c r="F129">
        <v>0</v>
      </c>
      <c r="G129">
        <v>337732039</v>
      </c>
      <c r="H129">
        <v>4169670</v>
      </c>
      <c r="I129">
        <v>59670</v>
      </c>
      <c r="J129">
        <v>3355651</v>
      </c>
      <c r="K129">
        <v>38510</v>
      </c>
      <c r="L129" t="s">
        <v>936</v>
      </c>
      <c r="M129" t="s">
        <v>939</v>
      </c>
    </row>
    <row r="130" spans="1:13" x14ac:dyDescent="0.3">
      <c r="A130" t="s">
        <v>960</v>
      </c>
      <c r="B130">
        <v>89</v>
      </c>
      <c r="C130">
        <v>30076235</v>
      </c>
      <c r="D130">
        <v>374493</v>
      </c>
      <c r="E130">
        <v>0</v>
      </c>
      <c r="F130">
        <v>0</v>
      </c>
      <c r="G130">
        <v>361183446</v>
      </c>
      <c r="H130">
        <v>4200698</v>
      </c>
      <c r="I130">
        <v>23200</v>
      </c>
      <c r="J130">
        <v>6151726</v>
      </c>
      <c r="K130">
        <v>36560</v>
      </c>
      <c r="L130" t="s">
        <v>936</v>
      </c>
      <c r="M130" t="s">
        <v>945</v>
      </c>
    </row>
    <row r="131" spans="1:13" x14ac:dyDescent="0.3">
      <c r="A131" t="s">
        <v>846</v>
      </c>
      <c r="B131">
        <v>137</v>
      </c>
      <c r="C131">
        <v>19171274</v>
      </c>
      <c r="D131">
        <v>365161</v>
      </c>
      <c r="E131">
        <v>13500</v>
      </c>
      <c r="F131">
        <v>0</v>
      </c>
      <c r="G131">
        <v>251230178</v>
      </c>
      <c r="H131">
        <v>2813394</v>
      </c>
      <c r="I131">
        <v>144110</v>
      </c>
      <c r="J131">
        <v>3654670</v>
      </c>
      <c r="K131">
        <v>35350</v>
      </c>
      <c r="L131" t="s">
        <v>936</v>
      </c>
      <c r="M131" t="s">
        <v>942</v>
      </c>
    </row>
    <row r="132" spans="1:13" x14ac:dyDescent="0.3">
      <c r="A132" t="s">
        <v>855</v>
      </c>
      <c r="B132">
        <v>140</v>
      </c>
      <c r="C132">
        <v>18554288</v>
      </c>
      <c r="D132">
        <v>361714</v>
      </c>
      <c r="E132">
        <v>50</v>
      </c>
      <c r="F132">
        <v>0</v>
      </c>
      <c r="G132">
        <v>250335707</v>
      </c>
      <c r="H132">
        <v>2592199</v>
      </c>
      <c r="I132">
        <v>37636</v>
      </c>
      <c r="J132">
        <v>3571075</v>
      </c>
      <c r="K132">
        <v>38380</v>
      </c>
      <c r="L132" t="s">
        <v>936</v>
      </c>
      <c r="M132" t="s">
        <v>940</v>
      </c>
    </row>
    <row r="133" spans="1:13" x14ac:dyDescent="0.3">
      <c r="A133" t="s">
        <v>838</v>
      </c>
      <c r="B133">
        <v>124</v>
      </c>
      <c r="C133">
        <v>16464705</v>
      </c>
      <c r="D133">
        <v>353411</v>
      </c>
      <c r="E133">
        <v>0</v>
      </c>
      <c r="F133">
        <v>0</v>
      </c>
      <c r="G133">
        <v>245002659</v>
      </c>
      <c r="H133">
        <v>3094663</v>
      </c>
      <c r="I133">
        <v>45920</v>
      </c>
      <c r="J133">
        <v>5152246</v>
      </c>
      <c r="K133">
        <v>34910</v>
      </c>
      <c r="L133" t="s">
        <v>936</v>
      </c>
      <c r="M133" t="s">
        <v>942</v>
      </c>
    </row>
    <row r="134" spans="1:13" x14ac:dyDescent="0.3">
      <c r="A134" t="s">
        <v>827</v>
      </c>
      <c r="B134">
        <v>119</v>
      </c>
      <c r="C134">
        <v>15501534</v>
      </c>
      <c r="D134">
        <v>353326</v>
      </c>
      <c r="E134">
        <v>0</v>
      </c>
      <c r="F134">
        <v>0</v>
      </c>
      <c r="G134">
        <v>256843215</v>
      </c>
      <c r="H134">
        <v>3314264</v>
      </c>
      <c r="I134">
        <v>36746</v>
      </c>
      <c r="J134">
        <v>3415801</v>
      </c>
      <c r="K134">
        <v>37980</v>
      </c>
      <c r="L134" t="s">
        <v>936</v>
      </c>
      <c r="M134" t="s">
        <v>946</v>
      </c>
    </row>
    <row r="135" spans="1:13" x14ac:dyDescent="0.3">
      <c r="A135" t="s">
        <v>969</v>
      </c>
      <c r="B135">
        <v>110</v>
      </c>
      <c r="C135">
        <v>19599355</v>
      </c>
      <c r="D135">
        <v>339459</v>
      </c>
      <c r="E135">
        <v>350</v>
      </c>
      <c r="F135">
        <v>0</v>
      </c>
      <c r="G135">
        <v>328757949</v>
      </c>
      <c r="H135">
        <v>3321074</v>
      </c>
      <c r="I135">
        <v>28476</v>
      </c>
      <c r="J135">
        <v>17338769</v>
      </c>
      <c r="K135">
        <v>34720</v>
      </c>
      <c r="L135" t="s">
        <v>936</v>
      </c>
      <c r="M135" t="s">
        <v>946</v>
      </c>
    </row>
    <row r="136" spans="1:13" x14ac:dyDescent="0.3">
      <c r="A136" t="s">
        <v>871</v>
      </c>
      <c r="B136">
        <v>160</v>
      </c>
      <c r="C136">
        <v>17299145</v>
      </c>
      <c r="D136">
        <v>339248</v>
      </c>
      <c r="E136">
        <v>2412</v>
      </c>
      <c r="F136">
        <v>0</v>
      </c>
      <c r="G136">
        <v>192183072</v>
      </c>
      <c r="H136">
        <v>2170233</v>
      </c>
      <c r="I136">
        <v>10708</v>
      </c>
      <c r="J136">
        <v>4022349</v>
      </c>
      <c r="K136">
        <v>34319</v>
      </c>
      <c r="L136" t="s">
        <v>936</v>
      </c>
      <c r="M136" t="s">
        <v>959</v>
      </c>
    </row>
    <row r="137" spans="1:13" x14ac:dyDescent="0.3">
      <c r="A137" t="s">
        <v>886</v>
      </c>
      <c r="B137">
        <v>176</v>
      </c>
      <c r="C137">
        <v>15382974</v>
      </c>
      <c r="D137">
        <v>336252</v>
      </c>
      <c r="E137">
        <v>9950</v>
      </c>
      <c r="F137">
        <v>0</v>
      </c>
      <c r="G137">
        <v>171737734</v>
      </c>
      <c r="H137">
        <v>1853446</v>
      </c>
      <c r="I137">
        <v>65687</v>
      </c>
      <c r="J137">
        <v>6840688</v>
      </c>
      <c r="K137">
        <v>33010</v>
      </c>
      <c r="L137" t="s">
        <v>936</v>
      </c>
      <c r="M137" t="s">
        <v>959</v>
      </c>
    </row>
    <row r="138" spans="1:13" x14ac:dyDescent="0.3">
      <c r="A138" t="s">
        <v>862</v>
      </c>
      <c r="B138">
        <v>151</v>
      </c>
      <c r="C138">
        <v>16754661</v>
      </c>
      <c r="D138">
        <v>336172</v>
      </c>
      <c r="E138">
        <v>96</v>
      </c>
      <c r="F138">
        <v>0</v>
      </c>
      <c r="G138">
        <v>278661421</v>
      </c>
      <c r="H138">
        <v>2320010</v>
      </c>
      <c r="I138">
        <v>25357</v>
      </c>
      <c r="J138">
        <v>2262023</v>
      </c>
      <c r="K138">
        <v>40600</v>
      </c>
      <c r="L138" t="s">
        <v>936</v>
      </c>
      <c r="M138" t="s">
        <v>944</v>
      </c>
    </row>
    <row r="139" spans="1:13" x14ac:dyDescent="0.3">
      <c r="A139" t="s">
        <v>828</v>
      </c>
      <c r="B139">
        <v>122</v>
      </c>
      <c r="C139">
        <v>15208946</v>
      </c>
      <c r="D139">
        <v>330885</v>
      </c>
      <c r="E139">
        <v>12150</v>
      </c>
      <c r="F139">
        <v>0</v>
      </c>
      <c r="G139">
        <v>243852544</v>
      </c>
      <c r="H139">
        <v>2994124</v>
      </c>
      <c r="I139">
        <v>77351</v>
      </c>
      <c r="J139">
        <v>13759215</v>
      </c>
      <c r="K139">
        <v>34503</v>
      </c>
      <c r="L139" t="s">
        <v>936</v>
      </c>
      <c r="M139" t="s">
        <v>946</v>
      </c>
    </row>
    <row r="140" spans="1:13" x14ac:dyDescent="0.3">
      <c r="A140" t="s">
        <v>843</v>
      </c>
      <c r="B140">
        <v>134</v>
      </c>
      <c r="C140">
        <v>16635375</v>
      </c>
      <c r="D140">
        <v>330598</v>
      </c>
      <c r="E140">
        <v>2769</v>
      </c>
      <c r="F140">
        <v>0</v>
      </c>
      <c r="G140">
        <v>225148739</v>
      </c>
      <c r="H140">
        <v>2896998</v>
      </c>
      <c r="I140">
        <v>59059</v>
      </c>
      <c r="J140">
        <v>3519551</v>
      </c>
      <c r="K140">
        <v>35470</v>
      </c>
      <c r="L140" t="s">
        <v>936</v>
      </c>
      <c r="M140" t="s">
        <v>962</v>
      </c>
    </row>
    <row r="141" spans="1:13" x14ac:dyDescent="0.3">
      <c r="A141" t="s">
        <v>857</v>
      </c>
      <c r="B141">
        <v>138</v>
      </c>
      <c r="C141">
        <v>16611513</v>
      </c>
      <c r="D141">
        <v>328125</v>
      </c>
      <c r="E141">
        <v>0</v>
      </c>
      <c r="F141">
        <v>0</v>
      </c>
      <c r="G141">
        <v>256997056</v>
      </c>
      <c r="H141">
        <v>2664218</v>
      </c>
      <c r="I141">
        <v>18214</v>
      </c>
      <c r="J141">
        <v>3835056</v>
      </c>
      <c r="K141">
        <v>42173</v>
      </c>
      <c r="L141" t="s">
        <v>936</v>
      </c>
      <c r="M141" t="s">
        <v>962</v>
      </c>
    </row>
    <row r="142" spans="1:13" x14ac:dyDescent="0.3">
      <c r="A142" t="s">
        <v>839</v>
      </c>
      <c r="B142">
        <v>127</v>
      </c>
      <c r="C142">
        <v>16566964</v>
      </c>
      <c r="D142">
        <v>327938</v>
      </c>
      <c r="E142">
        <v>4676</v>
      </c>
      <c r="F142">
        <v>0</v>
      </c>
      <c r="G142">
        <v>312377732</v>
      </c>
      <c r="H142">
        <v>3248407</v>
      </c>
      <c r="I142">
        <v>51106</v>
      </c>
      <c r="J142">
        <v>2529773</v>
      </c>
      <c r="K142">
        <v>40160</v>
      </c>
      <c r="L142" t="s">
        <v>936</v>
      </c>
      <c r="M142" t="s">
        <v>942</v>
      </c>
    </row>
    <row r="143" spans="1:13" x14ac:dyDescent="0.3">
      <c r="A143" t="s">
        <v>850</v>
      </c>
      <c r="B143">
        <v>146</v>
      </c>
      <c r="C143">
        <v>24078701</v>
      </c>
      <c r="D143">
        <v>326792</v>
      </c>
      <c r="E143">
        <v>404</v>
      </c>
      <c r="F143">
        <v>0</v>
      </c>
      <c r="G143">
        <v>201735395</v>
      </c>
      <c r="H143">
        <v>2274154</v>
      </c>
      <c r="I143">
        <v>40432</v>
      </c>
      <c r="J143">
        <v>2328448</v>
      </c>
      <c r="K143">
        <v>30940</v>
      </c>
      <c r="L143" t="s">
        <v>936</v>
      </c>
      <c r="M143" t="s">
        <v>944</v>
      </c>
    </row>
    <row r="144" spans="1:13" x14ac:dyDescent="0.3">
      <c r="A144" t="s">
        <v>870</v>
      </c>
      <c r="B144">
        <v>159</v>
      </c>
      <c r="C144">
        <v>15057038</v>
      </c>
      <c r="D144">
        <v>309050</v>
      </c>
      <c r="E144">
        <v>50</v>
      </c>
      <c r="F144">
        <v>0</v>
      </c>
      <c r="G144">
        <v>223644119</v>
      </c>
      <c r="H144">
        <v>2053272</v>
      </c>
      <c r="I144">
        <v>47061</v>
      </c>
      <c r="J144">
        <v>3293993</v>
      </c>
      <c r="K144">
        <v>31530</v>
      </c>
      <c r="L144" t="s">
        <v>936</v>
      </c>
      <c r="M144" t="s">
        <v>944</v>
      </c>
    </row>
    <row r="145" spans="1:13" x14ac:dyDescent="0.3">
      <c r="A145" t="s">
        <v>890</v>
      </c>
      <c r="B145">
        <v>182</v>
      </c>
      <c r="C145">
        <v>17727825</v>
      </c>
      <c r="D145">
        <v>305114</v>
      </c>
      <c r="E145">
        <v>3150</v>
      </c>
      <c r="F145">
        <v>0</v>
      </c>
      <c r="G145">
        <v>126992647</v>
      </c>
      <c r="H145">
        <v>1108929</v>
      </c>
      <c r="I145">
        <v>15123</v>
      </c>
      <c r="J145">
        <v>11815276</v>
      </c>
      <c r="K145">
        <v>34150</v>
      </c>
      <c r="L145" t="s">
        <v>936</v>
      </c>
      <c r="M145" t="s">
        <v>942</v>
      </c>
    </row>
    <row r="146" spans="1:13" x14ac:dyDescent="0.3">
      <c r="A146" t="s">
        <v>866</v>
      </c>
      <c r="B146">
        <v>165</v>
      </c>
      <c r="C146">
        <v>29284581</v>
      </c>
      <c r="D146">
        <v>298747</v>
      </c>
      <c r="E146">
        <v>4400</v>
      </c>
      <c r="F146">
        <v>0</v>
      </c>
      <c r="G146">
        <v>233751979</v>
      </c>
      <c r="H146">
        <v>1596854</v>
      </c>
      <c r="I146">
        <v>89893</v>
      </c>
      <c r="J146">
        <v>2792897</v>
      </c>
      <c r="K146">
        <v>34960</v>
      </c>
      <c r="L146" t="s">
        <v>936</v>
      </c>
      <c r="M146" t="s">
        <v>944</v>
      </c>
    </row>
    <row r="147" spans="1:13" x14ac:dyDescent="0.3">
      <c r="A147" t="s">
        <v>845</v>
      </c>
      <c r="B147">
        <v>131</v>
      </c>
      <c r="C147">
        <v>44882275</v>
      </c>
      <c r="D147">
        <v>295521</v>
      </c>
      <c r="E147">
        <v>1250</v>
      </c>
      <c r="F147">
        <v>0</v>
      </c>
      <c r="G147">
        <v>325089733</v>
      </c>
      <c r="H147">
        <v>2819056</v>
      </c>
      <c r="I147">
        <v>36855</v>
      </c>
      <c r="J147">
        <v>20487871</v>
      </c>
      <c r="K147">
        <v>40502</v>
      </c>
      <c r="L147" t="s">
        <v>936</v>
      </c>
      <c r="M147" t="s">
        <v>944</v>
      </c>
    </row>
    <row r="148" spans="1:13" x14ac:dyDescent="0.3">
      <c r="A148" t="s">
        <v>852</v>
      </c>
      <c r="B148">
        <v>147</v>
      </c>
      <c r="C148">
        <v>23045071</v>
      </c>
      <c r="D148">
        <v>282540</v>
      </c>
      <c r="E148">
        <v>0</v>
      </c>
      <c r="F148">
        <v>0</v>
      </c>
      <c r="G148">
        <v>230656229</v>
      </c>
      <c r="H148">
        <v>2451237</v>
      </c>
      <c r="I148">
        <v>17044</v>
      </c>
      <c r="J148">
        <v>3417438</v>
      </c>
      <c r="K148">
        <v>34700</v>
      </c>
      <c r="L148" t="s">
        <v>936</v>
      </c>
      <c r="M148" t="s">
        <v>940</v>
      </c>
    </row>
    <row r="149" spans="1:13" x14ac:dyDescent="0.3">
      <c r="A149" t="s">
        <v>844</v>
      </c>
      <c r="B149">
        <v>149</v>
      </c>
      <c r="C149">
        <v>19688395</v>
      </c>
      <c r="D149">
        <v>276822</v>
      </c>
      <c r="E149">
        <v>28548</v>
      </c>
      <c r="F149">
        <v>1451954</v>
      </c>
      <c r="G149">
        <v>276295222</v>
      </c>
      <c r="H149">
        <v>2611786</v>
      </c>
      <c r="I149">
        <v>80127</v>
      </c>
      <c r="J149">
        <v>10699701</v>
      </c>
      <c r="K149">
        <v>33776</v>
      </c>
      <c r="L149" t="s">
        <v>987</v>
      </c>
      <c r="M149" t="s">
        <v>939</v>
      </c>
    </row>
    <row r="150" spans="1:13" x14ac:dyDescent="0.3">
      <c r="A150" t="s">
        <v>821</v>
      </c>
      <c r="B150">
        <v>101</v>
      </c>
      <c r="C150">
        <v>13609039</v>
      </c>
      <c r="D150">
        <v>271446</v>
      </c>
      <c r="E150">
        <v>350</v>
      </c>
      <c r="F150">
        <v>0</v>
      </c>
      <c r="G150">
        <v>332833200</v>
      </c>
      <c r="H150">
        <v>3691144</v>
      </c>
      <c r="I150">
        <v>59545</v>
      </c>
      <c r="J150">
        <v>4680527</v>
      </c>
      <c r="K150">
        <v>38943</v>
      </c>
      <c r="L150" t="s">
        <v>936</v>
      </c>
      <c r="M150" t="s">
        <v>946</v>
      </c>
    </row>
    <row r="151" spans="1:13" x14ac:dyDescent="0.3">
      <c r="A151" t="s">
        <v>867</v>
      </c>
      <c r="B151">
        <v>161</v>
      </c>
      <c r="C151">
        <v>19978019</v>
      </c>
      <c r="D151">
        <v>269813</v>
      </c>
      <c r="E151">
        <v>0</v>
      </c>
      <c r="F151">
        <v>0</v>
      </c>
      <c r="G151">
        <v>232714962</v>
      </c>
      <c r="H151">
        <v>1982327</v>
      </c>
      <c r="I151">
        <v>32582</v>
      </c>
      <c r="J151">
        <v>3753806</v>
      </c>
      <c r="K151">
        <v>35040</v>
      </c>
      <c r="L151" t="s">
        <v>936</v>
      </c>
      <c r="M151" t="s">
        <v>940</v>
      </c>
    </row>
    <row r="152" spans="1:13" x14ac:dyDescent="0.3">
      <c r="A152" t="s">
        <v>874</v>
      </c>
      <c r="B152">
        <v>167</v>
      </c>
      <c r="C152">
        <v>29931089</v>
      </c>
      <c r="D152">
        <v>267239</v>
      </c>
      <c r="E152">
        <v>10489</v>
      </c>
      <c r="F152">
        <v>0</v>
      </c>
      <c r="G152">
        <v>243541371</v>
      </c>
      <c r="H152">
        <v>1793199</v>
      </c>
      <c r="I152">
        <v>19852</v>
      </c>
      <c r="J152">
        <v>8549159</v>
      </c>
      <c r="K152">
        <v>39172</v>
      </c>
      <c r="L152" t="s">
        <v>936</v>
      </c>
      <c r="M152" t="s">
        <v>937</v>
      </c>
    </row>
    <row r="153" spans="1:13" x14ac:dyDescent="0.3">
      <c r="A153" t="s">
        <v>856</v>
      </c>
      <c r="B153">
        <v>157</v>
      </c>
      <c r="C153">
        <v>12391451</v>
      </c>
      <c r="D153">
        <v>265953</v>
      </c>
      <c r="E153">
        <v>450</v>
      </c>
      <c r="F153">
        <v>0</v>
      </c>
      <c r="G153">
        <v>136749798</v>
      </c>
      <c r="H153">
        <v>1968140</v>
      </c>
      <c r="I153">
        <v>38944</v>
      </c>
      <c r="J153">
        <v>37620030</v>
      </c>
      <c r="K153">
        <v>17328</v>
      </c>
      <c r="L153" t="s">
        <v>936</v>
      </c>
      <c r="M153" t="s">
        <v>939</v>
      </c>
    </row>
    <row r="154" spans="1:13" x14ac:dyDescent="0.3">
      <c r="A154" t="s">
        <v>831</v>
      </c>
      <c r="B154">
        <v>128</v>
      </c>
      <c r="C154">
        <v>12432837</v>
      </c>
      <c r="D154">
        <v>260941</v>
      </c>
      <c r="E154">
        <v>2250</v>
      </c>
      <c r="F154">
        <v>5309865</v>
      </c>
      <c r="G154">
        <v>227939556</v>
      </c>
      <c r="H154">
        <v>2561425</v>
      </c>
      <c r="I154">
        <v>77777</v>
      </c>
      <c r="J154">
        <v>53153766</v>
      </c>
      <c r="K154">
        <v>31746</v>
      </c>
      <c r="L154" t="s">
        <v>936</v>
      </c>
      <c r="M154" t="s">
        <v>940</v>
      </c>
    </row>
    <row r="155" spans="1:13" x14ac:dyDescent="0.3">
      <c r="A155" t="s">
        <v>832</v>
      </c>
      <c r="B155">
        <v>125</v>
      </c>
      <c r="C155">
        <v>13279562</v>
      </c>
      <c r="D155">
        <v>247180</v>
      </c>
      <c r="E155">
        <v>6300</v>
      </c>
      <c r="F155">
        <v>8970689</v>
      </c>
      <c r="G155">
        <v>236350465</v>
      </c>
      <c r="H155">
        <v>2721486</v>
      </c>
      <c r="I155">
        <v>112152</v>
      </c>
      <c r="J155">
        <v>56038658</v>
      </c>
      <c r="K155">
        <v>30370</v>
      </c>
      <c r="L155" t="s">
        <v>936</v>
      </c>
      <c r="M155" t="s">
        <v>946</v>
      </c>
    </row>
    <row r="156" spans="1:13" x14ac:dyDescent="0.3">
      <c r="A156" t="s">
        <v>885</v>
      </c>
      <c r="B156">
        <v>178</v>
      </c>
      <c r="C156">
        <v>12123437</v>
      </c>
      <c r="D156">
        <v>243060</v>
      </c>
      <c r="E156">
        <v>1400</v>
      </c>
      <c r="F156">
        <v>0</v>
      </c>
      <c r="G156">
        <v>165348574</v>
      </c>
      <c r="H156">
        <v>1573569</v>
      </c>
      <c r="I156">
        <v>11101</v>
      </c>
      <c r="J156">
        <v>4030908</v>
      </c>
      <c r="K156">
        <v>31345</v>
      </c>
      <c r="L156" t="s">
        <v>936</v>
      </c>
      <c r="M156" t="s">
        <v>959</v>
      </c>
    </row>
    <row r="157" spans="1:13" x14ac:dyDescent="0.3">
      <c r="A157" t="s">
        <v>842</v>
      </c>
      <c r="B157">
        <v>144</v>
      </c>
      <c r="C157">
        <v>21091928</v>
      </c>
      <c r="D157">
        <v>233601</v>
      </c>
      <c r="E157">
        <v>3950</v>
      </c>
      <c r="F157">
        <v>0</v>
      </c>
      <c r="G157">
        <v>235640980</v>
      </c>
      <c r="H157">
        <v>2020913</v>
      </c>
      <c r="I157">
        <v>89416</v>
      </c>
      <c r="J157">
        <v>3770795</v>
      </c>
      <c r="K157">
        <v>38173</v>
      </c>
      <c r="L157" t="s">
        <v>936</v>
      </c>
      <c r="M157" t="s">
        <v>946</v>
      </c>
    </row>
    <row r="158" spans="1:13" x14ac:dyDescent="0.3">
      <c r="A158" t="s">
        <v>970</v>
      </c>
      <c r="B158">
        <v>113</v>
      </c>
      <c r="C158">
        <v>19557869</v>
      </c>
      <c r="D158">
        <v>232291</v>
      </c>
      <c r="E158">
        <v>0</v>
      </c>
      <c r="F158">
        <v>0</v>
      </c>
      <c r="G158">
        <v>242614424</v>
      </c>
      <c r="H158">
        <v>3001078</v>
      </c>
      <c r="I158">
        <v>49317</v>
      </c>
      <c r="J158">
        <v>9585335</v>
      </c>
      <c r="K158">
        <v>33900</v>
      </c>
      <c r="L158" t="s">
        <v>936</v>
      </c>
      <c r="M158" t="s">
        <v>939</v>
      </c>
    </row>
    <row r="159" spans="1:13" x14ac:dyDescent="0.3">
      <c r="A159" t="s">
        <v>875</v>
      </c>
      <c r="B159">
        <v>169</v>
      </c>
      <c r="C159">
        <v>13043388</v>
      </c>
      <c r="D159">
        <v>229836</v>
      </c>
      <c r="E159">
        <v>22666</v>
      </c>
      <c r="F159">
        <v>0</v>
      </c>
      <c r="G159">
        <v>258488696</v>
      </c>
      <c r="H159">
        <v>1565886</v>
      </c>
      <c r="I159">
        <v>70440</v>
      </c>
      <c r="J159">
        <v>16918918</v>
      </c>
      <c r="K159">
        <v>39293</v>
      </c>
      <c r="L159" t="s">
        <v>936</v>
      </c>
      <c r="M159" t="s">
        <v>962</v>
      </c>
    </row>
    <row r="160" spans="1:13" x14ac:dyDescent="0.3">
      <c r="A160" t="s">
        <v>887</v>
      </c>
      <c r="B160">
        <v>181</v>
      </c>
      <c r="C160">
        <v>26585044</v>
      </c>
      <c r="D160">
        <v>227871</v>
      </c>
      <c r="E160">
        <v>22584</v>
      </c>
      <c r="F160">
        <v>0</v>
      </c>
      <c r="G160">
        <v>132005061</v>
      </c>
      <c r="H160">
        <v>1715173</v>
      </c>
      <c r="I160">
        <v>146418</v>
      </c>
      <c r="J160">
        <v>60926385</v>
      </c>
      <c r="K160">
        <v>20467</v>
      </c>
      <c r="L160" t="s">
        <v>936</v>
      </c>
      <c r="M160" t="s">
        <v>937</v>
      </c>
    </row>
    <row r="161" spans="1:13" x14ac:dyDescent="0.3">
      <c r="A161" t="s">
        <v>863</v>
      </c>
      <c r="B161">
        <v>154</v>
      </c>
      <c r="C161">
        <v>11334378</v>
      </c>
      <c r="D161">
        <v>226190</v>
      </c>
      <c r="E161">
        <v>192</v>
      </c>
      <c r="F161">
        <v>5256865</v>
      </c>
      <c r="G161">
        <v>215297644</v>
      </c>
      <c r="H161">
        <v>2228444</v>
      </c>
      <c r="I161">
        <v>17622</v>
      </c>
      <c r="J161">
        <v>38482099</v>
      </c>
      <c r="K161">
        <v>43380</v>
      </c>
      <c r="L161" t="s">
        <v>936</v>
      </c>
      <c r="M161" t="s">
        <v>959</v>
      </c>
    </row>
    <row r="162" spans="1:13" x14ac:dyDescent="0.3">
      <c r="A162" t="s">
        <v>873</v>
      </c>
      <c r="B162">
        <v>168</v>
      </c>
      <c r="C162">
        <v>9155331</v>
      </c>
      <c r="D162">
        <v>213510</v>
      </c>
      <c r="E162">
        <v>0</v>
      </c>
      <c r="F162">
        <v>0</v>
      </c>
      <c r="G162">
        <v>208742422</v>
      </c>
      <c r="H162">
        <v>1950438</v>
      </c>
      <c r="I162">
        <v>33716</v>
      </c>
      <c r="J162">
        <v>6642651</v>
      </c>
      <c r="K162">
        <v>33983</v>
      </c>
      <c r="L162" t="s">
        <v>936</v>
      </c>
      <c r="M162" t="s">
        <v>937</v>
      </c>
    </row>
    <row r="163" spans="1:13" x14ac:dyDescent="0.3">
      <c r="A163" t="s">
        <v>869</v>
      </c>
      <c r="B163">
        <v>164</v>
      </c>
      <c r="C163">
        <v>9006994</v>
      </c>
      <c r="D163">
        <v>212871</v>
      </c>
      <c r="E163">
        <v>3600</v>
      </c>
      <c r="F163">
        <v>0</v>
      </c>
      <c r="G163">
        <v>184153105</v>
      </c>
      <c r="H163">
        <v>2222423</v>
      </c>
      <c r="I163">
        <v>92827</v>
      </c>
      <c r="J163">
        <v>2945065</v>
      </c>
      <c r="K163">
        <v>27140</v>
      </c>
      <c r="L163" t="s">
        <v>936</v>
      </c>
      <c r="M163" t="s">
        <v>940</v>
      </c>
    </row>
    <row r="164" spans="1:13" x14ac:dyDescent="0.3">
      <c r="A164" t="s">
        <v>819</v>
      </c>
      <c r="B164">
        <v>103</v>
      </c>
      <c r="C164">
        <v>10710123</v>
      </c>
      <c r="D164">
        <v>212682</v>
      </c>
      <c r="E164">
        <v>800</v>
      </c>
      <c r="F164">
        <v>0</v>
      </c>
      <c r="G164">
        <v>243516704</v>
      </c>
      <c r="H164">
        <v>3316719</v>
      </c>
      <c r="I164">
        <v>62357</v>
      </c>
      <c r="J164">
        <v>8640603</v>
      </c>
      <c r="K164">
        <v>27326</v>
      </c>
      <c r="L164" t="s">
        <v>936</v>
      </c>
      <c r="M164" t="s">
        <v>946</v>
      </c>
    </row>
    <row r="165" spans="1:13" x14ac:dyDescent="0.3">
      <c r="A165" t="s">
        <v>882</v>
      </c>
      <c r="B165">
        <v>175</v>
      </c>
      <c r="C165">
        <v>16781506</v>
      </c>
      <c r="D165">
        <v>212152</v>
      </c>
      <c r="E165">
        <v>1400</v>
      </c>
      <c r="F165">
        <v>0</v>
      </c>
      <c r="G165">
        <v>177878077</v>
      </c>
      <c r="H165">
        <v>1555634</v>
      </c>
      <c r="I165">
        <v>12140</v>
      </c>
      <c r="J165">
        <v>4024234</v>
      </c>
      <c r="K165">
        <v>30018</v>
      </c>
      <c r="L165" t="s">
        <v>936</v>
      </c>
      <c r="M165" t="s">
        <v>959</v>
      </c>
    </row>
    <row r="166" spans="1:13" x14ac:dyDescent="0.3">
      <c r="A166" t="s">
        <v>881</v>
      </c>
      <c r="B166">
        <v>177</v>
      </c>
      <c r="C166">
        <v>10417041</v>
      </c>
      <c r="D166">
        <v>210060</v>
      </c>
      <c r="E166">
        <v>0</v>
      </c>
      <c r="F166">
        <v>0</v>
      </c>
      <c r="G166">
        <v>156267610</v>
      </c>
      <c r="H166">
        <v>1383176</v>
      </c>
      <c r="I166">
        <v>5980</v>
      </c>
      <c r="J166">
        <v>3912709</v>
      </c>
      <c r="K166">
        <v>32133</v>
      </c>
      <c r="L166" t="s">
        <v>936</v>
      </c>
      <c r="M166" t="s">
        <v>940</v>
      </c>
    </row>
    <row r="167" spans="1:13" x14ac:dyDescent="0.3">
      <c r="A167" t="s">
        <v>966</v>
      </c>
      <c r="B167">
        <v>148</v>
      </c>
      <c r="C167">
        <v>10096733</v>
      </c>
      <c r="D167">
        <v>203563</v>
      </c>
      <c r="E167">
        <v>0</v>
      </c>
      <c r="F167">
        <v>0</v>
      </c>
      <c r="G167">
        <v>249344599</v>
      </c>
      <c r="H167">
        <v>2674168</v>
      </c>
      <c r="I167">
        <v>6084</v>
      </c>
      <c r="J167">
        <v>8821778</v>
      </c>
      <c r="K167">
        <v>40810</v>
      </c>
      <c r="L167" t="s">
        <v>936</v>
      </c>
      <c r="M167" t="s">
        <v>940</v>
      </c>
    </row>
    <row r="168" spans="1:13" x14ac:dyDescent="0.3">
      <c r="A168" t="s">
        <v>877</v>
      </c>
      <c r="B168">
        <v>171</v>
      </c>
      <c r="C168">
        <v>9652819</v>
      </c>
      <c r="D168">
        <v>193116</v>
      </c>
      <c r="E168">
        <v>0</v>
      </c>
      <c r="F168">
        <v>0</v>
      </c>
      <c r="G168">
        <v>211318871</v>
      </c>
      <c r="H168">
        <v>1768042</v>
      </c>
      <c r="I168">
        <v>33253</v>
      </c>
      <c r="J168">
        <v>11408653</v>
      </c>
      <c r="K168">
        <v>37720</v>
      </c>
      <c r="L168" t="s">
        <v>936</v>
      </c>
      <c r="M168" t="s">
        <v>942</v>
      </c>
    </row>
    <row r="169" spans="1:13" x14ac:dyDescent="0.3">
      <c r="A169" t="s">
        <v>858</v>
      </c>
      <c r="B169">
        <v>153</v>
      </c>
      <c r="C169">
        <v>9644221</v>
      </c>
      <c r="D169">
        <v>191311</v>
      </c>
      <c r="E169">
        <v>1350</v>
      </c>
      <c r="F169">
        <v>8217187</v>
      </c>
      <c r="G169">
        <v>285228086</v>
      </c>
      <c r="H169">
        <v>2089342</v>
      </c>
      <c r="I169">
        <v>59587</v>
      </c>
      <c r="J169">
        <v>46831167</v>
      </c>
      <c r="K169">
        <v>35410</v>
      </c>
      <c r="L169" t="s">
        <v>936</v>
      </c>
      <c r="M169" t="s">
        <v>942</v>
      </c>
    </row>
    <row r="170" spans="1:13" x14ac:dyDescent="0.3">
      <c r="A170" t="s">
        <v>896</v>
      </c>
      <c r="B170">
        <v>188</v>
      </c>
      <c r="C170">
        <v>15804295</v>
      </c>
      <c r="D170">
        <v>191161</v>
      </c>
      <c r="E170">
        <v>786</v>
      </c>
      <c r="F170">
        <v>615553</v>
      </c>
      <c r="G170">
        <v>168715105</v>
      </c>
      <c r="H170">
        <v>798110</v>
      </c>
      <c r="I170">
        <v>19623</v>
      </c>
      <c r="J170">
        <v>13167261</v>
      </c>
      <c r="K170">
        <v>31508</v>
      </c>
      <c r="L170" t="s">
        <v>936</v>
      </c>
      <c r="M170" t="s">
        <v>962</v>
      </c>
    </row>
    <row r="171" spans="1:13" x14ac:dyDescent="0.3">
      <c r="A171" t="s">
        <v>848</v>
      </c>
      <c r="B171">
        <v>143</v>
      </c>
      <c r="C171">
        <v>10203791</v>
      </c>
      <c r="D171">
        <v>189681</v>
      </c>
      <c r="E171">
        <v>14110</v>
      </c>
      <c r="F171">
        <v>0</v>
      </c>
      <c r="G171">
        <v>233842114</v>
      </c>
      <c r="H171">
        <v>2657727</v>
      </c>
      <c r="I171">
        <v>70080</v>
      </c>
      <c r="J171">
        <v>6223868</v>
      </c>
      <c r="K171">
        <v>36610</v>
      </c>
      <c r="L171" t="s">
        <v>987</v>
      </c>
      <c r="M171" t="s">
        <v>945</v>
      </c>
    </row>
    <row r="172" spans="1:13" x14ac:dyDescent="0.3">
      <c r="A172" t="s">
        <v>854</v>
      </c>
      <c r="B172">
        <v>155</v>
      </c>
      <c r="C172">
        <v>9345780</v>
      </c>
      <c r="D172">
        <v>187873</v>
      </c>
      <c r="E172">
        <v>0</v>
      </c>
      <c r="F172">
        <v>0</v>
      </c>
      <c r="G172">
        <v>223901017</v>
      </c>
      <c r="H172">
        <v>1983059</v>
      </c>
      <c r="I172">
        <v>26223</v>
      </c>
      <c r="J172">
        <v>3243805</v>
      </c>
      <c r="K172">
        <v>18793</v>
      </c>
      <c r="L172" t="s">
        <v>936</v>
      </c>
      <c r="M172" t="s">
        <v>942</v>
      </c>
    </row>
    <row r="173" spans="1:13" x14ac:dyDescent="0.3">
      <c r="A173" t="s">
        <v>861</v>
      </c>
      <c r="B173">
        <v>163</v>
      </c>
      <c r="C173">
        <v>8944756</v>
      </c>
      <c r="D173">
        <v>187226</v>
      </c>
      <c r="E173">
        <v>3500</v>
      </c>
      <c r="F173">
        <v>0</v>
      </c>
      <c r="G173">
        <v>195615393</v>
      </c>
      <c r="H173">
        <v>1666186</v>
      </c>
      <c r="I173">
        <v>51068</v>
      </c>
      <c r="J173">
        <v>12560636</v>
      </c>
      <c r="K173">
        <v>33710</v>
      </c>
      <c r="L173" t="s">
        <v>936</v>
      </c>
      <c r="M173" t="s">
        <v>942</v>
      </c>
    </row>
    <row r="174" spans="1:13" x14ac:dyDescent="0.3">
      <c r="A174" t="s">
        <v>876</v>
      </c>
      <c r="B174">
        <v>172</v>
      </c>
      <c r="C174">
        <v>13300060</v>
      </c>
      <c r="D174">
        <v>183166</v>
      </c>
      <c r="E174">
        <v>0</v>
      </c>
      <c r="F174">
        <v>0</v>
      </c>
      <c r="G174">
        <v>218566601</v>
      </c>
      <c r="H174">
        <v>1598443</v>
      </c>
      <c r="I174">
        <v>28244</v>
      </c>
      <c r="J174">
        <v>13900776</v>
      </c>
      <c r="K174">
        <v>36720</v>
      </c>
      <c r="L174" t="s">
        <v>936</v>
      </c>
      <c r="M174" t="s">
        <v>945</v>
      </c>
    </row>
    <row r="175" spans="1:13" x14ac:dyDescent="0.3">
      <c r="A175" t="s">
        <v>817</v>
      </c>
      <c r="B175">
        <v>100</v>
      </c>
      <c r="C175">
        <v>9122462</v>
      </c>
      <c r="D175">
        <v>182848</v>
      </c>
      <c r="E175">
        <v>0</v>
      </c>
      <c r="F175">
        <v>0</v>
      </c>
      <c r="G175">
        <v>288881457</v>
      </c>
      <c r="H175">
        <v>3525050</v>
      </c>
      <c r="I175">
        <v>49596</v>
      </c>
      <c r="J175">
        <v>3612005</v>
      </c>
      <c r="K175">
        <v>32899</v>
      </c>
      <c r="L175" t="s">
        <v>936</v>
      </c>
      <c r="M175" t="s">
        <v>940</v>
      </c>
    </row>
    <row r="176" spans="1:13" x14ac:dyDescent="0.3">
      <c r="A176" t="s">
        <v>835</v>
      </c>
      <c r="B176">
        <v>132</v>
      </c>
      <c r="C176">
        <v>8707354</v>
      </c>
      <c r="D176">
        <v>180116</v>
      </c>
      <c r="E176">
        <v>0</v>
      </c>
      <c r="F176">
        <v>0</v>
      </c>
      <c r="G176">
        <v>262980935</v>
      </c>
      <c r="H176">
        <v>2432797</v>
      </c>
      <c r="I176">
        <v>32568</v>
      </c>
      <c r="J176">
        <v>4525150</v>
      </c>
      <c r="K176">
        <v>36713</v>
      </c>
      <c r="L176" t="s">
        <v>936</v>
      </c>
      <c r="M176" t="s">
        <v>944</v>
      </c>
    </row>
    <row r="177" spans="1:13" x14ac:dyDescent="0.3">
      <c r="A177" t="s">
        <v>879</v>
      </c>
      <c r="B177">
        <v>173</v>
      </c>
      <c r="C177">
        <v>8931197</v>
      </c>
      <c r="D177">
        <v>178684</v>
      </c>
      <c r="E177">
        <v>0</v>
      </c>
      <c r="F177">
        <v>0</v>
      </c>
      <c r="G177">
        <v>158920581</v>
      </c>
      <c r="H177">
        <v>1579279</v>
      </c>
      <c r="I177">
        <v>12812</v>
      </c>
      <c r="J177">
        <v>1523337</v>
      </c>
      <c r="K177">
        <v>28120</v>
      </c>
      <c r="L177" t="s">
        <v>936</v>
      </c>
      <c r="M177" t="s">
        <v>942</v>
      </c>
    </row>
    <row r="178" spans="1:13" x14ac:dyDescent="0.3">
      <c r="A178" t="s">
        <v>980</v>
      </c>
      <c r="B178">
        <v>195</v>
      </c>
      <c r="C178">
        <v>3901996</v>
      </c>
      <c r="D178">
        <v>161409</v>
      </c>
      <c r="E178">
        <v>26750</v>
      </c>
      <c r="F178">
        <v>23668723</v>
      </c>
      <c r="G178">
        <v>36201643</v>
      </c>
      <c r="H178">
        <v>368370</v>
      </c>
      <c r="I178">
        <v>60200</v>
      </c>
      <c r="J178">
        <v>91707435</v>
      </c>
      <c r="K178">
        <v>14040</v>
      </c>
      <c r="L178" t="s">
        <v>936</v>
      </c>
      <c r="M178" t="s">
        <v>959</v>
      </c>
    </row>
    <row r="179" spans="1:13" x14ac:dyDescent="0.3">
      <c r="A179" t="s">
        <v>868</v>
      </c>
      <c r="B179">
        <v>166</v>
      </c>
      <c r="C179">
        <v>7441390</v>
      </c>
      <c r="D179">
        <v>135491</v>
      </c>
      <c r="E179">
        <v>0</v>
      </c>
      <c r="F179">
        <v>2891185</v>
      </c>
      <c r="G179">
        <v>150947522</v>
      </c>
      <c r="H179">
        <v>1686970</v>
      </c>
      <c r="I179">
        <v>15497</v>
      </c>
      <c r="J179">
        <v>39003172</v>
      </c>
      <c r="K179">
        <v>35663</v>
      </c>
      <c r="L179" t="s">
        <v>936</v>
      </c>
      <c r="M179" t="s">
        <v>962</v>
      </c>
    </row>
    <row r="180" spans="1:13" x14ac:dyDescent="0.3">
      <c r="A180" t="s">
        <v>878</v>
      </c>
      <c r="B180">
        <v>174</v>
      </c>
      <c r="C180">
        <v>6623164</v>
      </c>
      <c r="D180">
        <v>132519</v>
      </c>
      <c r="E180">
        <v>0</v>
      </c>
      <c r="F180">
        <v>0</v>
      </c>
      <c r="G180">
        <v>166337018</v>
      </c>
      <c r="H180">
        <v>1411718</v>
      </c>
      <c r="I180">
        <v>26727</v>
      </c>
      <c r="J180">
        <v>3024324</v>
      </c>
      <c r="K180">
        <v>36390</v>
      </c>
      <c r="L180" t="s">
        <v>936</v>
      </c>
      <c r="M180" t="s">
        <v>962</v>
      </c>
    </row>
    <row r="181" spans="1:13" x14ac:dyDescent="0.3">
      <c r="A181" t="s">
        <v>883</v>
      </c>
      <c r="B181">
        <v>180</v>
      </c>
      <c r="C181">
        <v>6497045</v>
      </c>
      <c r="D181">
        <v>130696</v>
      </c>
      <c r="E181">
        <v>5600</v>
      </c>
      <c r="F181">
        <v>0</v>
      </c>
      <c r="G181">
        <v>134711002</v>
      </c>
      <c r="H181">
        <v>1200856</v>
      </c>
      <c r="I181">
        <v>30275</v>
      </c>
      <c r="J181">
        <v>8057288</v>
      </c>
      <c r="K181">
        <v>34420</v>
      </c>
      <c r="L181" t="s">
        <v>936</v>
      </c>
      <c r="M181" t="s">
        <v>962</v>
      </c>
    </row>
    <row r="182" spans="1:13" x14ac:dyDescent="0.3">
      <c r="A182" t="s">
        <v>888</v>
      </c>
      <c r="B182">
        <v>183</v>
      </c>
      <c r="C182">
        <v>11504027</v>
      </c>
      <c r="D182">
        <v>123674</v>
      </c>
      <c r="E182">
        <v>357</v>
      </c>
      <c r="F182">
        <v>0</v>
      </c>
      <c r="G182">
        <v>141286412</v>
      </c>
      <c r="H182">
        <v>1030888</v>
      </c>
      <c r="I182">
        <v>29480</v>
      </c>
      <c r="J182">
        <v>10097123</v>
      </c>
      <c r="K182">
        <v>30930</v>
      </c>
      <c r="L182" t="s">
        <v>936</v>
      </c>
      <c r="M182" t="s">
        <v>937</v>
      </c>
    </row>
    <row r="183" spans="1:13" x14ac:dyDescent="0.3">
      <c r="A183" t="s">
        <v>889</v>
      </c>
      <c r="B183">
        <v>185</v>
      </c>
      <c r="C183">
        <v>6715021</v>
      </c>
      <c r="D183">
        <v>120100</v>
      </c>
      <c r="E183">
        <v>0</v>
      </c>
      <c r="F183">
        <v>1027076</v>
      </c>
      <c r="G183">
        <v>141336558</v>
      </c>
      <c r="H183">
        <v>947421</v>
      </c>
      <c r="I183">
        <v>30181</v>
      </c>
      <c r="J183">
        <v>8027071</v>
      </c>
      <c r="K183">
        <v>32183</v>
      </c>
      <c r="L183" t="s">
        <v>936</v>
      </c>
      <c r="M183" t="s">
        <v>962</v>
      </c>
    </row>
    <row r="184" spans="1:13" x14ac:dyDescent="0.3">
      <c r="A184" t="s">
        <v>894</v>
      </c>
      <c r="B184">
        <v>187</v>
      </c>
      <c r="C184">
        <v>5755739</v>
      </c>
      <c r="D184">
        <v>116616</v>
      </c>
      <c r="E184">
        <v>0</v>
      </c>
      <c r="F184">
        <v>0</v>
      </c>
      <c r="G184">
        <v>109754966</v>
      </c>
      <c r="H184">
        <v>764914</v>
      </c>
      <c r="I184">
        <v>7644</v>
      </c>
      <c r="J184">
        <v>6188510</v>
      </c>
      <c r="K184">
        <v>25160</v>
      </c>
      <c r="L184" t="s">
        <v>936</v>
      </c>
      <c r="M184" t="s">
        <v>940</v>
      </c>
    </row>
    <row r="185" spans="1:13" x14ac:dyDescent="0.3">
      <c r="A185" t="s">
        <v>895</v>
      </c>
      <c r="B185">
        <v>189</v>
      </c>
      <c r="C185">
        <v>13414858</v>
      </c>
      <c r="D185">
        <v>111216</v>
      </c>
      <c r="E185">
        <v>0</v>
      </c>
      <c r="F185">
        <v>0</v>
      </c>
      <c r="G185">
        <v>135000428</v>
      </c>
      <c r="H185">
        <v>658443</v>
      </c>
      <c r="I185">
        <v>13297</v>
      </c>
      <c r="J185">
        <v>9629723</v>
      </c>
      <c r="K185">
        <v>34016</v>
      </c>
      <c r="L185" t="s">
        <v>936</v>
      </c>
      <c r="M185" t="s">
        <v>962</v>
      </c>
    </row>
    <row r="186" spans="1:13" x14ac:dyDescent="0.3">
      <c r="A186" t="s">
        <v>860</v>
      </c>
      <c r="B186">
        <v>162</v>
      </c>
      <c r="C186">
        <v>11478783</v>
      </c>
      <c r="D186">
        <v>108529</v>
      </c>
      <c r="E186">
        <v>0</v>
      </c>
      <c r="F186">
        <v>6634618</v>
      </c>
      <c r="G186">
        <v>147916981</v>
      </c>
      <c r="H186">
        <v>1951916</v>
      </c>
      <c r="I186">
        <v>19570</v>
      </c>
      <c r="J186">
        <v>42425411</v>
      </c>
      <c r="K186">
        <v>31263</v>
      </c>
      <c r="L186" t="s">
        <v>936</v>
      </c>
      <c r="M186" t="s">
        <v>946</v>
      </c>
    </row>
    <row r="187" spans="1:13" x14ac:dyDescent="0.3">
      <c r="A187" t="s">
        <v>898</v>
      </c>
      <c r="B187">
        <v>191</v>
      </c>
      <c r="C187">
        <v>4921476</v>
      </c>
      <c r="D187">
        <v>105252</v>
      </c>
      <c r="E187">
        <v>178</v>
      </c>
      <c r="F187">
        <v>0</v>
      </c>
      <c r="G187">
        <v>90083377</v>
      </c>
      <c r="H187">
        <v>648878</v>
      </c>
      <c r="I187">
        <v>16144</v>
      </c>
      <c r="J187">
        <v>49390691</v>
      </c>
      <c r="K187">
        <v>22563</v>
      </c>
      <c r="L187" t="s">
        <v>936</v>
      </c>
      <c r="M187" t="s">
        <v>937</v>
      </c>
    </row>
    <row r="188" spans="1:13" x14ac:dyDescent="0.3">
      <c r="A188" t="s">
        <v>975</v>
      </c>
      <c r="B188">
        <v>158</v>
      </c>
      <c r="C188">
        <v>4034665</v>
      </c>
      <c r="D188">
        <v>80723</v>
      </c>
      <c r="E188">
        <v>0</v>
      </c>
      <c r="F188">
        <v>0</v>
      </c>
      <c r="G188">
        <v>166614450</v>
      </c>
      <c r="H188">
        <v>1889168</v>
      </c>
      <c r="I188">
        <v>60531</v>
      </c>
      <c r="J188">
        <v>5539743</v>
      </c>
      <c r="K188">
        <v>35100</v>
      </c>
      <c r="L188" t="s">
        <v>936</v>
      </c>
      <c r="M188" t="s">
        <v>945</v>
      </c>
    </row>
    <row r="189" spans="1:13" x14ac:dyDescent="0.3">
      <c r="A189" t="s">
        <v>880</v>
      </c>
      <c r="B189">
        <v>179</v>
      </c>
      <c r="C189">
        <v>8776766</v>
      </c>
      <c r="D189">
        <v>76588</v>
      </c>
      <c r="E189">
        <v>1800</v>
      </c>
      <c r="F189">
        <v>0</v>
      </c>
      <c r="G189">
        <v>168312344</v>
      </c>
      <c r="H189">
        <v>1214290</v>
      </c>
      <c r="I189">
        <v>51372</v>
      </c>
      <c r="J189">
        <v>2022935</v>
      </c>
      <c r="K189">
        <v>32580</v>
      </c>
      <c r="L189" t="s">
        <v>936</v>
      </c>
      <c r="M189" t="s">
        <v>942</v>
      </c>
    </row>
    <row r="190" spans="1:13" x14ac:dyDescent="0.3">
      <c r="A190" t="s">
        <v>891</v>
      </c>
      <c r="B190">
        <v>184</v>
      </c>
      <c r="C190">
        <v>3079455</v>
      </c>
      <c r="D190">
        <v>71177</v>
      </c>
      <c r="E190">
        <v>11700</v>
      </c>
      <c r="F190">
        <v>0</v>
      </c>
      <c r="G190">
        <v>72960026</v>
      </c>
      <c r="H190">
        <v>740674</v>
      </c>
      <c r="I190">
        <v>11700</v>
      </c>
      <c r="J190">
        <v>51514017</v>
      </c>
      <c r="K190">
        <v>24700</v>
      </c>
      <c r="L190" t="s">
        <v>936</v>
      </c>
      <c r="M190" t="s">
        <v>959</v>
      </c>
    </row>
    <row r="191" spans="1:13" x14ac:dyDescent="0.3">
      <c r="A191" t="s">
        <v>892</v>
      </c>
      <c r="B191">
        <v>186</v>
      </c>
      <c r="C191">
        <v>3417710</v>
      </c>
      <c r="D191">
        <v>68380</v>
      </c>
      <c r="E191">
        <v>0</v>
      </c>
      <c r="F191">
        <v>0</v>
      </c>
      <c r="G191">
        <v>115351056</v>
      </c>
      <c r="H191">
        <v>747935</v>
      </c>
      <c r="I191">
        <v>4977</v>
      </c>
      <c r="J191">
        <v>15924862</v>
      </c>
      <c r="K191">
        <v>33503</v>
      </c>
      <c r="L191" t="s">
        <v>936</v>
      </c>
      <c r="M191" t="s">
        <v>962</v>
      </c>
    </row>
    <row r="192" spans="1:13" x14ac:dyDescent="0.3">
      <c r="A192" t="s">
        <v>851</v>
      </c>
      <c r="B192">
        <v>156</v>
      </c>
      <c r="C192">
        <v>2664420</v>
      </c>
      <c r="D192">
        <v>57051</v>
      </c>
      <c r="E192">
        <v>1350</v>
      </c>
      <c r="F192">
        <v>0</v>
      </c>
      <c r="G192">
        <v>168189877</v>
      </c>
      <c r="H192">
        <v>1946085</v>
      </c>
      <c r="I192">
        <v>51320</v>
      </c>
      <c r="J192">
        <v>4801442</v>
      </c>
      <c r="K192">
        <v>30640</v>
      </c>
      <c r="L192" t="s">
        <v>936</v>
      </c>
      <c r="M192" t="s">
        <v>940</v>
      </c>
    </row>
    <row r="193" spans="1:13" x14ac:dyDescent="0.3">
      <c r="A193" t="s">
        <v>900</v>
      </c>
      <c r="B193">
        <v>193</v>
      </c>
      <c r="C193">
        <v>2658475</v>
      </c>
      <c r="D193">
        <v>50850</v>
      </c>
      <c r="E193">
        <v>1160</v>
      </c>
      <c r="F193">
        <v>15098466</v>
      </c>
      <c r="G193">
        <v>54898376</v>
      </c>
      <c r="H193">
        <v>370019</v>
      </c>
      <c r="I193">
        <v>20235</v>
      </c>
      <c r="J193">
        <v>92420793</v>
      </c>
      <c r="K193">
        <v>17470</v>
      </c>
      <c r="L193" t="s">
        <v>936</v>
      </c>
      <c r="M193" t="s">
        <v>937</v>
      </c>
    </row>
    <row r="194" spans="1:13" x14ac:dyDescent="0.3">
      <c r="A194" t="s">
        <v>901</v>
      </c>
      <c r="B194">
        <v>194</v>
      </c>
      <c r="C194">
        <v>7951748</v>
      </c>
      <c r="D194">
        <v>36011</v>
      </c>
      <c r="E194">
        <v>350</v>
      </c>
      <c r="F194">
        <v>0</v>
      </c>
      <c r="G194">
        <v>111777687</v>
      </c>
      <c r="H194">
        <v>292983</v>
      </c>
      <c r="I194">
        <v>24102</v>
      </c>
      <c r="J194">
        <v>54100651</v>
      </c>
      <c r="K194">
        <v>23730</v>
      </c>
      <c r="L194" t="s">
        <v>936</v>
      </c>
      <c r="M194" t="s">
        <v>937</v>
      </c>
    </row>
    <row r="195" spans="1:13" x14ac:dyDescent="0.3">
      <c r="A195" t="s">
        <v>1013</v>
      </c>
      <c r="B195">
        <v>196</v>
      </c>
      <c r="C195">
        <v>4767546</v>
      </c>
      <c r="D195">
        <v>22674</v>
      </c>
      <c r="E195">
        <v>700</v>
      </c>
      <c r="F195">
        <v>0</v>
      </c>
      <c r="G195">
        <v>4767546</v>
      </c>
      <c r="H195">
        <v>22674</v>
      </c>
      <c r="I195">
        <v>700</v>
      </c>
      <c r="J195">
        <v>0</v>
      </c>
      <c r="K195">
        <v>37836</v>
      </c>
      <c r="L195" t="s">
        <v>936</v>
      </c>
      <c r="M195" t="s">
        <v>959</v>
      </c>
    </row>
    <row r="196" spans="1:13" x14ac:dyDescent="0.3">
      <c r="A196" t="s">
        <v>893</v>
      </c>
      <c r="B196">
        <v>190</v>
      </c>
      <c r="C196">
        <v>590640</v>
      </c>
      <c r="D196">
        <v>4637</v>
      </c>
      <c r="E196">
        <v>0</v>
      </c>
      <c r="F196">
        <v>35887766</v>
      </c>
      <c r="G196">
        <v>43482637</v>
      </c>
      <c r="H196">
        <v>458808</v>
      </c>
      <c r="I196">
        <v>76192</v>
      </c>
      <c r="J196">
        <v>325474234</v>
      </c>
      <c r="K196">
        <v>20506</v>
      </c>
      <c r="L196" t="s">
        <v>936</v>
      </c>
      <c r="M196" t="s">
        <v>937</v>
      </c>
    </row>
    <row r="197" spans="1:13" x14ac:dyDescent="0.3">
      <c r="A197" t="s">
        <v>897</v>
      </c>
      <c r="B197">
        <v>192</v>
      </c>
      <c r="C197">
        <v>0</v>
      </c>
      <c r="D197">
        <v>0</v>
      </c>
      <c r="E197">
        <v>0</v>
      </c>
      <c r="F197">
        <v>0</v>
      </c>
      <c r="G197">
        <v>57051857</v>
      </c>
      <c r="H197">
        <v>312495</v>
      </c>
      <c r="I197">
        <v>5816</v>
      </c>
      <c r="J197">
        <v>2216756</v>
      </c>
      <c r="K197">
        <v>23480</v>
      </c>
      <c r="L197" t="s">
        <v>936</v>
      </c>
      <c r="M197" t="s">
        <v>937</v>
      </c>
    </row>
    <row r="198" spans="1:13" x14ac:dyDescent="0.3">
      <c r="A198" t="s">
        <v>897</v>
      </c>
      <c r="B198">
        <v>193</v>
      </c>
      <c r="C198">
        <v>0</v>
      </c>
      <c r="D198">
        <v>0</v>
      </c>
      <c r="E198">
        <v>0</v>
      </c>
      <c r="F198">
        <v>0</v>
      </c>
      <c r="G198">
        <v>57051857</v>
      </c>
      <c r="H198">
        <v>312495</v>
      </c>
      <c r="I198">
        <v>5816</v>
      </c>
      <c r="J198">
        <v>2216756</v>
      </c>
      <c r="K198">
        <v>23480</v>
      </c>
      <c r="L198" t="s">
        <v>936</v>
      </c>
      <c r="M198" t="s">
        <v>937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0926-2B02-465E-9F1A-EA1F3D1065BA}">
  <dimension ref="A1:M197"/>
  <sheetViews>
    <sheetView workbookViewId="0">
      <selection activeCell="F12" sqref="F12"/>
    </sheetView>
  </sheetViews>
  <sheetFormatPr defaultRowHeight="16.5" x14ac:dyDescent="0.3"/>
  <sheetData>
    <row r="1" spans="1:13" x14ac:dyDescent="0.3">
      <c r="A1" t="s">
        <v>923</v>
      </c>
      <c r="B1" t="s">
        <v>924</v>
      </c>
      <c r="C1" t="s">
        <v>925</v>
      </c>
      <c r="D1" t="s">
        <v>926</v>
      </c>
      <c r="E1" t="s">
        <v>927</v>
      </c>
      <c r="F1" t="s">
        <v>928</v>
      </c>
      <c r="G1" t="s">
        <v>929</v>
      </c>
      <c r="H1" t="s">
        <v>930</v>
      </c>
      <c r="I1" t="s">
        <v>931</v>
      </c>
      <c r="J1" t="s">
        <v>932</v>
      </c>
      <c r="K1" t="s">
        <v>933</v>
      </c>
      <c r="L1" t="s">
        <v>934</v>
      </c>
      <c r="M1" t="s">
        <v>935</v>
      </c>
    </row>
    <row r="2" spans="1:13" x14ac:dyDescent="0.3">
      <c r="A2" t="s">
        <v>746</v>
      </c>
      <c r="B2">
        <v>9</v>
      </c>
      <c r="C2">
        <v>57894701</v>
      </c>
      <c r="D2">
        <v>1239641</v>
      </c>
      <c r="E2">
        <v>1536</v>
      </c>
      <c r="F2">
        <v>0</v>
      </c>
      <c r="G2">
        <v>507488555</v>
      </c>
      <c r="H2">
        <v>7968049</v>
      </c>
      <c r="I2">
        <v>62181</v>
      </c>
      <c r="J2">
        <v>2964363</v>
      </c>
      <c r="K2">
        <v>38800</v>
      </c>
      <c r="L2" t="s">
        <v>936</v>
      </c>
      <c r="M2" t="s">
        <v>943</v>
      </c>
    </row>
    <row r="3" spans="1:13" x14ac:dyDescent="0.3">
      <c r="A3" t="s">
        <v>752</v>
      </c>
      <c r="B3">
        <v>12</v>
      </c>
      <c r="C3">
        <v>58035816</v>
      </c>
      <c r="D3">
        <v>1244290</v>
      </c>
      <c r="E3">
        <v>5400</v>
      </c>
      <c r="F3">
        <v>0</v>
      </c>
      <c r="G3">
        <v>495570046</v>
      </c>
      <c r="H3">
        <v>7407096</v>
      </c>
      <c r="I3">
        <v>69455</v>
      </c>
      <c r="J3">
        <v>3457225</v>
      </c>
      <c r="K3">
        <v>44840</v>
      </c>
      <c r="L3" t="s">
        <v>936</v>
      </c>
      <c r="M3" t="s">
        <v>943</v>
      </c>
    </row>
    <row r="4" spans="1:13" x14ac:dyDescent="0.3">
      <c r="A4" t="s">
        <v>745</v>
      </c>
      <c r="B4">
        <v>11</v>
      </c>
      <c r="C4">
        <v>50019092</v>
      </c>
      <c r="D4">
        <v>1087080</v>
      </c>
      <c r="E4">
        <v>531</v>
      </c>
      <c r="F4">
        <v>0</v>
      </c>
      <c r="G4">
        <v>507392609</v>
      </c>
      <c r="H4">
        <v>7996601</v>
      </c>
      <c r="I4">
        <v>63170</v>
      </c>
      <c r="J4">
        <v>3058362</v>
      </c>
      <c r="K4">
        <v>42190</v>
      </c>
      <c r="L4" t="s">
        <v>936</v>
      </c>
      <c r="M4" t="s">
        <v>943</v>
      </c>
    </row>
    <row r="5" spans="1:13" x14ac:dyDescent="0.3">
      <c r="A5" t="s">
        <v>798</v>
      </c>
      <c r="B5">
        <v>76</v>
      </c>
      <c r="C5">
        <v>31550702</v>
      </c>
      <c r="D5">
        <v>707726</v>
      </c>
      <c r="E5">
        <v>17600</v>
      </c>
      <c r="F5">
        <v>0</v>
      </c>
      <c r="G5">
        <v>360836773</v>
      </c>
      <c r="H5">
        <v>5066970</v>
      </c>
      <c r="I5">
        <v>145711</v>
      </c>
      <c r="J5">
        <v>4290497</v>
      </c>
      <c r="K5">
        <v>39550</v>
      </c>
      <c r="L5" t="s">
        <v>936</v>
      </c>
      <c r="M5" t="s">
        <v>946</v>
      </c>
    </row>
    <row r="6" spans="1:13" x14ac:dyDescent="0.3">
      <c r="A6" t="s">
        <v>795</v>
      </c>
      <c r="B6">
        <v>62</v>
      </c>
      <c r="C6">
        <v>42394113</v>
      </c>
      <c r="D6">
        <v>884301</v>
      </c>
      <c r="E6">
        <v>1217</v>
      </c>
      <c r="F6">
        <v>0</v>
      </c>
      <c r="G6">
        <v>368869348</v>
      </c>
      <c r="H6">
        <v>5131821</v>
      </c>
      <c r="I6">
        <v>44096</v>
      </c>
      <c r="J6">
        <v>3989749</v>
      </c>
      <c r="K6">
        <v>41370</v>
      </c>
      <c r="L6" t="s">
        <v>936</v>
      </c>
      <c r="M6" t="s">
        <v>939</v>
      </c>
    </row>
    <row r="7" spans="1:13" x14ac:dyDescent="0.3">
      <c r="A7" t="s">
        <v>747</v>
      </c>
      <c r="B7">
        <v>10</v>
      </c>
      <c r="C7">
        <v>58557416</v>
      </c>
      <c r="D7">
        <v>1171251</v>
      </c>
      <c r="E7">
        <v>15108</v>
      </c>
      <c r="F7">
        <v>0</v>
      </c>
      <c r="G7">
        <v>543357419</v>
      </c>
      <c r="H7">
        <v>7498819</v>
      </c>
      <c r="I7">
        <v>124681</v>
      </c>
      <c r="J7">
        <v>2761789</v>
      </c>
      <c r="K7">
        <v>42130</v>
      </c>
      <c r="L7" t="s">
        <v>936</v>
      </c>
      <c r="M7" t="s">
        <v>943</v>
      </c>
    </row>
    <row r="8" spans="1:13" x14ac:dyDescent="0.3">
      <c r="A8" t="s">
        <v>742</v>
      </c>
      <c r="B8">
        <v>2</v>
      </c>
      <c r="C8">
        <v>78743432</v>
      </c>
      <c r="D8">
        <v>1649119</v>
      </c>
      <c r="E8">
        <v>1099</v>
      </c>
      <c r="F8">
        <v>0</v>
      </c>
      <c r="G8">
        <v>629526338</v>
      </c>
      <c r="H8">
        <v>9602830</v>
      </c>
      <c r="I8">
        <v>56718</v>
      </c>
      <c r="J8">
        <v>2762893</v>
      </c>
      <c r="K8">
        <v>42173</v>
      </c>
      <c r="L8" t="s">
        <v>936</v>
      </c>
      <c r="M8" t="s">
        <v>937</v>
      </c>
    </row>
    <row r="9" spans="1:13" x14ac:dyDescent="0.3">
      <c r="A9" t="s">
        <v>740</v>
      </c>
      <c r="B9">
        <v>1</v>
      </c>
      <c r="C9">
        <v>73442003</v>
      </c>
      <c r="D9">
        <v>1442572</v>
      </c>
      <c r="E9">
        <v>13050</v>
      </c>
      <c r="F9">
        <v>0</v>
      </c>
      <c r="G9">
        <v>631813324</v>
      </c>
      <c r="H9">
        <v>9722298</v>
      </c>
      <c r="I9">
        <v>127675</v>
      </c>
      <c r="J9">
        <v>2709594</v>
      </c>
      <c r="K9">
        <v>45270</v>
      </c>
      <c r="L9" t="s">
        <v>936</v>
      </c>
      <c r="M9" t="s">
        <v>944</v>
      </c>
    </row>
    <row r="10" spans="1:13" x14ac:dyDescent="0.3">
      <c r="A10" t="s">
        <v>744</v>
      </c>
      <c r="B10">
        <v>7</v>
      </c>
      <c r="C10">
        <v>64496075</v>
      </c>
      <c r="D10">
        <v>1321299</v>
      </c>
      <c r="E10">
        <v>0</v>
      </c>
      <c r="F10">
        <v>0</v>
      </c>
      <c r="G10">
        <v>582164891</v>
      </c>
      <c r="H10">
        <v>8450544</v>
      </c>
      <c r="I10">
        <v>47662</v>
      </c>
      <c r="J10">
        <v>8203813</v>
      </c>
      <c r="K10">
        <v>47220</v>
      </c>
      <c r="L10" t="s">
        <v>936</v>
      </c>
      <c r="M10" t="s">
        <v>939</v>
      </c>
    </row>
    <row r="11" spans="1:13" x14ac:dyDescent="0.3">
      <c r="A11" t="s">
        <v>741</v>
      </c>
      <c r="B11">
        <v>6</v>
      </c>
      <c r="C11">
        <v>60530345</v>
      </c>
      <c r="D11">
        <v>1183489</v>
      </c>
      <c r="E11">
        <v>350</v>
      </c>
      <c r="F11">
        <v>0</v>
      </c>
      <c r="G11">
        <v>526418136</v>
      </c>
      <c r="H11">
        <v>8276171</v>
      </c>
      <c r="I11">
        <v>31973</v>
      </c>
      <c r="J11">
        <v>2802676</v>
      </c>
      <c r="K11">
        <v>35870</v>
      </c>
      <c r="L11" t="s">
        <v>936</v>
      </c>
      <c r="M11" t="s">
        <v>940</v>
      </c>
    </row>
    <row r="12" spans="1:13" x14ac:dyDescent="0.3">
      <c r="A12" t="s">
        <v>753</v>
      </c>
      <c r="B12">
        <v>13</v>
      </c>
      <c r="C12">
        <v>58558360</v>
      </c>
      <c r="D12">
        <v>1222428</v>
      </c>
      <c r="E12">
        <v>0</v>
      </c>
      <c r="F12">
        <v>0</v>
      </c>
      <c r="G12">
        <v>535912842</v>
      </c>
      <c r="H12">
        <v>7067093</v>
      </c>
      <c r="I12">
        <v>41451</v>
      </c>
      <c r="J12">
        <v>2702231</v>
      </c>
      <c r="K12">
        <v>39070</v>
      </c>
      <c r="L12" t="s">
        <v>936</v>
      </c>
      <c r="M12" t="s">
        <v>939</v>
      </c>
    </row>
    <row r="13" spans="1:13" x14ac:dyDescent="0.3">
      <c r="A13" t="s">
        <v>751</v>
      </c>
      <c r="B13">
        <v>15</v>
      </c>
      <c r="C13">
        <v>45983670</v>
      </c>
      <c r="D13">
        <v>955079</v>
      </c>
      <c r="E13">
        <v>0</v>
      </c>
      <c r="F13">
        <v>0</v>
      </c>
      <c r="G13">
        <v>445523018</v>
      </c>
      <c r="H13">
        <v>6920956</v>
      </c>
      <c r="I13">
        <v>46851</v>
      </c>
      <c r="J13">
        <v>4819625</v>
      </c>
      <c r="K13">
        <v>40360</v>
      </c>
      <c r="L13" t="s">
        <v>936</v>
      </c>
      <c r="M13" t="s">
        <v>939</v>
      </c>
    </row>
    <row r="14" spans="1:13" x14ac:dyDescent="0.3">
      <c r="A14" t="s">
        <v>792</v>
      </c>
      <c r="B14">
        <v>56</v>
      </c>
      <c r="C14">
        <v>42122236</v>
      </c>
      <c r="D14">
        <v>892514</v>
      </c>
      <c r="E14">
        <v>7301</v>
      </c>
      <c r="F14">
        <v>0</v>
      </c>
      <c r="G14">
        <v>367184801</v>
      </c>
      <c r="H14">
        <v>5420771</v>
      </c>
      <c r="I14">
        <v>133190</v>
      </c>
      <c r="J14">
        <v>5387592</v>
      </c>
      <c r="K14">
        <v>38009</v>
      </c>
      <c r="L14" t="s">
        <v>936</v>
      </c>
      <c r="M14" t="s">
        <v>943</v>
      </c>
    </row>
    <row r="15" spans="1:13" x14ac:dyDescent="0.3">
      <c r="A15" t="s">
        <v>754</v>
      </c>
      <c r="B15">
        <v>19</v>
      </c>
      <c r="C15">
        <v>41618601</v>
      </c>
      <c r="D15">
        <v>820732</v>
      </c>
      <c r="E15">
        <v>50</v>
      </c>
      <c r="F15">
        <v>0</v>
      </c>
      <c r="G15">
        <v>417679738</v>
      </c>
      <c r="H15">
        <v>6103724</v>
      </c>
      <c r="I15">
        <v>32057</v>
      </c>
      <c r="J15">
        <v>3859526</v>
      </c>
      <c r="K15">
        <v>42400</v>
      </c>
      <c r="L15" t="s">
        <v>936</v>
      </c>
      <c r="M15" t="s">
        <v>942</v>
      </c>
    </row>
    <row r="16" spans="1:13" x14ac:dyDescent="0.3">
      <c r="A16" t="s">
        <v>957</v>
      </c>
      <c r="B16">
        <v>52</v>
      </c>
      <c r="C16">
        <v>35535159</v>
      </c>
      <c r="D16">
        <v>695442</v>
      </c>
      <c r="E16">
        <v>9183</v>
      </c>
      <c r="F16">
        <v>0</v>
      </c>
      <c r="G16">
        <v>385528047</v>
      </c>
      <c r="H16">
        <v>5182394</v>
      </c>
      <c r="I16">
        <v>53410</v>
      </c>
      <c r="J16">
        <v>2705997</v>
      </c>
      <c r="K16">
        <v>41200</v>
      </c>
      <c r="L16" t="s">
        <v>936</v>
      </c>
      <c r="M16" t="s">
        <v>943</v>
      </c>
    </row>
    <row r="17" spans="1:13" x14ac:dyDescent="0.3">
      <c r="A17" t="s">
        <v>964</v>
      </c>
      <c r="B17">
        <v>100</v>
      </c>
      <c r="C17">
        <v>33067539</v>
      </c>
      <c r="D17">
        <v>677664</v>
      </c>
      <c r="E17">
        <v>50</v>
      </c>
      <c r="F17">
        <v>0</v>
      </c>
      <c r="G17">
        <v>277062942</v>
      </c>
      <c r="H17">
        <v>3890627</v>
      </c>
      <c r="I17">
        <v>55933</v>
      </c>
      <c r="J17">
        <v>3037846</v>
      </c>
      <c r="K17">
        <v>33443</v>
      </c>
      <c r="L17" t="s">
        <v>936</v>
      </c>
      <c r="M17" t="s">
        <v>939</v>
      </c>
    </row>
    <row r="18" spans="1:13" x14ac:dyDescent="0.3">
      <c r="A18" t="s">
        <v>853</v>
      </c>
      <c r="B18">
        <v>141</v>
      </c>
      <c r="C18">
        <v>30540693</v>
      </c>
      <c r="D18">
        <v>574920</v>
      </c>
      <c r="E18">
        <v>101</v>
      </c>
      <c r="F18">
        <v>0</v>
      </c>
      <c r="G18">
        <v>207124637</v>
      </c>
      <c r="H18">
        <v>2455402</v>
      </c>
      <c r="I18">
        <v>36410</v>
      </c>
      <c r="J18">
        <v>53580116</v>
      </c>
      <c r="K18">
        <v>33013</v>
      </c>
      <c r="L18" t="s">
        <v>936</v>
      </c>
      <c r="M18" t="s">
        <v>943</v>
      </c>
    </row>
    <row r="19" spans="1:13" x14ac:dyDescent="0.3">
      <c r="A19" t="s">
        <v>938</v>
      </c>
      <c r="B19">
        <v>4</v>
      </c>
      <c r="C19">
        <v>76047130</v>
      </c>
      <c r="D19">
        <v>1260665</v>
      </c>
      <c r="E19">
        <v>703</v>
      </c>
      <c r="F19">
        <v>0</v>
      </c>
      <c r="G19">
        <v>612560519</v>
      </c>
      <c r="H19">
        <v>8701474</v>
      </c>
      <c r="I19">
        <v>36141</v>
      </c>
      <c r="J19">
        <v>3237273</v>
      </c>
      <c r="K19">
        <v>45180</v>
      </c>
      <c r="L19" t="s">
        <v>936</v>
      </c>
      <c r="M19" t="s">
        <v>939</v>
      </c>
    </row>
    <row r="20" spans="1:13" x14ac:dyDescent="0.3">
      <c r="A20" t="s">
        <v>743</v>
      </c>
      <c r="B20">
        <v>5</v>
      </c>
      <c r="C20">
        <v>70857540</v>
      </c>
      <c r="D20">
        <v>1201897</v>
      </c>
      <c r="E20">
        <v>4798</v>
      </c>
      <c r="F20">
        <v>0</v>
      </c>
      <c r="G20">
        <v>560316880</v>
      </c>
      <c r="H20">
        <v>8539906</v>
      </c>
      <c r="I20">
        <v>59275</v>
      </c>
      <c r="J20">
        <v>2727930</v>
      </c>
      <c r="K20">
        <v>42870</v>
      </c>
      <c r="L20" t="s">
        <v>936</v>
      </c>
      <c r="M20" t="s">
        <v>940</v>
      </c>
    </row>
    <row r="21" spans="1:13" x14ac:dyDescent="0.3">
      <c r="A21" t="s">
        <v>760</v>
      </c>
      <c r="B21">
        <v>23</v>
      </c>
      <c r="C21">
        <v>66242022</v>
      </c>
      <c r="D21">
        <v>888179</v>
      </c>
      <c r="E21">
        <v>0</v>
      </c>
      <c r="F21">
        <v>0</v>
      </c>
      <c r="G21">
        <v>686347260</v>
      </c>
      <c r="H21">
        <v>6136359</v>
      </c>
      <c r="I21">
        <v>35635</v>
      </c>
      <c r="J21">
        <v>4082120</v>
      </c>
      <c r="K21">
        <v>44383</v>
      </c>
      <c r="L21" t="s">
        <v>936</v>
      </c>
      <c r="M21" t="s">
        <v>940</v>
      </c>
    </row>
    <row r="22" spans="1:13" x14ac:dyDescent="0.3">
      <c r="A22" t="s">
        <v>806</v>
      </c>
      <c r="B22">
        <v>72</v>
      </c>
      <c r="C22">
        <v>62555848</v>
      </c>
      <c r="D22">
        <v>1034345</v>
      </c>
      <c r="E22">
        <v>101</v>
      </c>
      <c r="F22">
        <v>0</v>
      </c>
      <c r="G22">
        <v>470352511</v>
      </c>
      <c r="H22">
        <v>4762938</v>
      </c>
      <c r="I22">
        <v>35059</v>
      </c>
      <c r="J22">
        <v>4581119</v>
      </c>
      <c r="K22">
        <v>48523</v>
      </c>
      <c r="L22" t="s">
        <v>936</v>
      </c>
      <c r="M22" t="s">
        <v>939</v>
      </c>
    </row>
    <row r="23" spans="1:13" x14ac:dyDescent="0.3">
      <c r="A23" t="s">
        <v>598</v>
      </c>
      <c r="B23">
        <v>3</v>
      </c>
      <c r="C23">
        <v>61440747</v>
      </c>
      <c r="D23">
        <v>1230210</v>
      </c>
      <c r="E23">
        <v>1205</v>
      </c>
      <c r="F23">
        <v>0</v>
      </c>
      <c r="G23">
        <v>581408216</v>
      </c>
      <c r="H23">
        <v>8568248</v>
      </c>
      <c r="I23">
        <v>55110</v>
      </c>
      <c r="J23">
        <v>3882655</v>
      </c>
      <c r="K23">
        <v>41310</v>
      </c>
      <c r="L23" t="s">
        <v>936</v>
      </c>
      <c r="M23" t="s">
        <v>945</v>
      </c>
    </row>
    <row r="24" spans="1:13" x14ac:dyDescent="0.3">
      <c r="A24" t="s">
        <v>804</v>
      </c>
      <c r="B24">
        <v>41</v>
      </c>
      <c r="C24">
        <v>61349704</v>
      </c>
      <c r="D24">
        <v>1260681</v>
      </c>
      <c r="E24">
        <v>96</v>
      </c>
      <c r="F24">
        <v>0</v>
      </c>
      <c r="G24">
        <v>471640096</v>
      </c>
      <c r="H24">
        <v>6086780</v>
      </c>
      <c r="I24">
        <v>15407</v>
      </c>
      <c r="J24">
        <v>12260817</v>
      </c>
      <c r="K24">
        <v>39860</v>
      </c>
      <c r="L24" t="s">
        <v>936</v>
      </c>
      <c r="M24" t="s">
        <v>937</v>
      </c>
    </row>
    <row r="25" spans="1:13" x14ac:dyDescent="0.3">
      <c r="A25" t="s">
        <v>748</v>
      </c>
      <c r="B25">
        <v>16</v>
      </c>
      <c r="C25">
        <v>60342971</v>
      </c>
      <c r="D25">
        <v>910365</v>
      </c>
      <c r="E25">
        <v>0</v>
      </c>
      <c r="F25">
        <v>0</v>
      </c>
      <c r="G25">
        <v>526656845</v>
      </c>
      <c r="H25">
        <v>6563589</v>
      </c>
      <c r="I25">
        <v>29239</v>
      </c>
      <c r="J25">
        <v>2770716</v>
      </c>
      <c r="K25">
        <v>38600</v>
      </c>
      <c r="L25" t="s">
        <v>936</v>
      </c>
      <c r="M25" t="s">
        <v>937</v>
      </c>
    </row>
    <row r="26" spans="1:13" x14ac:dyDescent="0.3">
      <c r="A26" t="s">
        <v>961</v>
      </c>
      <c r="B26">
        <v>55</v>
      </c>
      <c r="C26">
        <v>59720442</v>
      </c>
      <c r="D26">
        <v>685707</v>
      </c>
      <c r="E26">
        <v>542</v>
      </c>
      <c r="F26">
        <v>0</v>
      </c>
      <c r="G26">
        <v>397603456</v>
      </c>
      <c r="H26">
        <v>5119593</v>
      </c>
      <c r="I26">
        <v>45079</v>
      </c>
      <c r="J26">
        <v>3480620</v>
      </c>
      <c r="K26">
        <v>42220</v>
      </c>
      <c r="L26" t="s">
        <v>936</v>
      </c>
      <c r="M26" t="s">
        <v>946</v>
      </c>
    </row>
    <row r="27" spans="1:13" x14ac:dyDescent="0.3">
      <c r="A27" t="s">
        <v>941</v>
      </c>
      <c r="B27">
        <v>8</v>
      </c>
      <c r="C27">
        <v>59308597</v>
      </c>
      <c r="D27">
        <v>913650</v>
      </c>
      <c r="E27">
        <v>500</v>
      </c>
      <c r="F27">
        <v>0</v>
      </c>
      <c r="G27">
        <v>541120294</v>
      </c>
      <c r="H27">
        <v>7814134</v>
      </c>
      <c r="I27">
        <v>41849</v>
      </c>
      <c r="J27">
        <v>2702688</v>
      </c>
      <c r="K27">
        <v>45210</v>
      </c>
      <c r="L27" t="s">
        <v>936</v>
      </c>
      <c r="M27" t="s">
        <v>942</v>
      </c>
    </row>
    <row r="28" spans="1:13" x14ac:dyDescent="0.3">
      <c r="A28" t="s">
        <v>780</v>
      </c>
      <c r="B28">
        <v>46</v>
      </c>
      <c r="C28">
        <v>55612887</v>
      </c>
      <c r="D28">
        <v>803856</v>
      </c>
      <c r="E28">
        <v>0</v>
      </c>
      <c r="F28">
        <v>0</v>
      </c>
      <c r="G28">
        <v>453432459</v>
      </c>
      <c r="H28">
        <v>5421978</v>
      </c>
      <c r="I28">
        <v>50577</v>
      </c>
      <c r="J28">
        <v>3385461</v>
      </c>
      <c r="K28">
        <v>39840</v>
      </c>
      <c r="L28" t="s">
        <v>936</v>
      </c>
      <c r="M28" t="s">
        <v>942</v>
      </c>
    </row>
    <row r="29" spans="1:13" x14ac:dyDescent="0.3">
      <c r="A29" t="s">
        <v>783</v>
      </c>
      <c r="B29">
        <v>33</v>
      </c>
      <c r="C29">
        <v>52149067</v>
      </c>
      <c r="D29">
        <v>1058185</v>
      </c>
      <c r="E29">
        <v>4364</v>
      </c>
      <c r="F29">
        <v>0</v>
      </c>
      <c r="G29">
        <v>417437901</v>
      </c>
      <c r="H29">
        <v>5754147</v>
      </c>
      <c r="I29">
        <v>61955</v>
      </c>
      <c r="J29">
        <v>2823608</v>
      </c>
      <c r="K29">
        <v>42033</v>
      </c>
      <c r="L29" t="s">
        <v>936</v>
      </c>
      <c r="M29" t="s">
        <v>945</v>
      </c>
    </row>
    <row r="30" spans="1:13" x14ac:dyDescent="0.3">
      <c r="A30" t="s">
        <v>600</v>
      </c>
      <c r="B30">
        <v>65</v>
      </c>
      <c r="C30">
        <v>51623188</v>
      </c>
      <c r="D30">
        <v>1075548</v>
      </c>
      <c r="E30">
        <v>50</v>
      </c>
      <c r="F30">
        <v>0</v>
      </c>
      <c r="G30">
        <v>365073505</v>
      </c>
      <c r="H30">
        <v>5218008</v>
      </c>
      <c r="I30">
        <v>30229</v>
      </c>
      <c r="J30">
        <v>6107671</v>
      </c>
      <c r="K30">
        <v>43690</v>
      </c>
      <c r="L30" t="s">
        <v>936</v>
      </c>
      <c r="M30" t="s">
        <v>945</v>
      </c>
    </row>
    <row r="31" spans="1:13" x14ac:dyDescent="0.3">
      <c r="A31" t="s">
        <v>799</v>
      </c>
      <c r="B31">
        <v>70</v>
      </c>
      <c r="C31">
        <v>51493807</v>
      </c>
      <c r="D31">
        <v>814731</v>
      </c>
      <c r="E31">
        <v>1430</v>
      </c>
      <c r="F31">
        <v>0</v>
      </c>
      <c r="G31">
        <v>550475192</v>
      </c>
      <c r="H31">
        <v>5157163</v>
      </c>
      <c r="I31">
        <v>51486</v>
      </c>
      <c r="J31">
        <v>3345422</v>
      </c>
      <c r="K31">
        <v>45580</v>
      </c>
      <c r="L31" t="s">
        <v>936</v>
      </c>
      <c r="M31" t="s">
        <v>940</v>
      </c>
    </row>
    <row r="32" spans="1:13" x14ac:dyDescent="0.3">
      <c r="A32" t="s">
        <v>786</v>
      </c>
      <c r="B32">
        <v>49</v>
      </c>
      <c r="C32">
        <v>51343911</v>
      </c>
      <c r="D32">
        <v>809200</v>
      </c>
      <c r="E32">
        <v>18601</v>
      </c>
      <c r="F32">
        <v>0</v>
      </c>
      <c r="G32">
        <v>454387459</v>
      </c>
      <c r="H32">
        <v>5450731</v>
      </c>
      <c r="I32">
        <v>100276</v>
      </c>
      <c r="J32">
        <v>2065216</v>
      </c>
      <c r="K32">
        <v>38173</v>
      </c>
      <c r="L32" t="s">
        <v>936</v>
      </c>
      <c r="M32" t="s">
        <v>940</v>
      </c>
    </row>
    <row r="33" spans="1:13" x14ac:dyDescent="0.3">
      <c r="A33" t="s">
        <v>784</v>
      </c>
      <c r="B33">
        <v>38</v>
      </c>
      <c r="C33">
        <v>51252884</v>
      </c>
      <c r="D33">
        <v>954807</v>
      </c>
      <c r="E33">
        <v>303</v>
      </c>
      <c r="F33">
        <v>0</v>
      </c>
      <c r="G33">
        <v>429769701</v>
      </c>
      <c r="H33">
        <v>5649023</v>
      </c>
      <c r="I33">
        <v>69423</v>
      </c>
      <c r="J33">
        <v>5913914</v>
      </c>
      <c r="K33">
        <v>43090</v>
      </c>
      <c r="L33" t="s">
        <v>936</v>
      </c>
      <c r="M33" t="s">
        <v>942</v>
      </c>
    </row>
    <row r="34" spans="1:13" x14ac:dyDescent="0.3">
      <c r="A34" t="s">
        <v>761</v>
      </c>
      <c r="B34">
        <v>25</v>
      </c>
      <c r="C34">
        <v>51232746</v>
      </c>
      <c r="D34">
        <v>1092369</v>
      </c>
      <c r="E34">
        <v>5497</v>
      </c>
      <c r="F34">
        <v>0</v>
      </c>
      <c r="G34">
        <v>468938102</v>
      </c>
      <c r="H34">
        <v>6556975</v>
      </c>
      <c r="I34">
        <v>69620</v>
      </c>
      <c r="J34">
        <v>5426407</v>
      </c>
      <c r="K34">
        <v>41550</v>
      </c>
      <c r="L34" t="s">
        <v>936</v>
      </c>
      <c r="M34" t="s">
        <v>945</v>
      </c>
    </row>
    <row r="35" spans="1:13" x14ac:dyDescent="0.3">
      <c r="A35" t="s">
        <v>808</v>
      </c>
      <c r="B35">
        <v>80</v>
      </c>
      <c r="C35">
        <v>49908926</v>
      </c>
      <c r="D35">
        <v>624685</v>
      </c>
      <c r="E35">
        <v>540</v>
      </c>
      <c r="F35">
        <v>0</v>
      </c>
      <c r="G35">
        <v>395773219</v>
      </c>
      <c r="H35">
        <v>4860000</v>
      </c>
      <c r="I35">
        <v>31829</v>
      </c>
      <c r="J35">
        <v>3174407</v>
      </c>
      <c r="K35">
        <v>35533</v>
      </c>
      <c r="L35" t="s">
        <v>936</v>
      </c>
      <c r="M35" t="s">
        <v>946</v>
      </c>
    </row>
    <row r="36" spans="1:13" x14ac:dyDescent="0.3">
      <c r="A36" t="s">
        <v>801</v>
      </c>
      <c r="B36">
        <v>78</v>
      </c>
      <c r="C36">
        <v>48622543</v>
      </c>
      <c r="D36">
        <v>766396</v>
      </c>
      <c r="E36">
        <v>385</v>
      </c>
      <c r="F36">
        <v>0</v>
      </c>
      <c r="G36">
        <v>386107703</v>
      </c>
      <c r="H36">
        <v>5055456</v>
      </c>
      <c r="I36">
        <v>44993</v>
      </c>
      <c r="J36">
        <v>5367439</v>
      </c>
      <c r="K36">
        <v>42960</v>
      </c>
      <c r="L36" t="s">
        <v>936</v>
      </c>
      <c r="M36" t="s">
        <v>944</v>
      </c>
    </row>
    <row r="37" spans="1:13" x14ac:dyDescent="0.3">
      <c r="A37" t="s">
        <v>845</v>
      </c>
      <c r="B37">
        <v>131</v>
      </c>
      <c r="C37">
        <v>48162602</v>
      </c>
      <c r="D37">
        <v>358642</v>
      </c>
      <c r="E37">
        <v>1250</v>
      </c>
      <c r="F37">
        <v>0</v>
      </c>
      <c r="G37">
        <v>328370060</v>
      </c>
      <c r="H37">
        <v>2882177</v>
      </c>
      <c r="I37">
        <v>36855</v>
      </c>
      <c r="J37">
        <v>20487871</v>
      </c>
      <c r="K37">
        <v>39820</v>
      </c>
      <c r="L37" t="s">
        <v>936</v>
      </c>
      <c r="M37" t="s">
        <v>944</v>
      </c>
    </row>
    <row r="38" spans="1:13" x14ac:dyDescent="0.3">
      <c r="A38" t="s">
        <v>759</v>
      </c>
      <c r="B38">
        <v>26</v>
      </c>
      <c r="C38">
        <v>47966135</v>
      </c>
      <c r="D38">
        <v>933979</v>
      </c>
      <c r="E38">
        <v>10800</v>
      </c>
      <c r="F38">
        <v>0</v>
      </c>
      <c r="G38">
        <v>449724613</v>
      </c>
      <c r="H38">
        <v>6107995</v>
      </c>
      <c r="I38">
        <v>78689</v>
      </c>
      <c r="J38">
        <v>3467961</v>
      </c>
      <c r="K38">
        <v>47310</v>
      </c>
      <c r="L38" t="s">
        <v>936</v>
      </c>
      <c r="M38" t="s">
        <v>946</v>
      </c>
    </row>
    <row r="39" spans="1:13" x14ac:dyDescent="0.3">
      <c r="A39" t="s">
        <v>771</v>
      </c>
      <c r="B39">
        <v>40</v>
      </c>
      <c r="C39">
        <v>47793087</v>
      </c>
      <c r="D39">
        <v>771841</v>
      </c>
      <c r="E39">
        <v>50</v>
      </c>
      <c r="F39">
        <v>0</v>
      </c>
      <c r="G39">
        <v>368380540</v>
      </c>
      <c r="H39">
        <v>5400397</v>
      </c>
      <c r="I39">
        <v>48351</v>
      </c>
      <c r="J39">
        <v>3978341</v>
      </c>
      <c r="K39">
        <v>28526</v>
      </c>
      <c r="L39" t="s">
        <v>936</v>
      </c>
      <c r="M39" t="s">
        <v>939</v>
      </c>
    </row>
    <row r="40" spans="1:13" x14ac:dyDescent="0.3">
      <c r="A40" t="s">
        <v>809</v>
      </c>
      <c r="B40">
        <v>89</v>
      </c>
      <c r="C40">
        <v>47772210</v>
      </c>
      <c r="D40">
        <v>692257</v>
      </c>
      <c r="E40">
        <v>151</v>
      </c>
      <c r="F40">
        <v>0</v>
      </c>
      <c r="G40">
        <v>354388023</v>
      </c>
      <c r="H40">
        <v>4145210</v>
      </c>
      <c r="I40">
        <v>49283</v>
      </c>
      <c r="J40">
        <v>5987927</v>
      </c>
      <c r="K40">
        <v>43140</v>
      </c>
      <c r="L40" t="s">
        <v>936</v>
      </c>
      <c r="M40" t="s">
        <v>939</v>
      </c>
    </row>
    <row r="41" spans="1:13" x14ac:dyDescent="0.3">
      <c r="A41" t="s">
        <v>814</v>
      </c>
      <c r="B41">
        <v>83</v>
      </c>
      <c r="C41">
        <v>46701420</v>
      </c>
      <c r="D41">
        <v>850977</v>
      </c>
      <c r="E41">
        <v>350</v>
      </c>
      <c r="F41">
        <v>0</v>
      </c>
      <c r="G41">
        <v>361540839</v>
      </c>
      <c r="H41">
        <v>4543173</v>
      </c>
      <c r="I41">
        <v>37852</v>
      </c>
      <c r="J41">
        <v>6353831</v>
      </c>
      <c r="K41">
        <v>42100</v>
      </c>
      <c r="L41" t="s">
        <v>936</v>
      </c>
      <c r="M41" t="s">
        <v>940</v>
      </c>
    </row>
    <row r="42" spans="1:13" x14ac:dyDescent="0.3">
      <c r="A42" t="s">
        <v>599</v>
      </c>
      <c r="B42">
        <v>17</v>
      </c>
      <c r="C42">
        <v>46514900</v>
      </c>
      <c r="D42">
        <v>978479</v>
      </c>
      <c r="E42">
        <v>298</v>
      </c>
      <c r="F42">
        <v>0</v>
      </c>
      <c r="G42">
        <v>472985646</v>
      </c>
      <c r="H42">
        <v>6790660</v>
      </c>
      <c r="I42">
        <v>43789</v>
      </c>
      <c r="J42">
        <v>2707023</v>
      </c>
      <c r="K42">
        <v>42370</v>
      </c>
      <c r="L42" t="s">
        <v>936</v>
      </c>
      <c r="M42" t="s">
        <v>945</v>
      </c>
    </row>
    <row r="43" spans="1:13" x14ac:dyDescent="0.3">
      <c r="A43" t="s">
        <v>757</v>
      </c>
      <c r="B43">
        <v>22</v>
      </c>
      <c r="C43">
        <v>46431912</v>
      </c>
      <c r="D43">
        <v>940612</v>
      </c>
      <c r="E43">
        <v>0</v>
      </c>
      <c r="F43">
        <v>0</v>
      </c>
      <c r="G43">
        <v>426288866</v>
      </c>
      <c r="H43">
        <v>6356734</v>
      </c>
      <c r="I43">
        <v>37588</v>
      </c>
      <c r="J43">
        <v>2782290</v>
      </c>
      <c r="K43">
        <v>37800</v>
      </c>
      <c r="L43" t="s">
        <v>936</v>
      </c>
      <c r="M43" t="s">
        <v>942</v>
      </c>
    </row>
    <row r="44" spans="1:13" x14ac:dyDescent="0.3">
      <c r="A44" t="s">
        <v>758</v>
      </c>
      <c r="B44">
        <v>20</v>
      </c>
      <c r="C44">
        <v>46352473</v>
      </c>
      <c r="D44">
        <v>924726</v>
      </c>
      <c r="E44">
        <v>246</v>
      </c>
      <c r="F44">
        <v>0</v>
      </c>
      <c r="G44">
        <v>449142161</v>
      </c>
      <c r="H44">
        <v>6512270</v>
      </c>
      <c r="I44">
        <v>47340</v>
      </c>
      <c r="J44">
        <v>2705074</v>
      </c>
      <c r="K44">
        <v>40543</v>
      </c>
      <c r="L44" t="s">
        <v>936</v>
      </c>
      <c r="M44" t="s">
        <v>939</v>
      </c>
    </row>
    <row r="45" spans="1:13" x14ac:dyDescent="0.3">
      <c r="A45" t="s">
        <v>777</v>
      </c>
      <c r="B45">
        <v>43</v>
      </c>
      <c r="C45">
        <v>46169186</v>
      </c>
      <c r="D45">
        <v>897969</v>
      </c>
      <c r="E45">
        <v>11250</v>
      </c>
      <c r="F45">
        <v>0</v>
      </c>
      <c r="G45">
        <v>364503948</v>
      </c>
      <c r="H45">
        <v>5366738</v>
      </c>
      <c r="I45">
        <v>107642</v>
      </c>
      <c r="J45">
        <v>5085296</v>
      </c>
      <c r="K45">
        <v>37633</v>
      </c>
      <c r="L45" t="s">
        <v>936</v>
      </c>
      <c r="M45" t="s">
        <v>940</v>
      </c>
    </row>
    <row r="46" spans="1:13" x14ac:dyDescent="0.3">
      <c r="A46" t="s">
        <v>841</v>
      </c>
      <c r="B46">
        <v>130</v>
      </c>
      <c r="C46">
        <v>46040501</v>
      </c>
      <c r="D46">
        <v>524575</v>
      </c>
      <c r="E46">
        <v>22293</v>
      </c>
      <c r="F46">
        <v>0</v>
      </c>
      <c r="G46">
        <v>228402173</v>
      </c>
      <c r="H46">
        <v>3017868</v>
      </c>
      <c r="I46">
        <v>101796</v>
      </c>
      <c r="J46">
        <v>37062837</v>
      </c>
      <c r="K46">
        <v>30190</v>
      </c>
      <c r="L46" t="s">
        <v>936</v>
      </c>
      <c r="M46" t="s">
        <v>945</v>
      </c>
    </row>
    <row r="47" spans="1:13" x14ac:dyDescent="0.3">
      <c r="A47" t="s">
        <v>773</v>
      </c>
      <c r="B47">
        <v>39</v>
      </c>
      <c r="C47">
        <v>45990431</v>
      </c>
      <c r="D47">
        <v>871190</v>
      </c>
      <c r="E47">
        <v>505</v>
      </c>
      <c r="F47">
        <v>0</v>
      </c>
      <c r="G47">
        <v>407435588</v>
      </c>
      <c r="H47">
        <v>5740226</v>
      </c>
      <c r="I47">
        <v>63939</v>
      </c>
      <c r="J47">
        <v>3727713</v>
      </c>
      <c r="K47">
        <v>44106</v>
      </c>
      <c r="L47" t="s">
        <v>936</v>
      </c>
      <c r="M47" t="s">
        <v>946</v>
      </c>
    </row>
    <row r="48" spans="1:13" x14ac:dyDescent="0.3">
      <c r="A48" t="s">
        <v>812</v>
      </c>
      <c r="B48">
        <v>77</v>
      </c>
      <c r="C48">
        <v>45896823</v>
      </c>
      <c r="D48">
        <v>945807</v>
      </c>
      <c r="E48">
        <v>303</v>
      </c>
      <c r="F48">
        <v>309045</v>
      </c>
      <c r="G48">
        <v>367547207</v>
      </c>
      <c r="H48">
        <v>5212020</v>
      </c>
      <c r="I48">
        <v>5276</v>
      </c>
      <c r="J48">
        <v>10898566</v>
      </c>
      <c r="K48">
        <v>43200</v>
      </c>
      <c r="L48" t="s">
        <v>936</v>
      </c>
      <c r="M48" t="s">
        <v>940</v>
      </c>
    </row>
    <row r="49" spans="1:13" x14ac:dyDescent="0.3">
      <c r="A49" t="s">
        <v>947</v>
      </c>
      <c r="B49">
        <v>51</v>
      </c>
      <c r="C49">
        <v>45804279</v>
      </c>
      <c r="D49">
        <v>936115</v>
      </c>
      <c r="E49">
        <v>303</v>
      </c>
      <c r="F49">
        <v>0</v>
      </c>
      <c r="G49">
        <v>406030221</v>
      </c>
      <c r="H49">
        <v>5542631</v>
      </c>
      <c r="I49">
        <v>45494</v>
      </c>
      <c r="J49">
        <v>9110940</v>
      </c>
      <c r="K49">
        <v>42370</v>
      </c>
      <c r="L49" t="s">
        <v>936</v>
      </c>
      <c r="M49" t="s">
        <v>939</v>
      </c>
    </row>
    <row r="50" spans="1:13" x14ac:dyDescent="0.3">
      <c r="A50" t="s">
        <v>776</v>
      </c>
      <c r="B50">
        <v>36</v>
      </c>
      <c r="C50">
        <v>45677500</v>
      </c>
      <c r="D50">
        <v>949191</v>
      </c>
      <c r="E50">
        <v>0</v>
      </c>
      <c r="F50">
        <v>0</v>
      </c>
      <c r="G50">
        <v>415520079</v>
      </c>
      <c r="H50">
        <v>5812361</v>
      </c>
      <c r="I50">
        <v>31461</v>
      </c>
      <c r="J50">
        <v>19401162</v>
      </c>
      <c r="K50">
        <v>42890</v>
      </c>
      <c r="L50" t="s">
        <v>936</v>
      </c>
      <c r="M50" t="s">
        <v>939</v>
      </c>
    </row>
    <row r="51" spans="1:13" x14ac:dyDescent="0.3">
      <c r="A51" t="s">
        <v>765</v>
      </c>
      <c r="B51">
        <v>29</v>
      </c>
      <c r="C51">
        <v>45605311</v>
      </c>
      <c r="D51">
        <v>910213</v>
      </c>
      <c r="E51">
        <v>2700</v>
      </c>
      <c r="F51">
        <v>384740</v>
      </c>
      <c r="G51">
        <v>444822455</v>
      </c>
      <c r="H51">
        <v>6053436</v>
      </c>
      <c r="I51">
        <v>80924</v>
      </c>
      <c r="J51">
        <v>3848650</v>
      </c>
      <c r="K51">
        <v>42520</v>
      </c>
      <c r="L51" t="s">
        <v>936</v>
      </c>
      <c r="M51" t="s">
        <v>946</v>
      </c>
    </row>
    <row r="52" spans="1:13" x14ac:dyDescent="0.3">
      <c r="A52" t="s">
        <v>859</v>
      </c>
      <c r="B52">
        <v>140</v>
      </c>
      <c r="C52">
        <v>45594740</v>
      </c>
      <c r="D52">
        <v>535062</v>
      </c>
      <c r="E52">
        <v>18065</v>
      </c>
      <c r="F52">
        <v>0</v>
      </c>
      <c r="G52">
        <v>321627659</v>
      </c>
      <c r="H52">
        <v>2855032</v>
      </c>
      <c r="I52">
        <v>46624</v>
      </c>
      <c r="J52">
        <v>5374699</v>
      </c>
      <c r="K52">
        <v>40880</v>
      </c>
      <c r="L52" t="s">
        <v>936</v>
      </c>
      <c r="M52" t="s">
        <v>962</v>
      </c>
    </row>
    <row r="53" spans="1:13" x14ac:dyDescent="0.3">
      <c r="A53" t="s">
        <v>849</v>
      </c>
      <c r="B53">
        <v>134</v>
      </c>
      <c r="C53">
        <v>44641370</v>
      </c>
      <c r="D53">
        <v>523503</v>
      </c>
      <c r="E53">
        <v>0</v>
      </c>
      <c r="F53">
        <v>0</v>
      </c>
      <c r="G53">
        <v>408501061</v>
      </c>
      <c r="H53">
        <v>2865387</v>
      </c>
      <c r="I53">
        <v>19742</v>
      </c>
      <c r="J53">
        <v>4192603</v>
      </c>
      <c r="K53">
        <v>36930</v>
      </c>
      <c r="L53" t="s">
        <v>936</v>
      </c>
      <c r="M53" t="s">
        <v>937</v>
      </c>
    </row>
    <row r="54" spans="1:13" x14ac:dyDescent="0.3">
      <c r="A54" t="s">
        <v>749</v>
      </c>
      <c r="B54">
        <v>14</v>
      </c>
      <c r="C54">
        <v>44201633</v>
      </c>
      <c r="D54">
        <v>876985</v>
      </c>
      <c r="E54">
        <v>547</v>
      </c>
      <c r="F54">
        <v>0</v>
      </c>
      <c r="G54">
        <v>473643872</v>
      </c>
      <c r="H54">
        <v>6646870</v>
      </c>
      <c r="I54">
        <v>44915</v>
      </c>
      <c r="J54">
        <v>3448225</v>
      </c>
      <c r="K54">
        <v>46250</v>
      </c>
      <c r="L54" t="s">
        <v>936</v>
      </c>
      <c r="M54" t="s">
        <v>940</v>
      </c>
    </row>
    <row r="55" spans="1:13" x14ac:dyDescent="0.3">
      <c r="A55" t="s">
        <v>772</v>
      </c>
      <c r="B55">
        <v>34</v>
      </c>
      <c r="C55">
        <v>44054241</v>
      </c>
      <c r="D55">
        <v>900640</v>
      </c>
      <c r="E55">
        <v>522</v>
      </c>
      <c r="F55">
        <v>0</v>
      </c>
      <c r="G55">
        <v>415630543</v>
      </c>
      <c r="H55">
        <v>5689661</v>
      </c>
      <c r="I55">
        <v>62925</v>
      </c>
      <c r="J55">
        <v>2504414</v>
      </c>
      <c r="K55">
        <v>39043</v>
      </c>
      <c r="L55" t="s">
        <v>936</v>
      </c>
      <c r="M55" t="s">
        <v>946</v>
      </c>
    </row>
    <row r="56" spans="1:13" x14ac:dyDescent="0.3">
      <c r="A56" t="s">
        <v>755</v>
      </c>
      <c r="B56">
        <v>18</v>
      </c>
      <c r="C56">
        <v>43795860</v>
      </c>
      <c r="D56">
        <v>872661</v>
      </c>
      <c r="E56">
        <v>17752</v>
      </c>
      <c r="F56">
        <v>0</v>
      </c>
      <c r="G56">
        <v>471128162</v>
      </c>
      <c r="H56">
        <v>6573441</v>
      </c>
      <c r="I56">
        <v>142274</v>
      </c>
      <c r="J56">
        <v>6912971</v>
      </c>
      <c r="K56">
        <v>40410</v>
      </c>
      <c r="L56" t="s">
        <v>936</v>
      </c>
      <c r="M56" t="s">
        <v>940</v>
      </c>
    </row>
    <row r="57" spans="1:13" x14ac:dyDescent="0.3">
      <c r="A57" t="s">
        <v>763</v>
      </c>
      <c r="B57">
        <v>28</v>
      </c>
      <c r="C57">
        <v>43340002</v>
      </c>
      <c r="D57">
        <v>852062</v>
      </c>
      <c r="E57">
        <v>77</v>
      </c>
      <c r="F57">
        <v>0</v>
      </c>
      <c r="G57">
        <v>369233234</v>
      </c>
      <c r="H57">
        <v>5647398</v>
      </c>
      <c r="I57">
        <v>43971</v>
      </c>
      <c r="J57">
        <v>2990195</v>
      </c>
      <c r="K57">
        <v>37280</v>
      </c>
      <c r="L57" t="s">
        <v>936</v>
      </c>
      <c r="M57" t="s">
        <v>940</v>
      </c>
    </row>
    <row r="58" spans="1:13" x14ac:dyDescent="0.3">
      <c r="A58" t="s">
        <v>949</v>
      </c>
      <c r="B58">
        <v>30</v>
      </c>
      <c r="C58">
        <v>43225442</v>
      </c>
      <c r="D58">
        <v>933383</v>
      </c>
      <c r="E58">
        <v>0</v>
      </c>
      <c r="F58">
        <v>0</v>
      </c>
      <c r="G58">
        <v>394396142</v>
      </c>
      <c r="H58">
        <v>6032936</v>
      </c>
      <c r="I58">
        <v>61840</v>
      </c>
      <c r="J58">
        <v>3815296</v>
      </c>
      <c r="K58">
        <v>39300</v>
      </c>
      <c r="L58" t="s">
        <v>936</v>
      </c>
      <c r="M58" t="s">
        <v>945</v>
      </c>
    </row>
    <row r="59" spans="1:13" x14ac:dyDescent="0.3">
      <c r="A59" t="s">
        <v>955</v>
      </c>
      <c r="B59">
        <v>45</v>
      </c>
      <c r="C59">
        <v>42128809</v>
      </c>
      <c r="D59">
        <v>894660</v>
      </c>
      <c r="E59">
        <v>300</v>
      </c>
      <c r="F59">
        <v>0</v>
      </c>
      <c r="G59">
        <v>422887086</v>
      </c>
      <c r="H59">
        <v>5562507</v>
      </c>
      <c r="I59">
        <v>58262</v>
      </c>
      <c r="J59">
        <v>2743373</v>
      </c>
      <c r="K59">
        <v>42303</v>
      </c>
      <c r="L59" t="s">
        <v>936</v>
      </c>
      <c r="M59" t="s">
        <v>939</v>
      </c>
    </row>
    <row r="60" spans="1:13" x14ac:dyDescent="0.3">
      <c r="A60" t="s">
        <v>778</v>
      </c>
      <c r="B60">
        <v>50</v>
      </c>
      <c r="C60">
        <v>42080076</v>
      </c>
      <c r="D60">
        <v>777634</v>
      </c>
      <c r="E60">
        <v>1634</v>
      </c>
      <c r="F60">
        <v>0</v>
      </c>
      <c r="G60">
        <v>457132842</v>
      </c>
      <c r="H60">
        <v>5124473</v>
      </c>
      <c r="I60">
        <v>48592</v>
      </c>
      <c r="J60">
        <v>2712776</v>
      </c>
      <c r="K60">
        <v>38930</v>
      </c>
      <c r="L60" t="s">
        <v>936</v>
      </c>
      <c r="M60" t="s">
        <v>937</v>
      </c>
    </row>
    <row r="61" spans="1:13" x14ac:dyDescent="0.3">
      <c r="A61" t="s">
        <v>805</v>
      </c>
      <c r="B61">
        <v>68</v>
      </c>
      <c r="C61">
        <v>41976059</v>
      </c>
      <c r="D61">
        <v>876789</v>
      </c>
      <c r="E61">
        <v>2367</v>
      </c>
      <c r="F61">
        <v>0</v>
      </c>
      <c r="G61">
        <v>396690399</v>
      </c>
      <c r="H61">
        <v>5250328</v>
      </c>
      <c r="I61">
        <v>32645</v>
      </c>
      <c r="J61">
        <v>3701831</v>
      </c>
      <c r="K61">
        <v>41010</v>
      </c>
      <c r="L61" t="s">
        <v>936</v>
      </c>
      <c r="M61" t="s">
        <v>940</v>
      </c>
    </row>
    <row r="62" spans="1:13" x14ac:dyDescent="0.3">
      <c r="A62" t="s">
        <v>800</v>
      </c>
      <c r="B62">
        <v>61</v>
      </c>
      <c r="C62">
        <v>41929421</v>
      </c>
      <c r="D62">
        <v>807909</v>
      </c>
      <c r="E62">
        <v>303</v>
      </c>
      <c r="F62">
        <v>0</v>
      </c>
      <c r="G62">
        <v>375012414</v>
      </c>
      <c r="H62">
        <v>5180756</v>
      </c>
      <c r="I62">
        <v>128138</v>
      </c>
      <c r="J62">
        <v>6872085</v>
      </c>
      <c r="K62">
        <v>39860</v>
      </c>
      <c r="L62" t="s">
        <v>936</v>
      </c>
      <c r="M62" t="s">
        <v>945</v>
      </c>
    </row>
    <row r="63" spans="1:13" x14ac:dyDescent="0.3">
      <c r="A63" t="s">
        <v>774</v>
      </c>
      <c r="B63">
        <v>35</v>
      </c>
      <c r="C63">
        <v>41825707</v>
      </c>
      <c r="D63">
        <v>826903</v>
      </c>
      <c r="E63">
        <v>0</v>
      </c>
      <c r="F63">
        <v>0</v>
      </c>
      <c r="G63">
        <v>412766514</v>
      </c>
      <c r="H63">
        <v>5558715</v>
      </c>
      <c r="I63">
        <v>32608</v>
      </c>
      <c r="J63">
        <v>4422108</v>
      </c>
      <c r="K63">
        <v>38226</v>
      </c>
      <c r="L63" t="s">
        <v>936</v>
      </c>
      <c r="M63" t="s">
        <v>946</v>
      </c>
    </row>
    <row r="64" spans="1:13" x14ac:dyDescent="0.3">
      <c r="A64" t="s">
        <v>793</v>
      </c>
      <c r="B64">
        <v>54</v>
      </c>
      <c r="C64">
        <v>41657879</v>
      </c>
      <c r="D64">
        <v>866273</v>
      </c>
      <c r="E64">
        <v>120</v>
      </c>
      <c r="F64">
        <v>0</v>
      </c>
      <c r="G64">
        <v>392260559</v>
      </c>
      <c r="H64">
        <v>5304429</v>
      </c>
      <c r="I64">
        <v>44452</v>
      </c>
      <c r="J64">
        <v>3522751</v>
      </c>
      <c r="K64">
        <v>39940</v>
      </c>
      <c r="L64" t="s">
        <v>936</v>
      </c>
      <c r="M64" t="s">
        <v>937</v>
      </c>
    </row>
    <row r="65" spans="1:13" x14ac:dyDescent="0.3">
      <c r="A65" t="s">
        <v>769</v>
      </c>
      <c r="B65">
        <v>37</v>
      </c>
      <c r="C65">
        <v>41592014</v>
      </c>
      <c r="D65">
        <v>874630</v>
      </c>
      <c r="E65">
        <v>852</v>
      </c>
      <c r="F65">
        <v>0</v>
      </c>
      <c r="G65">
        <v>382161558</v>
      </c>
      <c r="H65">
        <v>5808278</v>
      </c>
      <c r="I65">
        <v>46577</v>
      </c>
      <c r="J65">
        <v>3310084</v>
      </c>
      <c r="K65">
        <v>41630</v>
      </c>
      <c r="L65" t="s">
        <v>936</v>
      </c>
      <c r="M65" t="s">
        <v>939</v>
      </c>
    </row>
    <row r="66" spans="1:13" x14ac:dyDescent="0.3">
      <c r="A66" t="s">
        <v>976</v>
      </c>
      <c r="B66">
        <v>102</v>
      </c>
      <c r="C66">
        <v>41020698</v>
      </c>
      <c r="D66">
        <v>670343</v>
      </c>
      <c r="E66">
        <v>1600</v>
      </c>
      <c r="F66">
        <v>0</v>
      </c>
      <c r="G66">
        <v>306568083</v>
      </c>
      <c r="H66">
        <v>3990395</v>
      </c>
      <c r="I66">
        <v>20122</v>
      </c>
      <c r="J66">
        <v>8905273</v>
      </c>
      <c r="K66">
        <v>39620</v>
      </c>
      <c r="L66" t="s">
        <v>936</v>
      </c>
      <c r="M66" t="s">
        <v>942</v>
      </c>
    </row>
    <row r="67" spans="1:13" x14ac:dyDescent="0.3">
      <c r="A67" t="s">
        <v>950</v>
      </c>
      <c r="B67">
        <v>66</v>
      </c>
      <c r="C67">
        <v>40594192</v>
      </c>
      <c r="D67">
        <v>871154</v>
      </c>
      <c r="E67">
        <v>398</v>
      </c>
      <c r="F67">
        <v>0</v>
      </c>
      <c r="G67">
        <v>390349272</v>
      </c>
      <c r="H67">
        <v>5351725</v>
      </c>
      <c r="I67">
        <v>35737</v>
      </c>
      <c r="J67">
        <v>3348287</v>
      </c>
      <c r="K67">
        <v>37603</v>
      </c>
      <c r="L67" t="s">
        <v>936</v>
      </c>
      <c r="M67" t="s">
        <v>942</v>
      </c>
    </row>
    <row r="68" spans="1:13" x14ac:dyDescent="0.3">
      <c r="A68" t="s">
        <v>770</v>
      </c>
      <c r="B68">
        <v>31</v>
      </c>
      <c r="C68">
        <v>40505015</v>
      </c>
      <c r="D68">
        <v>811400</v>
      </c>
      <c r="E68">
        <v>8745</v>
      </c>
      <c r="F68">
        <v>0</v>
      </c>
      <c r="G68">
        <v>437390271</v>
      </c>
      <c r="H68">
        <v>5586426</v>
      </c>
      <c r="I68">
        <v>76749</v>
      </c>
      <c r="J68">
        <v>2702575</v>
      </c>
      <c r="K68">
        <v>39513</v>
      </c>
      <c r="L68" t="s">
        <v>936</v>
      </c>
      <c r="M68" t="s">
        <v>940</v>
      </c>
    </row>
    <row r="69" spans="1:13" x14ac:dyDescent="0.3">
      <c r="A69" t="s">
        <v>874</v>
      </c>
      <c r="B69">
        <v>166</v>
      </c>
      <c r="C69">
        <v>40442032</v>
      </c>
      <c r="D69">
        <v>357757</v>
      </c>
      <c r="E69">
        <v>10839</v>
      </c>
      <c r="F69">
        <v>0</v>
      </c>
      <c r="G69">
        <v>254052314</v>
      </c>
      <c r="H69">
        <v>1883717</v>
      </c>
      <c r="I69">
        <v>20202</v>
      </c>
      <c r="J69">
        <v>8549159</v>
      </c>
      <c r="K69">
        <v>39975</v>
      </c>
      <c r="L69" t="s">
        <v>936</v>
      </c>
      <c r="M69" t="s">
        <v>937</v>
      </c>
    </row>
    <row r="70" spans="1:13" x14ac:dyDescent="0.3">
      <c r="A70" t="s">
        <v>803</v>
      </c>
      <c r="B70">
        <v>69</v>
      </c>
      <c r="C70">
        <v>40279055</v>
      </c>
      <c r="D70">
        <v>842658</v>
      </c>
      <c r="E70">
        <v>0</v>
      </c>
      <c r="F70">
        <v>0</v>
      </c>
      <c r="G70">
        <v>354068778</v>
      </c>
      <c r="H70">
        <v>5088072</v>
      </c>
      <c r="I70">
        <v>47397</v>
      </c>
      <c r="J70">
        <v>52282692</v>
      </c>
      <c r="K70">
        <v>42030</v>
      </c>
      <c r="L70" t="s">
        <v>936</v>
      </c>
      <c r="M70" t="s">
        <v>939</v>
      </c>
    </row>
    <row r="71" spans="1:13" x14ac:dyDescent="0.3">
      <c r="A71" t="s">
        <v>948</v>
      </c>
      <c r="B71">
        <v>79</v>
      </c>
      <c r="C71">
        <v>40143507</v>
      </c>
      <c r="D71">
        <v>850844</v>
      </c>
      <c r="E71">
        <v>1010</v>
      </c>
      <c r="F71">
        <v>0</v>
      </c>
      <c r="G71">
        <v>373376129</v>
      </c>
      <c r="H71">
        <v>4927448</v>
      </c>
      <c r="I71">
        <v>60874</v>
      </c>
      <c r="J71">
        <v>3007799</v>
      </c>
      <c r="K71">
        <v>40176</v>
      </c>
      <c r="L71" t="s">
        <v>936</v>
      </c>
      <c r="M71" t="s">
        <v>942</v>
      </c>
    </row>
    <row r="72" spans="1:13" x14ac:dyDescent="0.3">
      <c r="A72" t="s">
        <v>775</v>
      </c>
      <c r="B72">
        <v>48</v>
      </c>
      <c r="C72">
        <v>38995219</v>
      </c>
      <c r="D72">
        <v>797903</v>
      </c>
      <c r="E72">
        <v>0</v>
      </c>
      <c r="F72">
        <v>816743</v>
      </c>
      <c r="G72">
        <v>346129624</v>
      </c>
      <c r="H72">
        <v>5315349</v>
      </c>
      <c r="I72">
        <v>49560</v>
      </c>
      <c r="J72">
        <v>4223435</v>
      </c>
      <c r="K72">
        <v>39720</v>
      </c>
      <c r="L72" t="s">
        <v>936</v>
      </c>
      <c r="M72" t="s">
        <v>939</v>
      </c>
    </row>
    <row r="73" spans="1:13" x14ac:dyDescent="0.3">
      <c r="A73" t="s">
        <v>788</v>
      </c>
      <c r="B73">
        <v>67</v>
      </c>
      <c r="C73">
        <v>38955817</v>
      </c>
      <c r="D73">
        <v>628359</v>
      </c>
      <c r="E73">
        <v>0</v>
      </c>
      <c r="F73">
        <v>0</v>
      </c>
      <c r="G73">
        <v>372846024</v>
      </c>
      <c r="H73">
        <v>4545322</v>
      </c>
      <c r="I73">
        <v>48763</v>
      </c>
      <c r="J73">
        <v>3359356</v>
      </c>
      <c r="K73">
        <v>47020</v>
      </c>
      <c r="L73" t="s">
        <v>936</v>
      </c>
      <c r="M73" t="s">
        <v>944</v>
      </c>
    </row>
    <row r="74" spans="1:13" x14ac:dyDescent="0.3">
      <c r="A74" t="s">
        <v>756</v>
      </c>
      <c r="B74">
        <v>24</v>
      </c>
      <c r="C74">
        <v>38723603</v>
      </c>
      <c r="D74">
        <v>841072</v>
      </c>
      <c r="E74">
        <v>426</v>
      </c>
      <c r="F74">
        <v>0</v>
      </c>
      <c r="G74">
        <v>407063632</v>
      </c>
      <c r="H74">
        <v>6288042</v>
      </c>
      <c r="I74">
        <v>56031</v>
      </c>
      <c r="J74">
        <v>3079272</v>
      </c>
      <c r="K74">
        <v>39293</v>
      </c>
      <c r="L74" t="s">
        <v>936</v>
      </c>
      <c r="M74" t="s">
        <v>945</v>
      </c>
    </row>
    <row r="75" spans="1:13" x14ac:dyDescent="0.3">
      <c r="A75" t="s">
        <v>833</v>
      </c>
      <c r="B75">
        <v>114</v>
      </c>
      <c r="C75">
        <v>38674370</v>
      </c>
      <c r="D75">
        <v>692777</v>
      </c>
      <c r="E75">
        <v>18450</v>
      </c>
      <c r="F75">
        <v>0</v>
      </c>
      <c r="G75">
        <v>363643810</v>
      </c>
      <c r="H75">
        <v>3673505</v>
      </c>
      <c r="I75">
        <v>71574</v>
      </c>
      <c r="J75">
        <v>2144170</v>
      </c>
      <c r="K75">
        <v>45340</v>
      </c>
      <c r="L75" t="s">
        <v>936</v>
      </c>
      <c r="M75" t="s">
        <v>944</v>
      </c>
    </row>
    <row r="76" spans="1:13" x14ac:dyDescent="0.3">
      <c r="A76" t="s">
        <v>837</v>
      </c>
      <c r="B76">
        <v>113</v>
      </c>
      <c r="C76">
        <v>38015396</v>
      </c>
      <c r="D76">
        <v>766105</v>
      </c>
      <c r="E76">
        <v>202</v>
      </c>
      <c r="F76">
        <v>0</v>
      </c>
      <c r="G76">
        <v>315414991</v>
      </c>
      <c r="H76">
        <v>3669258</v>
      </c>
      <c r="I76">
        <v>34699</v>
      </c>
      <c r="J76">
        <v>11047709</v>
      </c>
      <c r="K76">
        <v>36190</v>
      </c>
      <c r="L76" t="s">
        <v>936</v>
      </c>
      <c r="M76" t="s">
        <v>937</v>
      </c>
    </row>
    <row r="77" spans="1:13" x14ac:dyDescent="0.3">
      <c r="A77" t="s">
        <v>866</v>
      </c>
      <c r="B77">
        <v>165</v>
      </c>
      <c r="C77">
        <v>37754983</v>
      </c>
      <c r="D77">
        <v>343738</v>
      </c>
      <c r="E77">
        <v>4400</v>
      </c>
      <c r="F77">
        <v>0</v>
      </c>
      <c r="G77">
        <v>242222381</v>
      </c>
      <c r="H77">
        <v>1641845</v>
      </c>
      <c r="I77">
        <v>89893</v>
      </c>
      <c r="J77">
        <v>2792897</v>
      </c>
      <c r="K77">
        <v>35370</v>
      </c>
      <c r="L77" t="s">
        <v>936</v>
      </c>
      <c r="M77" t="s">
        <v>944</v>
      </c>
    </row>
    <row r="78" spans="1:13" x14ac:dyDescent="0.3">
      <c r="A78" t="s">
        <v>602</v>
      </c>
      <c r="B78">
        <v>96</v>
      </c>
      <c r="C78">
        <v>37262218</v>
      </c>
      <c r="D78">
        <v>731701</v>
      </c>
      <c r="E78">
        <v>1523</v>
      </c>
      <c r="F78">
        <v>0</v>
      </c>
      <c r="G78">
        <v>328672940</v>
      </c>
      <c r="H78">
        <v>4203250</v>
      </c>
      <c r="I78">
        <v>64985</v>
      </c>
      <c r="J78">
        <v>6527035</v>
      </c>
      <c r="K78">
        <v>36710</v>
      </c>
      <c r="L78" t="s">
        <v>936</v>
      </c>
      <c r="M78" t="s">
        <v>945</v>
      </c>
    </row>
    <row r="79" spans="1:13" x14ac:dyDescent="0.3">
      <c r="A79" t="s">
        <v>794</v>
      </c>
      <c r="B79">
        <v>73</v>
      </c>
      <c r="C79">
        <v>36910202</v>
      </c>
      <c r="D79">
        <v>657997</v>
      </c>
      <c r="E79">
        <v>0</v>
      </c>
      <c r="F79">
        <v>0</v>
      </c>
      <c r="G79">
        <v>363193318</v>
      </c>
      <c r="H79">
        <v>4526637</v>
      </c>
      <c r="I79">
        <v>29325</v>
      </c>
      <c r="J79">
        <v>6477417</v>
      </c>
      <c r="K79">
        <v>43130</v>
      </c>
      <c r="L79" t="s">
        <v>936</v>
      </c>
      <c r="M79" t="s">
        <v>942</v>
      </c>
    </row>
    <row r="80" spans="1:13" x14ac:dyDescent="0.3">
      <c r="A80" t="s">
        <v>864</v>
      </c>
      <c r="B80">
        <v>142</v>
      </c>
      <c r="C80">
        <v>36818505</v>
      </c>
      <c r="D80">
        <v>571022</v>
      </c>
      <c r="E80">
        <v>0</v>
      </c>
      <c r="F80">
        <v>0</v>
      </c>
      <c r="G80">
        <v>279875969</v>
      </c>
      <c r="H80">
        <v>2913390</v>
      </c>
      <c r="I80">
        <v>15455</v>
      </c>
      <c r="J80">
        <v>3144058</v>
      </c>
      <c r="K80">
        <v>44213</v>
      </c>
      <c r="L80" t="s">
        <v>936</v>
      </c>
      <c r="M80" t="s">
        <v>937</v>
      </c>
    </row>
    <row r="81" spans="1:13" x14ac:dyDescent="0.3">
      <c r="A81" t="s">
        <v>836</v>
      </c>
      <c r="B81">
        <v>123</v>
      </c>
      <c r="C81">
        <v>36807899</v>
      </c>
      <c r="D81">
        <v>527468</v>
      </c>
      <c r="E81">
        <v>0</v>
      </c>
      <c r="F81">
        <v>0</v>
      </c>
      <c r="G81">
        <v>336591667</v>
      </c>
      <c r="H81">
        <v>3353708</v>
      </c>
      <c r="I81">
        <v>22159</v>
      </c>
      <c r="J81">
        <v>3937082</v>
      </c>
      <c r="K81">
        <v>39220</v>
      </c>
      <c r="L81" t="s">
        <v>936</v>
      </c>
      <c r="M81" t="s">
        <v>940</v>
      </c>
    </row>
    <row r="82" spans="1:13" x14ac:dyDescent="0.3">
      <c r="A82" t="s">
        <v>972</v>
      </c>
      <c r="B82">
        <v>84</v>
      </c>
      <c r="C82">
        <v>36770940</v>
      </c>
      <c r="D82">
        <v>753241</v>
      </c>
      <c r="E82">
        <v>0</v>
      </c>
      <c r="F82">
        <v>0</v>
      </c>
      <c r="G82">
        <v>385706767</v>
      </c>
      <c r="H82">
        <v>4489523</v>
      </c>
      <c r="I82">
        <v>40760</v>
      </c>
      <c r="J82">
        <v>2716994</v>
      </c>
      <c r="K82">
        <v>41820</v>
      </c>
      <c r="L82" t="s">
        <v>936</v>
      </c>
      <c r="M82" t="s">
        <v>942</v>
      </c>
    </row>
    <row r="83" spans="1:13" x14ac:dyDescent="0.3">
      <c r="A83" t="s">
        <v>601</v>
      </c>
      <c r="B83">
        <v>87</v>
      </c>
      <c r="C83">
        <v>36656379</v>
      </c>
      <c r="D83">
        <v>764092</v>
      </c>
      <c r="E83">
        <v>0</v>
      </c>
      <c r="F83">
        <v>0</v>
      </c>
      <c r="G83">
        <v>315112119</v>
      </c>
      <c r="H83">
        <v>4797015</v>
      </c>
      <c r="I83">
        <v>47174</v>
      </c>
      <c r="J83">
        <v>4578043</v>
      </c>
      <c r="K83">
        <v>38170</v>
      </c>
      <c r="L83" t="s">
        <v>936</v>
      </c>
      <c r="M83" t="s">
        <v>945</v>
      </c>
    </row>
    <row r="84" spans="1:13" x14ac:dyDescent="0.3">
      <c r="A84" t="s">
        <v>825</v>
      </c>
      <c r="B84">
        <v>104</v>
      </c>
      <c r="C84">
        <v>36539418</v>
      </c>
      <c r="D84">
        <v>598588</v>
      </c>
      <c r="E84">
        <v>392</v>
      </c>
      <c r="F84">
        <v>0</v>
      </c>
      <c r="G84">
        <v>299861769</v>
      </c>
      <c r="H84">
        <v>3693722</v>
      </c>
      <c r="I84">
        <v>54980</v>
      </c>
      <c r="J84">
        <v>3499294</v>
      </c>
      <c r="K84">
        <v>39068</v>
      </c>
      <c r="L84" t="s">
        <v>936</v>
      </c>
      <c r="M84" t="s">
        <v>937</v>
      </c>
    </row>
    <row r="85" spans="1:13" x14ac:dyDescent="0.3">
      <c r="A85" t="s">
        <v>811</v>
      </c>
      <c r="B85">
        <v>88</v>
      </c>
      <c r="C85">
        <v>36514142</v>
      </c>
      <c r="D85">
        <v>654569</v>
      </c>
      <c r="E85">
        <v>4601</v>
      </c>
      <c r="F85">
        <v>555531</v>
      </c>
      <c r="G85">
        <v>315907491</v>
      </c>
      <c r="H85">
        <v>4330536</v>
      </c>
      <c r="I85">
        <v>70787</v>
      </c>
      <c r="J85">
        <v>6383975</v>
      </c>
      <c r="K85">
        <v>40060</v>
      </c>
      <c r="L85" t="s">
        <v>936</v>
      </c>
      <c r="M85" t="s">
        <v>939</v>
      </c>
    </row>
    <row r="86" spans="1:13" x14ac:dyDescent="0.3">
      <c r="A86" t="s">
        <v>797</v>
      </c>
      <c r="B86">
        <v>60</v>
      </c>
      <c r="C86">
        <v>36323792</v>
      </c>
      <c r="D86">
        <v>837698</v>
      </c>
      <c r="E86">
        <v>18252</v>
      </c>
      <c r="F86">
        <v>0</v>
      </c>
      <c r="G86">
        <v>374778427</v>
      </c>
      <c r="H86">
        <v>5882753</v>
      </c>
      <c r="I86">
        <v>176269</v>
      </c>
      <c r="J86">
        <v>5856448</v>
      </c>
      <c r="K86">
        <v>39193</v>
      </c>
      <c r="L86" t="s">
        <v>936</v>
      </c>
      <c r="M86" t="s">
        <v>939</v>
      </c>
    </row>
    <row r="87" spans="1:13" x14ac:dyDescent="0.3">
      <c r="A87" t="s">
        <v>785</v>
      </c>
      <c r="B87">
        <v>53</v>
      </c>
      <c r="C87">
        <v>36280110</v>
      </c>
      <c r="D87">
        <v>824938</v>
      </c>
      <c r="E87">
        <v>14588</v>
      </c>
      <c r="F87">
        <v>0</v>
      </c>
      <c r="G87">
        <v>350912929</v>
      </c>
      <c r="H87">
        <v>5941799</v>
      </c>
      <c r="I87">
        <v>152420</v>
      </c>
      <c r="J87">
        <v>3404300</v>
      </c>
      <c r="K87">
        <v>38890</v>
      </c>
      <c r="L87" t="s">
        <v>936</v>
      </c>
      <c r="M87" t="s">
        <v>946</v>
      </c>
    </row>
    <row r="88" spans="1:13" x14ac:dyDescent="0.3">
      <c r="A88" t="s">
        <v>762</v>
      </c>
      <c r="B88">
        <v>27</v>
      </c>
      <c r="C88">
        <v>36232950</v>
      </c>
      <c r="D88">
        <v>722129</v>
      </c>
      <c r="E88">
        <v>2700</v>
      </c>
      <c r="F88">
        <v>0</v>
      </c>
      <c r="G88">
        <v>460948610</v>
      </c>
      <c r="H88">
        <v>5692354</v>
      </c>
      <c r="I88">
        <v>76047</v>
      </c>
      <c r="J88">
        <v>4079718</v>
      </c>
      <c r="K88">
        <v>43566</v>
      </c>
      <c r="L88" t="s">
        <v>936</v>
      </c>
      <c r="M88" t="s">
        <v>937</v>
      </c>
    </row>
    <row r="89" spans="1:13" x14ac:dyDescent="0.3">
      <c r="A89" t="s">
        <v>958</v>
      </c>
      <c r="B89">
        <v>106</v>
      </c>
      <c r="C89">
        <v>36140837</v>
      </c>
      <c r="D89">
        <v>726872</v>
      </c>
      <c r="E89">
        <v>0</v>
      </c>
      <c r="F89">
        <v>0</v>
      </c>
      <c r="G89">
        <v>275122031</v>
      </c>
      <c r="H89">
        <v>3820439</v>
      </c>
      <c r="I89">
        <v>15948</v>
      </c>
      <c r="J89">
        <v>4317550</v>
      </c>
      <c r="K89">
        <v>41600</v>
      </c>
      <c r="L89" t="s">
        <v>936</v>
      </c>
      <c r="M89" t="s">
        <v>945</v>
      </c>
    </row>
    <row r="90" spans="1:13" x14ac:dyDescent="0.3">
      <c r="A90" t="s">
        <v>796</v>
      </c>
      <c r="B90">
        <v>71</v>
      </c>
      <c r="C90">
        <v>35921919</v>
      </c>
      <c r="D90">
        <v>696950</v>
      </c>
      <c r="E90">
        <v>12338</v>
      </c>
      <c r="F90">
        <v>0</v>
      </c>
      <c r="G90">
        <v>375763521</v>
      </c>
      <c r="H90">
        <v>4698688</v>
      </c>
      <c r="I90">
        <v>95220</v>
      </c>
      <c r="J90">
        <v>3048789</v>
      </c>
      <c r="K90">
        <v>35840</v>
      </c>
      <c r="L90" t="s">
        <v>936</v>
      </c>
      <c r="M90" t="s">
        <v>946</v>
      </c>
    </row>
    <row r="91" spans="1:13" x14ac:dyDescent="0.3">
      <c r="A91" t="s">
        <v>782</v>
      </c>
      <c r="B91">
        <v>63</v>
      </c>
      <c r="C91">
        <v>35723442</v>
      </c>
      <c r="D91">
        <v>561088</v>
      </c>
      <c r="E91">
        <v>3150</v>
      </c>
      <c r="F91">
        <v>0</v>
      </c>
      <c r="G91">
        <v>422618538</v>
      </c>
      <c r="H91">
        <v>4721417</v>
      </c>
      <c r="I91">
        <v>72518</v>
      </c>
      <c r="J91">
        <v>3629210</v>
      </c>
      <c r="K91">
        <v>41510</v>
      </c>
      <c r="L91" t="s">
        <v>936</v>
      </c>
      <c r="M91" t="s">
        <v>937</v>
      </c>
    </row>
    <row r="92" spans="1:13" x14ac:dyDescent="0.3">
      <c r="A92" t="s">
        <v>768</v>
      </c>
      <c r="B92">
        <v>42</v>
      </c>
      <c r="C92">
        <v>35522196</v>
      </c>
      <c r="D92">
        <v>704586</v>
      </c>
      <c r="E92">
        <v>0</v>
      </c>
      <c r="F92">
        <v>0</v>
      </c>
      <c r="G92">
        <v>376046340</v>
      </c>
      <c r="H92">
        <v>5064558</v>
      </c>
      <c r="I92">
        <v>49944</v>
      </c>
      <c r="J92">
        <v>2817074</v>
      </c>
      <c r="K92">
        <v>39920</v>
      </c>
      <c r="L92" t="s">
        <v>936</v>
      </c>
      <c r="M92" t="s">
        <v>937</v>
      </c>
    </row>
    <row r="93" spans="1:13" x14ac:dyDescent="0.3">
      <c r="A93" t="s">
        <v>781</v>
      </c>
      <c r="B93">
        <v>47</v>
      </c>
      <c r="C93">
        <v>35088498</v>
      </c>
      <c r="D93">
        <v>704812</v>
      </c>
      <c r="E93">
        <v>0</v>
      </c>
      <c r="F93">
        <v>0</v>
      </c>
      <c r="G93">
        <v>378559523</v>
      </c>
      <c r="H93">
        <v>5087218</v>
      </c>
      <c r="I93">
        <v>44811</v>
      </c>
      <c r="J93">
        <v>2870594</v>
      </c>
      <c r="K93">
        <v>41140</v>
      </c>
      <c r="L93" t="s">
        <v>936</v>
      </c>
      <c r="M93" t="s">
        <v>944</v>
      </c>
    </row>
    <row r="94" spans="1:13" x14ac:dyDescent="0.3">
      <c r="A94" t="s">
        <v>790</v>
      </c>
      <c r="B94">
        <v>59</v>
      </c>
      <c r="C94">
        <v>35020990</v>
      </c>
      <c r="D94">
        <v>692785</v>
      </c>
      <c r="E94">
        <v>13931</v>
      </c>
      <c r="F94">
        <v>0</v>
      </c>
      <c r="G94">
        <v>361096117</v>
      </c>
      <c r="H94">
        <v>4884813</v>
      </c>
      <c r="I94">
        <v>60812</v>
      </c>
      <c r="J94">
        <v>2836865</v>
      </c>
      <c r="K94">
        <v>38670</v>
      </c>
      <c r="L94" t="s">
        <v>936</v>
      </c>
      <c r="M94" t="s">
        <v>945</v>
      </c>
    </row>
    <row r="95" spans="1:13" x14ac:dyDescent="0.3">
      <c r="A95" t="s">
        <v>767</v>
      </c>
      <c r="B95">
        <v>32</v>
      </c>
      <c r="C95">
        <v>35005400</v>
      </c>
      <c r="D95">
        <v>764836</v>
      </c>
      <c r="E95">
        <v>50</v>
      </c>
      <c r="F95">
        <v>0</v>
      </c>
      <c r="G95">
        <v>404555334</v>
      </c>
      <c r="H95">
        <v>5797798</v>
      </c>
      <c r="I95">
        <v>74664</v>
      </c>
      <c r="J95">
        <v>3135417</v>
      </c>
      <c r="K95">
        <v>39770</v>
      </c>
      <c r="L95" t="s">
        <v>936</v>
      </c>
      <c r="M95" t="s">
        <v>944</v>
      </c>
    </row>
    <row r="96" spans="1:13" x14ac:dyDescent="0.3">
      <c r="A96" t="s">
        <v>820</v>
      </c>
      <c r="B96">
        <v>94</v>
      </c>
      <c r="C96">
        <v>34998034</v>
      </c>
      <c r="D96">
        <v>642419</v>
      </c>
      <c r="E96">
        <v>700</v>
      </c>
      <c r="F96">
        <v>0</v>
      </c>
      <c r="G96">
        <v>340386223</v>
      </c>
      <c r="H96">
        <v>4096132</v>
      </c>
      <c r="I96">
        <v>46166</v>
      </c>
      <c r="J96">
        <v>4123091</v>
      </c>
      <c r="K96">
        <v>37449</v>
      </c>
      <c r="L96" t="s">
        <v>936</v>
      </c>
      <c r="M96" t="s">
        <v>946</v>
      </c>
    </row>
    <row r="97" spans="1:13" x14ac:dyDescent="0.3">
      <c r="A97" t="s">
        <v>865</v>
      </c>
      <c r="B97">
        <v>145</v>
      </c>
      <c r="C97">
        <v>34880278</v>
      </c>
      <c r="D97">
        <v>593479</v>
      </c>
      <c r="E97">
        <v>0</v>
      </c>
      <c r="F97">
        <v>0</v>
      </c>
      <c r="G97">
        <v>249921716</v>
      </c>
      <c r="H97">
        <v>2704494</v>
      </c>
      <c r="I97">
        <v>3797</v>
      </c>
      <c r="J97">
        <v>35083546</v>
      </c>
      <c r="K97">
        <v>38643</v>
      </c>
      <c r="L97" t="s">
        <v>936</v>
      </c>
      <c r="M97" t="s">
        <v>937</v>
      </c>
    </row>
    <row r="98" spans="1:13" x14ac:dyDescent="0.3">
      <c r="A98" t="s">
        <v>953</v>
      </c>
      <c r="B98">
        <v>86</v>
      </c>
      <c r="C98">
        <v>34741689</v>
      </c>
      <c r="D98">
        <v>706605</v>
      </c>
      <c r="E98">
        <v>101</v>
      </c>
      <c r="F98">
        <v>0</v>
      </c>
      <c r="G98">
        <v>381187563</v>
      </c>
      <c r="H98">
        <v>4716815</v>
      </c>
      <c r="I98">
        <v>32342</v>
      </c>
      <c r="J98">
        <v>3306963</v>
      </c>
      <c r="K98">
        <v>40636</v>
      </c>
      <c r="L98" t="s">
        <v>936</v>
      </c>
      <c r="M98" t="s">
        <v>942</v>
      </c>
    </row>
    <row r="99" spans="1:13" x14ac:dyDescent="0.3">
      <c r="A99" t="s">
        <v>967</v>
      </c>
      <c r="B99">
        <v>118</v>
      </c>
      <c r="C99">
        <v>34121229</v>
      </c>
      <c r="D99">
        <v>494724</v>
      </c>
      <c r="E99">
        <v>0</v>
      </c>
      <c r="F99">
        <v>0</v>
      </c>
      <c r="G99">
        <v>360535031</v>
      </c>
      <c r="H99">
        <v>3741450</v>
      </c>
      <c r="I99">
        <v>32145</v>
      </c>
      <c r="J99">
        <v>3722185</v>
      </c>
      <c r="K99">
        <v>44630</v>
      </c>
      <c r="L99" t="s">
        <v>936</v>
      </c>
      <c r="M99" t="s">
        <v>942</v>
      </c>
    </row>
    <row r="100" spans="1:13" x14ac:dyDescent="0.3">
      <c r="A100" t="s">
        <v>830</v>
      </c>
      <c r="B100">
        <v>116</v>
      </c>
      <c r="C100">
        <v>33956251</v>
      </c>
      <c r="D100">
        <v>622690</v>
      </c>
      <c r="E100">
        <v>4950</v>
      </c>
      <c r="F100">
        <v>600912</v>
      </c>
      <c r="G100">
        <v>263965973</v>
      </c>
      <c r="H100">
        <v>3622219</v>
      </c>
      <c r="I100">
        <v>64359</v>
      </c>
      <c r="J100">
        <v>4768219</v>
      </c>
      <c r="K100">
        <v>29790</v>
      </c>
      <c r="L100" t="s">
        <v>936</v>
      </c>
      <c r="M100" t="s">
        <v>945</v>
      </c>
    </row>
    <row r="101" spans="1:13" x14ac:dyDescent="0.3">
      <c r="A101" t="s">
        <v>952</v>
      </c>
      <c r="B101">
        <v>75</v>
      </c>
      <c r="C101">
        <v>33648806</v>
      </c>
      <c r="D101">
        <v>730272</v>
      </c>
      <c r="E101">
        <v>1203</v>
      </c>
      <c r="F101">
        <v>0</v>
      </c>
      <c r="G101">
        <v>415920555</v>
      </c>
      <c r="H101">
        <v>5227205</v>
      </c>
      <c r="I101">
        <v>56438</v>
      </c>
      <c r="J101">
        <v>3312487</v>
      </c>
      <c r="K101">
        <v>36950</v>
      </c>
      <c r="L101" t="s">
        <v>936</v>
      </c>
      <c r="M101" t="s">
        <v>942</v>
      </c>
    </row>
    <row r="102" spans="1:13" x14ac:dyDescent="0.3">
      <c r="A102" t="s">
        <v>818</v>
      </c>
      <c r="B102">
        <v>93</v>
      </c>
      <c r="C102">
        <v>33473352</v>
      </c>
      <c r="D102">
        <v>622930</v>
      </c>
      <c r="E102">
        <v>17650</v>
      </c>
      <c r="F102">
        <v>0</v>
      </c>
      <c r="G102">
        <v>328144862</v>
      </c>
      <c r="H102">
        <v>4396473</v>
      </c>
      <c r="I102">
        <v>155928</v>
      </c>
      <c r="J102">
        <v>4891434</v>
      </c>
      <c r="K102">
        <v>39890</v>
      </c>
      <c r="L102" t="s">
        <v>936</v>
      </c>
      <c r="M102" t="s">
        <v>946</v>
      </c>
    </row>
    <row r="103" spans="1:13" x14ac:dyDescent="0.3">
      <c r="A103" t="s">
        <v>789</v>
      </c>
      <c r="B103">
        <v>58</v>
      </c>
      <c r="C103">
        <v>33314126</v>
      </c>
      <c r="D103">
        <v>676560</v>
      </c>
      <c r="E103">
        <v>674</v>
      </c>
      <c r="F103">
        <v>0</v>
      </c>
      <c r="G103">
        <v>398987806</v>
      </c>
      <c r="H103">
        <v>5141793</v>
      </c>
      <c r="I103">
        <v>90751</v>
      </c>
      <c r="J103">
        <v>3538091</v>
      </c>
      <c r="K103">
        <v>40810</v>
      </c>
      <c r="L103" t="s">
        <v>936</v>
      </c>
      <c r="M103" t="s">
        <v>945</v>
      </c>
    </row>
    <row r="104" spans="1:13" x14ac:dyDescent="0.3">
      <c r="A104" t="s">
        <v>802</v>
      </c>
      <c r="B104">
        <v>81</v>
      </c>
      <c r="C104">
        <v>33191655</v>
      </c>
      <c r="D104">
        <v>699111</v>
      </c>
      <c r="E104">
        <v>1672</v>
      </c>
      <c r="F104">
        <v>0</v>
      </c>
      <c r="G104">
        <v>389128471</v>
      </c>
      <c r="H104">
        <v>4833656</v>
      </c>
      <c r="I104">
        <v>46536</v>
      </c>
      <c r="J104">
        <v>2912558</v>
      </c>
      <c r="K104">
        <v>39880</v>
      </c>
      <c r="L104" t="s">
        <v>936</v>
      </c>
      <c r="M104" t="s">
        <v>937</v>
      </c>
    </row>
    <row r="105" spans="1:13" x14ac:dyDescent="0.3">
      <c r="A105" t="s">
        <v>960</v>
      </c>
      <c r="B105">
        <v>91</v>
      </c>
      <c r="C105">
        <v>32618635</v>
      </c>
      <c r="D105">
        <v>422832</v>
      </c>
      <c r="E105">
        <v>0</v>
      </c>
      <c r="F105">
        <v>0</v>
      </c>
      <c r="G105">
        <v>363725846</v>
      </c>
      <c r="H105">
        <v>4249037</v>
      </c>
      <c r="I105">
        <v>23200</v>
      </c>
      <c r="J105">
        <v>6151726</v>
      </c>
      <c r="K105">
        <v>36560</v>
      </c>
      <c r="L105" t="s">
        <v>936</v>
      </c>
      <c r="M105" t="s">
        <v>945</v>
      </c>
    </row>
    <row r="106" spans="1:13" x14ac:dyDescent="0.3">
      <c r="A106" t="s">
        <v>816</v>
      </c>
      <c r="B106">
        <v>95</v>
      </c>
      <c r="C106">
        <v>32374294</v>
      </c>
      <c r="D106">
        <v>568297</v>
      </c>
      <c r="E106">
        <v>6087</v>
      </c>
      <c r="F106">
        <v>0</v>
      </c>
      <c r="G106">
        <v>299005164</v>
      </c>
      <c r="H106">
        <v>4152896</v>
      </c>
      <c r="I106">
        <v>119276</v>
      </c>
      <c r="J106">
        <v>2734459</v>
      </c>
      <c r="K106">
        <v>39040</v>
      </c>
      <c r="L106" t="s">
        <v>936</v>
      </c>
      <c r="M106" t="s">
        <v>940</v>
      </c>
    </row>
    <row r="107" spans="1:13" x14ac:dyDescent="0.3">
      <c r="A107" t="s">
        <v>954</v>
      </c>
      <c r="B107">
        <v>97</v>
      </c>
      <c r="C107">
        <v>32293322</v>
      </c>
      <c r="D107">
        <v>650394</v>
      </c>
      <c r="E107">
        <v>284</v>
      </c>
      <c r="F107">
        <v>0</v>
      </c>
      <c r="G107">
        <v>301966378</v>
      </c>
      <c r="H107">
        <v>3998534</v>
      </c>
      <c r="I107">
        <v>43182</v>
      </c>
      <c r="J107">
        <v>6279036</v>
      </c>
      <c r="K107">
        <v>40910</v>
      </c>
      <c r="L107" t="s">
        <v>936</v>
      </c>
      <c r="M107" t="s">
        <v>945</v>
      </c>
    </row>
    <row r="108" spans="1:13" x14ac:dyDescent="0.3">
      <c r="A108" t="s">
        <v>813</v>
      </c>
      <c r="B108">
        <v>90</v>
      </c>
      <c r="C108">
        <v>31372841</v>
      </c>
      <c r="D108">
        <v>649028</v>
      </c>
      <c r="E108">
        <v>0</v>
      </c>
      <c r="F108">
        <v>0</v>
      </c>
      <c r="G108">
        <v>318723043</v>
      </c>
      <c r="H108">
        <v>4524302</v>
      </c>
      <c r="I108">
        <v>34907</v>
      </c>
      <c r="J108">
        <v>3365819</v>
      </c>
      <c r="K108">
        <v>35650</v>
      </c>
      <c r="L108" t="s">
        <v>936</v>
      </c>
      <c r="M108" t="s">
        <v>939</v>
      </c>
    </row>
    <row r="109" spans="1:13" x14ac:dyDescent="0.3">
      <c r="A109" t="s">
        <v>787</v>
      </c>
      <c r="B109">
        <v>64</v>
      </c>
      <c r="C109">
        <v>31295148</v>
      </c>
      <c r="D109">
        <v>639423</v>
      </c>
      <c r="E109">
        <v>5400</v>
      </c>
      <c r="F109">
        <v>0</v>
      </c>
      <c r="G109">
        <v>343645100</v>
      </c>
      <c r="H109">
        <v>4724324</v>
      </c>
      <c r="I109">
        <v>48337</v>
      </c>
      <c r="J109">
        <v>3787035</v>
      </c>
      <c r="K109">
        <v>33340</v>
      </c>
      <c r="L109" t="s">
        <v>936</v>
      </c>
      <c r="M109" t="s">
        <v>939</v>
      </c>
    </row>
    <row r="110" spans="1:13" x14ac:dyDescent="0.3">
      <c r="A110" t="s">
        <v>850</v>
      </c>
      <c r="B110">
        <v>144</v>
      </c>
      <c r="C110">
        <v>30895875</v>
      </c>
      <c r="D110">
        <v>432377</v>
      </c>
      <c r="E110">
        <v>404</v>
      </c>
      <c r="F110">
        <v>0</v>
      </c>
      <c r="G110">
        <v>208552569</v>
      </c>
      <c r="H110">
        <v>2379739</v>
      </c>
      <c r="I110">
        <v>40432</v>
      </c>
      <c r="J110">
        <v>2328448</v>
      </c>
      <c r="K110">
        <v>30940</v>
      </c>
      <c r="L110" t="s">
        <v>936</v>
      </c>
      <c r="M110" t="s">
        <v>944</v>
      </c>
    </row>
    <row r="111" spans="1:13" x14ac:dyDescent="0.3">
      <c r="A111" t="s">
        <v>807</v>
      </c>
      <c r="B111">
        <v>85</v>
      </c>
      <c r="C111">
        <v>30893681</v>
      </c>
      <c r="D111">
        <v>598613</v>
      </c>
      <c r="E111">
        <v>700</v>
      </c>
      <c r="F111">
        <v>0</v>
      </c>
      <c r="G111">
        <v>337383307</v>
      </c>
      <c r="H111">
        <v>4598930</v>
      </c>
      <c r="I111">
        <v>35405</v>
      </c>
      <c r="J111">
        <v>3953012</v>
      </c>
      <c r="K111">
        <v>41800</v>
      </c>
      <c r="L111" t="s">
        <v>936</v>
      </c>
      <c r="M111" t="s">
        <v>939</v>
      </c>
    </row>
    <row r="112" spans="1:13" x14ac:dyDescent="0.3">
      <c r="A112" t="s">
        <v>779</v>
      </c>
      <c r="B112">
        <v>57</v>
      </c>
      <c r="C112">
        <v>30720464</v>
      </c>
      <c r="D112">
        <v>616423</v>
      </c>
      <c r="E112">
        <v>1050</v>
      </c>
      <c r="F112">
        <v>0</v>
      </c>
      <c r="G112">
        <v>408205930</v>
      </c>
      <c r="H112">
        <v>5091429</v>
      </c>
      <c r="I112">
        <v>36221</v>
      </c>
      <c r="J112">
        <v>3066559</v>
      </c>
      <c r="K112">
        <v>37920</v>
      </c>
      <c r="L112" t="s">
        <v>936</v>
      </c>
      <c r="M112" t="s">
        <v>940</v>
      </c>
    </row>
    <row r="113" spans="1:13" x14ac:dyDescent="0.3">
      <c r="A113" t="s">
        <v>826</v>
      </c>
      <c r="B113">
        <v>105</v>
      </c>
      <c r="C113">
        <v>30607568</v>
      </c>
      <c r="D113">
        <v>646784</v>
      </c>
      <c r="E113">
        <v>1964</v>
      </c>
      <c r="F113">
        <v>0</v>
      </c>
      <c r="G113">
        <v>306172795</v>
      </c>
      <c r="H113">
        <v>4221847</v>
      </c>
      <c r="I113">
        <v>29163</v>
      </c>
      <c r="J113">
        <v>2706596</v>
      </c>
      <c r="K113">
        <v>37750</v>
      </c>
      <c r="L113" t="s">
        <v>936</v>
      </c>
      <c r="M113" t="s">
        <v>940</v>
      </c>
    </row>
    <row r="114" spans="1:13" x14ac:dyDescent="0.3">
      <c r="A114" t="s">
        <v>956</v>
      </c>
      <c r="B114">
        <v>108</v>
      </c>
      <c r="C114">
        <v>30517771</v>
      </c>
      <c r="D114">
        <v>672756</v>
      </c>
      <c r="E114">
        <v>13050</v>
      </c>
      <c r="F114">
        <v>0</v>
      </c>
      <c r="G114">
        <v>267800906</v>
      </c>
      <c r="H114">
        <v>3886189</v>
      </c>
      <c r="I114">
        <v>118643</v>
      </c>
      <c r="J114">
        <v>8448987</v>
      </c>
      <c r="K114">
        <v>34316</v>
      </c>
      <c r="L114" t="s">
        <v>936</v>
      </c>
      <c r="M114" t="s">
        <v>942</v>
      </c>
    </row>
    <row r="115" spans="1:13" x14ac:dyDescent="0.3">
      <c r="A115" t="s">
        <v>829</v>
      </c>
      <c r="B115">
        <v>112</v>
      </c>
      <c r="C115">
        <v>30355338</v>
      </c>
      <c r="D115">
        <v>661153</v>
      </c>
      <c r="E115">
        <v>1400</v>
      </c>
      <c r="F115">
        <v>0</v>
      </c>
      <c r="G115">
        <v>417609956</v>
      </c>
      <c r="H115">
        <v>4035388</v>
      </c>
      <c r="I115">
        <v>39307</v>
      </c>
      <c r="J115">
        <v>2736506</v>
      </c>
      <c r="K115">
        <v>48580</v>
      </c>
      <c r="L115" t="s">
        <v>936</v>
      </c>
      <c r="M115" t="s">
        <v>944</v>
      </c>
    </row>
    <row r="116" spans="1:13" x14ac:dyDescent="0.3">
      <c r="A116" t="s">
        <v>971</v>
      </c>
      <c r="B116">
        <v>121</v>
      </c>
      <c r="C116">
        <v>30295555</v>
      </c>
      <c r="D116">
        <v>555975</v>
      </c>
      <c r="E116">
        <v>550</v>
      </c>
      <c r="F116">
        <v>0</v>
      </c>
      <c r="G116">
        <v>289134903</v>
      </c>
      <c r="H116">
        <v>3253308</v>
      </c>
      <c r="I116">
        <v>33351</v>
      </c>
      <c r="J116">
        <v>3579744</v>
      </c>
      <c r="K116">
        <v>40490</v>
      </c>
      <c r="L116" t="s">
        <v>936</v>
      </c>
      <c r="M116" t="s">
        <v>942</v>
      </c>
    </row>
    <row r="117" spans="1:13" x14ac:dyDescent="0.3">
      <c r="A117" t="s">
        <v>951</v>
      </c>
      <c r="B117">
        <v>74</v>
      </c>
      <c r="C117">
        <v>29755610</v>
      </c>
      <c r="D117">
        <v>662013</v>
      </c>
      <c r="E117">
        <v>170</v>
      </c>
      <c r="F117">
        <v>0</v>
      </c>
      <c r="G117">
        <v>330850996</v>
      </c>
      <c r="H117">
        <v>5084781</v>
      </c>
      <c r="I117">
        <v>110238</v>
      </c>
      <c r="J117">
        <v>2944971</v>
      </c>
      <c r="K117">
        <v>38300</v>
      </c>
      <c r="L117" t="s">
        <v>936</v>
      </c>
      <c r="M117" t="s">
        <v>940</v>
      </c>
    </row>
    <row r="118" spans="1:13" x14ac:dyDescent="0.3">
      <c r="A118" t="s">
        <v>968</v>
      </c>
      <c r="B118">
        <v>150</v>
      </c>
      <c r="C118">
        <v>29354258</v>
      </c>
      <c r="D118">
        <v>602360</v>
      </c>
      <c r="E118">
        <v>552</v>
      </c>
      <c r="F118">
        <v>0</v>
      </c>
      <c r="G118">
        <v>225131911</v>
      </c>
      <c r="H118">
        <v>2592259</v>
      </c>
      <c r="I118">
        <v>8060</v>
      </c>
      <c r="J118">
        <v>3626092</v>
      </c>
      <c r="K118">
        <v>35570</v>
      </c>
      <c r="L118" t="s">
        <v>936</v>
      </c>
      <c r="M118" t="s">
        <v>945</v>
      </c>
    </row>
    <row r="119" spans="1:13" x14ac:dyDescent="0.3">
      <c r="A119" t="s">
        <v>974</v>
      </c>
      <c r="B119">
        <v>132</v>
      </c>
      <c r="C119">
        <v>29319841</v>
      </c>
      <c r="D119">
        <v>624916</v>
      </c>
      <c r="E119">
        <v>1050</v>
      </c>
      <c r="F119">
        <v>0</v>
      </c>
      <c r="G119">
        <v>259925473</v>
      </c>
      <c r="H119">
        <v>3080043</v>
      </c>
      <c r="I119">
        <v>25026</v>
      </c>
      <c r="J119">
        <v>12114174</v>
      </c>
      <c r="K119">
        <v>40240</v>
      </c>
      <c r="L119" t="s">
        <v>936</v>
      </c>
      <c r="M119" t="s">
        <v>942</v>
      </c>
    </row>
    <row r="120" spans="1:13" x14ac:dyDescent="0.3">
      <c r="A120" t="s">
        <v>867</v>
      </c>
      <c r="B120">
        <v>161</v>
      </c>
      <c r="C120">
        <v>29040608</v>
      </c>
      <c r="D120">
        <v>369657</v>
      </c>
      <c r="E120">
        <v>101</v>
      </c>
      <c r="F120">
        <v>0</v>
      </c>
      <c r="G120">
        <v>241777551</v>
      </c>
      <c r="H120">
        <v>2082171</v>
      </c>
      <c r="I120">
        <v>32683</v>
      </c>
      <c r="J120">
        <v>3753806</v>
      </c>
      <c r="K120">
        <v>35043</v>
      </c>
      <c r="L120" t="s">
        <v>936</v>
      </c>
      <c r="M120" t="s">
        <v>940</v>
      </c>
    </row>
    <row r="121" spans="1:13" x14ac:dyDescent="0.3">
      <c r="A121" t="s">
        <v>822</v>
      </c>
      <c r="B121">
        <v>99</v>
      </c>
      <c r="C121">
        <v>28858511</v>
      </c>
      <c r="D121">
        <v>636117</v>
      </c>
      <c r="E121">
        <v>3500</v>
      </c>
      <c r="F121">
        <v>0</v>
      </c>
      <c r="G121">
        <v>338266067</v>
      </c>
      <c r="H121">
        <v>3962350</v>
      </c>
      <c r="I121">
        <v>86937</v>
      </c>
      <c r="J121">
        <v>2963087</v>
      </c>
      <c r="K121">
        <v>39660</v>
      </c>
      <c r="L121" t="s">
        <v>936</v>
      </c>
      <c r="M121" t="s">
        <v>944</v>
      </c>
    </row>
    <row r="122" spans="1:13" x14ac:dyDescent="0.3">
      <c r="A122" t="s">
        <v>887</v>
      </c>
      <c r="B122">
        <v>181</v>
      </c>
      <c r="C122">
        <v>28704945</v>
      </c>
      <c r="D122">
        <v>285348</v>
      </c>
      <c r="E122">
        <v>25734</v>
      </c>
      <c r="F122">
        <v>0</v>
      </c>
      <c r="G122">
        <v>134124962</v>
      </c>
      <c r="H122">
        <v>1772650</v>
      </c>
      <c r="I122">
        <v>149568</v>
      </c>
      <c r="J122">
        <v>60926385</v>
      </c>
      <c r="K122">
        <v>20464</v>
      </c>
      <c r="L122" t="s">
        <v>936</v>
      </c>
      <c r="M122" t="s">
        <v>937</v>
      </c>
    </row>
    <row r="123" spans="1:13" x14ac:dyDescent="0.3">
      <c r="A123" t="s">
        <v>823</v>
      </c>
      <c r="B123">
        <v>98</v>
      </c>
      <c r="C123">
        <v>28478746</v>
      </c>
      <c r="D123">
        <v>622679</v>
      </c>
      <c r="E123">
        <v>643</v>
      </c>
      <c r="F123">
        <v>418103</v>
      </c>
      <c r="G123">
        <v>326678128</v>
      </c>
      <c r="H123">
        <v>4167406</v>
      </c>
      <c r="I123">
        <v>51794</v>
      </c>
      <c r="J123">
        <v>8491243</v>
      </c>
      <c r="K123">
        <v>39293</v>
      </c>
      <c r="L123" t="s">
        <v>936</v>
      </c>
      <c r="M123" t="s">
        <v>937</v>
      </c>
    </row>
    <row r="124" spans="1:13" x14ac:dyDescent="0.3">
      <c r="A124" t="s">
        <v>815</v>
      </c>
      <c r="B124">
        <v>92</v>
      </c>
      <c r="C124">
        <v>28423624</v>
      </c>
      <c r="D124">
        <v>568462</v>
      </c>
      <c r="E124">
        <v>0</v>
      </c>
      <c r="F124">
        <v>0</v>
      </c>
      <c r="G124">
        <v>275532144</v>
      </c>
      <c r="H124">
        <v>4257555</v>
      </c>
      <c r="I124">
        <v>56236</v>
      </c>
      <c r="J124">
        <v>44520963</v>
      </c>
      <c r="K124">
        <v>30620</v>
      </c>
      <c r="L124" t="s">
        <v>936</v>
      </c>
      <c r="M124" t="s">
        <v>939</v>
      </c>
    </row>
    <row r="125" spans="1:13" x14ac:dyDescent="0.3">
      <c r="A125" t="s">
        <v>834</v>
      </c>
      <c r="B125">
        <v>117</v>
      </c>
      <c r="C125">
        <v>28332242</v>
      </c>
      <c r="D125">
        <v>563496</v>
      </c>
      <c r="E125">
        <v>714</v>
      </c>
      <c r="F125">
        <v>0</v>
      </c>
      <c r="G125">
        <v>292176652</v>
      </c>
      <c r="H125">
        <v>3669107</v>
      </c>
      <c r="I125">
        <v>6059</v>
      </c>
      <c r="J125">
        <v>8914326</v>
      </c>
      <c r="K125">
        <v>31543</v>
      </c>
      <c r="L125" t="s">
        <v>936</v>
      </c>
      <c r="M125" t="s">
        <v>937</v>
      </c>
    </row>
    <row r="126" spans="1:13" x14ac:dyDescent="0.3">
      <c r="A126" t="s">
        <v>603</v>
      </c>
      <c r="B126">
        <v>111</v>
      </c>
      <c r="C126">
        <v>27782295</v>
      </c>
      <c r="D126">
        <v>582534</v>
      </c>
      <c r="E126">
        <v>151</v>
      </c>
      <c r="F126">
        <v>0</v>
      </c>
      <c r="G126">
        <v>266106364</v>
      </c>
      <c r="H126">
        <v>3745447</v>
      </c>
      <c r="I126">
        <v>40864</v>
      </c>
      <c r="J126">
        <v>5309261</v>
      </c>
      <c r="K126">
        <v>32700</v>
      </c>
      <c r="L126" t="s">
        <v>936</v>
      </c>
      <c r="M126" t="s">
        <v>945</v>
      </c>
    </row>
    <row r="127" spans="1:13" x14ac:dyDescent="0.3">
      <c r="A127" t="s">
        <v>766</v>
      </c>
      <c r="B127">
        <v>44</v>
      </c>
      <c r="C127">
        <v>27407191</v>
      </c>
      <c r="D127">
        <v>496861</v>
      </c>
      <c r="E127">
        <v>4050</v>
      </c>
      <c r="F127">
        <v>0</v>
      </c>
      <c r="G127">
        <v>391964731</v>
      </c>
      <c r="H127">
        <v>5231981</v>
      </c>
      <c r="I127">
        <v>64052</v>
      </c>
      <c r="J127">
        <v>2762450</v>
      </c>
      <c r="K127">
        <v>35440</v>
      </c>
      <c r="L127" t="s">
        <v>936</v>
      </c>
      <c r="M127" t="s">
        <v>937</v>
      </c>
    </row>
    <row r="128" spans="1:13" x14ac:dyDescent="0.3">
      <c r="A128" t="s">
        <v>852</v>
      </c>
      <c r="B128">
        <v>146</v>
      </c>
      <c r="C128">
        <v>26831648</v>
      </c>
      <c r="D128">
        <v>358366</v>
      </c>
      <c r="E128">
        <v>0</v>
      </c>
      <c r="F128">
        <v>0</v>
      </c>
      <c r="G128">
        <v>234442806</v>
      </c>
      <c r="H128">
        <v>2527063</v>
      </c>
      <c r="I128">
        <v>17044</v>
      </c>
      <c r="J128">
        <v>3417438</v>
      </c>
      <c r="K128">
        <v>35020</v>
      </c>
      <c r="L128" t="s">
        <v>936</v>
      </c>
      <c r="M128" t="s">
        <v>940</v>
      </c>
    </row>
    <row r="129" spans="1:13" x14ac:dyDescent="0.3">
      <c r="A129" t="s">
        <v>750</v>
      </c>
      <c r="B129">
        <v>21</v>
      </c>
      <c r="C129">
        <v>26781806</v>
      </c>
      <c r="D129">
        <v>532598</v>
      </c>
      <c r="E129">
        <v>1794</v>
      </c>
      <c r="F129">
        <v>0</v>
      </c>
      <c r="G129">
        <v>382464514</v>
      </c>
      <c r="H129">
        <v>5833453</v>
      </c>
      <c r="I129">
        <v>39907</v>
      </c>
      <c r="J129">
        <v>2726006</v>
      </c>
      <c r="K129">
        <v>41220</v>
      </c>
      <c r="L129" t="s">
        <v>936</v>
      </c>
      <c r="M129" t="s">
        <v>940</v>
      </c>
    </row>
    <row r="130" spans="1:13" x14ac:dyDescent="0.3">
      <c r="A130" t="s">
        <v>840</v>
      </c>
      <c r="B130">
        <v>125</v>
      </c>
      <c r="C130">
        <v>26774703</v>
      </c>
      <c r="D130">
        <v>537134</v>
      </c>
      <c r="E130">
        <v>0</v>
      </c>
      <c r="F130">
        <v>452989</v>
      </c>
      <c r="G130">
        <v>249259062</v>
      </c>
      <c r="H130">
        <v>3161462</v>
      </c>
      <c r="I130">
        <v>24709</v>
      </c>
      <c r="J130">
        <v>7545496</v>
      </c>
      <c r="K130">
        <v>35650</v>
      </c>
      <c r="L130" t="s">
        <v>936</v>
      </c>
      <c r="M130" t="s">
        <v>937</v>
      </c>
    </row>
    <row r="131" spans="1:13" x14ac:dyDescent="0.3">
      <c r="A131" t="s">
        <v>604</v>
      </c>
      <c r="B131">
        <v>129</v>
      </c>
      <c r="C131">
        <v>26479711</v>
      </c>
      <c r="D131">
        <v>553334</v>
      </c>
      <c r="E131">
        <v>754</v>
      </c>
      <c r="F131">
        <v>0</v>
      </c>
      <c r="G131">
        <v>281909759</v>
      </c>
      <c r="H131">
        <v>2933812</v>
      </c>
      <c r="I131">
        <v>26085</v>
      </c>
      <c r="J131">
        <v>8601549</v>
      </c>
      <c r="K131">
        <v>33823</v>
      </c>
      <c r="L131" t="s">
        <v>936</v>
      </c>
      <c r="M131" t="s">
        <v>945</v>
      </c>
    </row>
    <row r="132" spans="1:13" x14ac:dyDescent="0.3">
      <c r="A132" t="s">
        <v>970</v>
      </c>
      <c r="B132">
        <v>115</v>
      </c>
      <c r="C132">
        <v>25973961</v>
      </c>
      <c r="D132">
        <v>341534</v>
      </c>
      <c r="E132">
        <v>0</v>
      </c>
      <c r="F132">
        <v>0</v>
      </c>
      <c r="G132">
        <v>249030516</v>
      </c>
      <c r="H132">
        <v>3110321</v>
      </c>
      <c r="I132">
        <v>49317</v>
      </c>
      <c r="J132">
        <v>9585335</v>
      </c>
      <c r="K132">
        <v>34060</v>
      </c>
      <c r="L132" t="s">
        <v>936</v>
      </c>
      <c r="M132" t="s">
        <v>939</v>
      </c>
    </row>
    <row r="133" spans="1:13" x14ac:dyDescent="0.3">
      <c r="A133" t="s">
        <v>963</v>
      </c>
      <c r="B133">
        <v>119</v>
      </c>
      <c r="C133">
        <v>25883134</v>
      </c>
      <c r="D133">
        <v>550471</v>
      </c>
      <c r="E133">
        <v>1350</v>
      </c>
      <c r="F133">
        <v>0</v>
      </c>
      <c r="G133">
        <v>316354406</v>
      </c>
      <c r="H133">
        <v>3427524</v>
      </c>
      <c r="I133">
        <v>52220</v>
      </c>
      <c r="J133">
        <v>3449800</v>
      </c>
      <c r="K133">
        <v>32180</v>
      </c>
      <c r="L133" t="s">
        <v>936</v>
      </c>
      <c r="M133" t="s">
        <v>946</v>
      </c>
    </row>
    <row r="134" spans="1:13" x14ac:dyDescent="0.3">
      <c r="A134" t="s">
        <v>844</v>
      </c>
      <c r="B134">
        <v>149</v>
      </c>
      <c r="C134">
        <v>25834900</v>
      </c>
      <c r="D134">
        <v>345682</v>
      </c>
      <c r="E134">
        <v>30048</v>
      </c>
      <c r="F134">
        <v>1451954</v>
      </c>
      <c r="G134">
        <v>282441727</v>
      </c>
      <c r="H134">
        <v>2680646</v>
      </c>
      <c r="I134">
        <v>81627</v>
      </c>
      <c r="J134">
        <v>10699701</v>
      </c>
      <c r="K134">
        <v>34153</v>
      </c>
      <c r="L134" t="s">
        <v>987</v>
      </c>
      <c r="M134" t="s">
        <v>939</v>
      </c>
    </row>
    <row r="135" spans="1:13" x14ac:dyDescent="0.3">
      <c r="A135" t="s">
        <v>824</v>
      </c>
      <c r="B135">
        <v>109</v>
      </c>
      <c r="C135">
        <v>25558557</v>
      </c>
      <c r="D135">
        <v>510138</v>
      </c>
      <c r="E135">
        <v>450</v>
      </c>
      <c r="F135">
        <v>0</v>
      </c>
      <c r="G135">
        <v>279054221</v>
      </c>
      <c r="H135">
        <v>3329962</v>
      </c>
      <c r="I135">
        <v>6306</v>
      </c>
      <c r="J135">
        <v>5042586</v>
      </c>
      <c r="K135">
        <v>37673</v>
      </c>
      <c r="L135" t="s">
        <v>936</v>
      </c>
      <c r="M135" t="s">
        <v>959</v>
      </c>
    </row>
    <row r="136" spans="1:13" x14ac:dyDescent="0.3">
      <c r="A136" t="s">
        <v>977</v>
      </c>
      <c r="B136">
        <v>151</v>
      </c>
      <c r="C136">
        <v>25351004</v>
      </c>
      <c r="D136">
        <v>549747</v>
      </c>
      <c r="E136">
        <v>487</v>
      </c>
      <c r="F136">
        <v>0</v>
      </c>
      <c r="G136">
        <v>226017964</v>
      </c>
      <c r="H136">
        <v>2741932</v>
      </c>
      <c r="I136">
        <v>6884</v>
      </c>
      <c r="J136">
        <v>9466611</v>
      </c>
      <c r="K136">
        <v>37803</v>
      </c>
      <c r="L136" t="s">
        <v>936</v>
      </c>
      <c r="M136" t="s">
        <v>959</v>
      </c>
    </row>
    <row r="137" spans="1:13" x14ac:dyDescent="0.3">
      <c r="A137" t="s">
        <v>871</v>
      </c>
      <c r="B137">
        <v>158</v>
      </c>
      <c r="C137">
        <v>25071031</v>
      </c>
      <c r="D137">
        <v>492959</v>
      </c>
      <c r="E137">
        <v>2412</v>
      </c>
      <c r="F137">
        <v>0</v>
      </c>
      <c r="G137">
        <v>199954958</v>
      </c>
      <c r="H137">
        <v>2323944</v>
      </c>
      <c r="I137">
        <v>10708</v>
      </c>
      <c r="J137">
        <v>4022349</v>
      </c>
      <c r="K137">
        <v>34319</v>
      </c>
      <c r="L137" t="s">
        <v>936</v>
      </c>
      <c r="M137" t="s">
        <v>959</v>
      </c>
    </row>
    <row r="138" spans="1:13" x14ac:dyDescent="0.3">
      <c r="A138" t="s">
        <v>846</v>
      </c>
      <c r="B138">
        <v>137</v>
      </c>
      <c r="C138">
        <v>24966469</v>
      </c>
      <c r="D138">
        <v>473637</v>
      </c>
      <c r="E138">
        <v>14850</v>
      </c>
      <c r="F138">
        <v>0</v>
      </c>
      <c r="G138">
        <v>257025373</v>
      </c>
      <c r="H138">
        <v>2921870</v>
      </c>
      <c r="I138">
        <v>145460</v>
      </c>
      <c r="J138">
        <v>3654670</v>
      </c>
      <c r="K138">
        <v>36050</v>
      </c>
      <c r="L138" t="s">
        <v>936</v>
      </c>
      <c r="M138" t="s">
        <v>942</v>
      </c>
    </row>
    <row r="139" spans="1:13" x14ac:dyDescent="0.3">
      <c r="A139" t="s">
        <v>969</v>
      </c>
      <c r="B139">
        <v>110</v>
      </c>
      <c r="C139">
        <v>24648546</v>
      </c>
      <c r="D139">
        <v>440482</v>
      </c>
      <c r="E139">
        <v>956</v>
      </c>
      <c r="F139">
        <v>0</v>
      </c>
      <c r="G139">
        <v>333807140</v>
      </c>
      <c r="H139">
        <v>3422097</v>
      </c>
      <c r="I139">
        <v>29082</v>
      </c>
      <c r="J139">
        <v>17338769</v>
      </c>
      <c r="K139">
        <v>34720</v>
      </c>
      <c r="L139" t="s">
        <v>936</v>
      </c>
      <c r="M139" t="s">
        <v>946</v>
      </c>
    </row>
    <row r="140" spans="1:13" x14ac:dyDescent="0.3">
      <c r="A140" t="s">
        <v>842</v>
      </c>
      <c r="B140">
        <v>147</v>
      </c>
      <c r="C140">
        <v>24416100</v>
      </c>
      <c r="D140">
        <v>258082</v>
      </c>
      <c r="E140">
        <v>3950</v>
      </c>
      <c r="F140">
        <v>0</v>
      </c>
      <c r="G140">
        <v>238965152</v>
      </c>
      <c r="H140">
        <v>2045394</v>
      </c>
      <c r="I140">
        <v>89416</v>
      </c>
      <c r="J140">
        <v>3770795</v>
      </c>
      <c r="K140">
        <v>38573</v>
      </c>
      <c r="L140" t="s">
        <v>936</v>
      </c>
      <c r="M140" t="s">
        <v>946</v>
      </c>
    </row>
    <row r="141" spans="1:13" x14ac:dyDescent="0.3">
      <c r="A141" t="s">
        <v>855</v>
      </c>
      <c r="B141">
        <v>139</v>
      </c>
      <c r="C141">
        <v>24334808</v>
      </c>
      <c r="D141">
        <v>483328</v>
      </c>
      <c r="E141">
        <v>50</v>
      </c>
      <c r="F141">
        <v>0</v>
      </c>
      <c r="G141">
        <v>256116227</v>
      </c>
      <c r="H141">
        <v>2713813</v>
      </c>
      <c r="I141">
        <v>37636</v>
      </c>
      <c r="J141">
        <v>3571075</v>
      </c>
      <c r="K141">
        <v>38380</v>
      </c>
      <c r="L141" t="s">
        <v>936</v>
      </c>
      <c r="M141" t="s">
        <v>940</v>
      </c>
    </row>
    <row r="142" spans="1:13" x14ac:dyDescent="0.3">
      <c r="A142" t="s">
        <v>791</v>
      </c>
      <c r="B142">
        <v>82</v>
      </c>
      <c r="C142">
        <v>24037121</v>
      </c>
      <c r="D142">
        <v>462672</v>
      </c>
      <c r="E142">
        <v>0</v>
      </c>
      <c r="F142">
        <v>0</v>
      </c>
      <c r="G142">
        <v>341826396</v>
      </c>
      <c r="H142">
        <v>4251588</v>
      </c>
      <c r="I142">
        <v>59670</v>
      </c>
      <c r="J142">
        <v>3355651</v>
      </c>
      <c r="K142">
        <v>38510</v>
      </c>
      <c r="L142" t="s">
        <v>936</v>
      </c>
      <c r="M142" t="s">
        <v>939</v>
      </c>
    </row>
    <row r="143" spans="1:13" x14ac:dyDescent="0.3">
      <c r="A143" t="s">
        <v>895</v>
      </c>
      <c r="B143">
        <v>189</v>
      </c>
      <c r="C143">
        <v>23892856</v>
      </c>
      <c r="D143">
        <v>163355</v>
      </c>
      <c r="E143">
        <v>101</v>
      </c>
      <c r="F143">
        <v>0</v>
      </c>
      <c r="G143">
        <v>145478426</v>
      </c>
      <c r="H143">
        <v>710582</v>
      </c>
      <c r="I143">
        <v>13398</v>
      </c>
      <c r="J143">
        <v>9629723</v>
      </c>
      <c r="K143">
        <v>34116</v>
      </c>
      <c r="L143" t="s">
        <v>936</v>
      </c>
      <c r="M143" t="s">
        <v>962</v>
      </c>
    </row>
    <row r="144" spans="1:13" x14ac:dyDescent="0.3">
      <c r="A144" t="s">
        <v>965</v>
      </c>
      <c r="B144">
        <v>133</v>
      </c>
      <c r="C144">
        <v>23872930</v>
      </c>
      <c r="D144">
        <v>550260</v>
      </c>
      <c r="E144">
        <v>15100</v>
      </c>
      <c r="F144">
        <v>0</v>
      </c>
      <c r="G144">
        <v>242055919</v>
      </c>
      <c r="H144">
        <v>3002163</v>
      </c>
      <c r="I144">
        <v>66610</v>
      </c>
      <c r="J144">
        <v>2946859</v>
      </c>
      <c r="K144">
        <v>36183</v>
      </c>
      <c r="L144" t="s">
        <v>936</v>
      </c>
      <c r="M144" t="s">
        <v>942</v>
      </c>
    </row>
    <row r="145" spans="1:13" x14ac:dyDescent="0.3">
      <c r="A145" t="s">
        <v>884</v>
      </c>
      <c r="B145">
        <v>170</v>
      </c>
      <c r="C145">
        <v>23197366</v>
      </c>
      <c r="D145">
        <v>533361</v>
      </c>
      <c r="E145">
        <v>2466</v>
      </c>
      <c r="F145">
        <v>0</v>
      </c>
      <c r="G145">
        <v>155614863</v>
      </c>
      <c r="H145">
        <v>2637436</v>
      </c>
      <c r="I145">
        <v>127350</v>
      </c>
      <c r="J145">
        <v>38833787</v>
      </c>
      <c r="K145">
        <v>30040</v>
      </c>
      <c r="L145" t="s">
        <v>936</v>
      </c>
      <c r="M145" t="s">
        <v>959</v>
      </c>
    </row>
    <row r="146" spans="1:13" x14ac:dyDescent="0.3">
      <c r="A146" t="s">
        <v>882</v>
      </c>
      <c r="B146">
        <v>174</v>
      </c>
      <c r="C146">
        <v>23148782</v>
      </c>
      <c r="D146">
        <v>282141</v>
      </c>
      <c r="E146">
        <v>1400</v>
      </c>
      <c r="F146">
        <v>0</v>
      </c>
      <c r="G146">
        <v>184245353</v>
      </c>
      <c r="H146">
        <v>1625623</v>
      </c>
      <c r="I146">
        <v>12140</v>
      </c>
      <c r="J146">
        <v>4024234</v>
      </c>
      <c r="K146">
        <v>30018</v>
      </c>
      <c r="L146" t="s">
        <v>936</v>
      </c>
      <c r="M146" t="s">
        <v>959</v>
      </c>
    </row>
    <row r="147" spans="1:13" x14ac:dyDescent="0.3">
      <c r="A147" t="s">
        <v>862</v>
      </c>
      <c r="B147">
        <v>152</v>
      </c>
      <c r="C147">
        <v>22436955</v>
      </c>
      <c r="D147">
        <v>440756</v>
      </c>
      <c r="E147">
        <v>183</v>
      </c>
      <c r="F147">
        <v>0</v>
      </c>
      <c r="G147">
        <v>284343715</v>
      </c>
      <c r="H147">
        <v>2424594</v>
      </c>
      <c r="I147">
        <v>25444</v>
      </c>
      <c r="J147">
        <v>2262023</v>
      </c>
      <c r="K147">
        <v>40600</v>
      </c>
      <c r="L147" t="s">
        <v>936</v>
      </c>
      <c r="M147" t="s">
        <v>944</v>
      </c>
    </row>
    <row r="148" spans="1:13" x14ac:dyDescent="0.3">
      <c r="A148" t="s">
        <v>857</v>
      </c>
      <c r="B148">
        <v>138</v>
      </c>
      <c r="C148">
        <v>22396456</v>
      </c>
      <c r="D148">
        <v>437007</v>
      </c>
      <c r="E148">
        <v>0</v>
      </c>
      <c r="F148">
        <v>0</v>
      </c>
      <c r="G148">
        <v>262781999</v>
      </c>
      <c r="H148">
        <v>2773100</v>
      </c>
      <c r="I148">
        <v>18214</v>
      </c>
      <c r="J148">
        <v>3835056</v>
      </c>
      <c r="K148">
        <v>41470</v>
      </c>
      <c r="L148" t="s">
        <v>936</v>
      </c>
      <c r="M148" t="s">
        <v>962</v>
      </c>
    </row>
    <row r="149" spans="1:13" x14ac:dyDescent="0.3">
      <c r="A149" t="s">
        <v>890</v>
      </c>
      <c r="B149">
        <v>182</v>
      </c>
      <c r="C149">
        <v>21376834</v>
      </c>
      <c r="D149">
        <v>368725</v>
      </c>
      <c r="E149">
        <v>3150</v>
      </c>
      <c r="F149">
        <v>0</v>
      </c>
      <c r="G149">
        <v>130641656</v>
      </c>
      <c r="H149">
        <v>1172540</v>
      </c>
      <c r="I149">
        <v>15123</v>
      </c>
      <c r="J149">
        <v>11815276</v>
      </c>
      <c r="K149">
        <v>34150</v>
      </c>
      <c r="L149" t="s">
        <v>936</v>
      </c>
      <c r="M149" t="s">
        <v>942</v>
      </c>
    </row>
    <row r="150" spans="1:13" x14ac:dyDescent="0.3">
      <c r="A150" t="s">
        <v>839</v>
      </c>
      <c r="B150">
        <v>127</v>
      </c>
      <c r="C150">
        <v>21328071</v>
      </c>
      <c r="D150">
        <v>424368</v>
      </c>
      <c r="E150">
        <v>4676</v>
      </c>
      <c r="F150">
        <v>0</v>
      </c>
      <c r="G150">
        <v>317138839</v>
      </c>
      <c r="H150">
        <v>3344837</v>
      </c>
      <c r="I150">
        <v>51106</v>
      </c>
      <c r="J150">
        <v>2529773</v>
      </c>
      <c r="K150">
        <v>40160</v>
      </c>
      <c r="L150" t="s">
        <v>936</v>
      </c>
      <c r="M150" t="s">
        <v>942</v>
      </c>
    </row>
    <row r="151" spans="1:13" x14ac:dyDescent="0.3">
      <c r="A151" t="s">
        <v>838</v>
      </c>
      <c r="B151">
        <v>124</v>
      </c>
      <c r="C151">
        <v>20601594</v>
      </c>
      <c r="D151">
        <v>445140</v>
      </c>
      <c r="E151">
        <v>202</v>
      </c>
      <c r="F151">
        <v>0</v>
      </c>
      <c r="G151">
        <v>249139548</v>
      </c>
      <c r="H151">
        <v>3186392</v>
      </c>
      <c r="I151">
        <v>46122</v>
      </c>
      <c r="J151">
        <v>5152246</v>
      </c>
      <c r="K151">
        <v>35110</v>
      </c>
      <c r="L151" t="s">
        <v>936</v>
      </c>
      <c r="M151" t="s">
        <v>942</v>
      </c>
    </row>
    <row r="152" spans="1:13" x14ac:dyDescent="0.3">
      <c r="A152" t="s">
        <v>843</v>
      </c>
      <c r="B152">
        <v>136</v>
      </c>
      <c r="C152">
        <v>20456990</v>
      </c>
      <c r="D152">
        <v>404381</v>
      </c>
      <c r="E152">
        <v>2769</v>
      </c>
      <c r="F152">
        <v>0</v>
      </c>
      <c r="G152">
        <v>228970354</v>
      </c>
      <c r="H152">
        <v>2970781</v>
      </c>
      <c r="I152">
        <v>59059</v>
      </c>
      <c r="J152">
        <v>3519551</v>
      </c>
      <c r="K152">
        <v>35470</v>
      </c>
      <c r="L152" t="s">
        <v>936</v>
      </c>
      <c r="M152" t="s">
        <v>962</v>
      </c>
    </row>
    <row r="153" spans="1:13" x14ac:dyDescent="0.3">
      <c r="A153" t="s">
        <v>821</v>
      </c>
      <c r="B153">
        <v>101</v>
      </c>
      <c r="C153">
        <v>20072333</v>
      </c>
      <c r="D153">
        <v>395508</v>
      </c>
      <c r="E153">
        <v>350</v>
      </c>
      <c r="F153">
        <v>0</v>
      </c>
      <c r="G153">
        <v>339296494</v>
      </c>
      <c r="H153">
        <v>3815206</v>
      </c>
      <c r="I153">
        <v>59545</v>
      </c>
      <c r="J153">
        <v>4680527</v>
      </c>
      <c r="K153">
        <v>39143</v>
      </c>
      <c r="L153" t="s">
        <v>936</v>
      </c>
      <c r="M153" t="s">
        <v>946</v>
      </c>
    </row>
    <row r="154" spans="1:13" x14ac:dyDescent="0.3">
      <c r="A154" t="s">
        <v>860</v>
      </c>
      <c r="B154">
        <v>162</v>
      </c>
      <c r="C154">
        <v>19830316</v>
      </c>
      <c r="D154">
        <v>203297</v>
      </c>
      <c r="E154">
        <v>450</v>
      </c>
      <c r="F154">
        <v>6634618</v>
      </c>
      <c r="G154">
        <v>156268514</v>
      </c>
      <c r="H154">
        <v>2046684</v>
      </c>
      <c r="I154">
        <v>20020</v>
      </c>
      <c r="J154">
        <v>42425411</v>
      </c>
      <c r="K154">
        <v>31463</v>
      </c>
      <c r="L154" t="s">
        <v>936</v>
      </c>
      <c r="M154" t="s">
        <v>946</v>
      </c>
    </row>
    <row r="155" spans="1:13" x14ac:dyDescent="0.3">
      <c r="A155" t="s">
        <v>827</v>
      </c>
      <c r="B155">
        <v>120</v>
      </c>
      <c r="C155">
        <v>19392274</v>
      </c>
      <c r="D155">
        <v>432276</v>
      </c>
      <c r="E155">
        <v>0</v>
      </c>
      <c r="F155">
        <v>0</v>
      </c>
      <c r="G155">
        <v>260733955</v>
      </c>
      <c r="H155">
        <v>3393214</v>
      </c>
      <c r="I155">
        <v>36746</v>
      </c>
      <c r="J155">
        <v>3415801</v>
      </c>
      <c r="K155">
        <v>37980</v>
      </c>
      <c r="L155" t="s">
        <v>936</v>
      </c>
      <c r="M155" t="s">
        <v>946</v>
      </c>
    </row>
    <row r="156" spans="1:13" x14ac:dyDescent="0.3">
      <c r="A156" t="s">
        <v>870</v>
      </c>
      <c r="B156">
        <v>160</v>
      </c>
      <c r="C156">
        <v>19356886</v>
      </c>
      <c r="D156">
        <v>388384</v>
      </c>
      <c r="E156">
        <v>50</v>
      </c>
      <c r="F156">
        <v>0</v>
      </c>
      <c r="G156">
        <v>227943967</v>
      </c>
      <c r="H156">
        <v>2132606</v>
      </c>
      <c r="I156">
        <v>47061</v>
      </c>
      <c r="J156">
        <v>3293993</v>
      </c>
      <c r="K156">
        <v>31530</v>
      </c>
      <c r="L156" t="s">
        <v>936</v>
      </c>
      <c r="M156" t="s">
        <v>944</v>
      </c>
    </row>
    <row r="157" spans="1:13" x14ac:dyDescent="0.3">
      <c r="A157" t="s">
        <v>828</v>
      </c>
      <c r="B157">
        <v>122</v>
      </c>
      <c r="C157">
        <v>18555405</v>
      </c>
      <c r="D157">
        <v>401914</v>
      </c>
      <c r="E157">
        <v>15750</v>
      </c>
      <c r="F157">
        <v>0</v>
      </c>
      <c r="G157">
        <v>247199003</v>
      </c>
      <c r="H157">
        <v>3065153</v>
      </c>
      <c r="I157">
        <v>80951</v>
      </c>
      <c r="J157">
        <v>13759215</v>
      </c>
      <c r="K157">
        <v>34503</v>
      </c>
      <c r="L157" t="s">
        <v>936</v>
      </c>
      <c r="M157" t="s">
        <v>946</v>
      </c>
    </row>
    <row r="158" spans="1:13" x14ac:dyDescent="0.3">
      <c r="A158" t="s">
        <v>886</v>
      </c>
      <c r="B158">
        <v>175</v>
      </c>
      <c r="C158">
        <v>18396963</v>
      </c>
      <c r="D158">
        <v>411110</v>
      </c>
      <c r="E158">
        <v>15350</v>
      </c>
      <c r="F158">
        <v>0</v>
      </c>
      <c r="G158">
        <v>174751723</v>
      </c>
      <c r="H158">
        <v>1928304</v>
      </c>
      <c r="I158">
        <v>71087</v>
      </c>
      <c r="J158">
        <v>6840688</v>
      </c>
      <c r="K158">
        <v>33170</v>
      </c>
      <c r="L158" t="s">
        <v>936</v>
      </c>
      <c r="M158" t="s">
        <v>959</v>
      </c>
    </row>
    <row r="159" spans="1:13" x14ac:dyDescent="0.3">
      <c r="A159" t="s">
        <v>885</v>
      </c>
      <c r="B159">
        <v>178</v>
      </c>
      <c r="C159">
        <v>18380339</v>
      </c>
      <c r="D159">
        <v>361834</v>
      </c>
      <c r="E159">
        <v>1400</v>
      </c>
      <c r="F159">
        <v>0</v>
      </c>
      <c r="G159">
        <v>171605476</v>
      </c>
      <c r="H159">
        <v>1692343</v>
      </c>
      <c r="I159">
        <v>11101</v>
      </c>
      <c r="J159">
        <v>4030908</v>
      </c>
      <c r="K159">
        <v>31345</v>
      </c>
      <c r="L159" t="s">
        <v>936</v>
      </c>
      <c r="M159" t="s">
        <v>959</v>
      </c>
    </row>
    <row r="160" spans="1:13" x14ac:dyDescent="0.3">
      <c r="A160" t="s">
        <v>831</v>
      </c>
      <c r="B160">
        <v>128</v>
      </c>
      <c r="C160">
        <v>17513371</v>
      </c>
      <c r="D160">
        <v>375343</v>
      </c>
      <c r="E160">
        <v>3600</v>
      </c>
      <c r="F160">
        <v>5309865</v>
      </c>
      <c r="G160">
        <v>233020090</v>
      </c>
      <c r="H160">
        <v>2675827</v>
      </c>
      <c r="I160">
        <v>79127</v>
      </c>
      <c r="J160">
        <v>53153766</v>
      </c>
      <c r="K160">
        <v>31746</v>
      </c>
      <c r="L160" t="s">
        <v>936</v>
      </c>
      <c r="M160" t="s">
        <v>940</v>
      </c>
    </row>
    <row r="161" spans="1:13" x14ac:dyDescent="0.3">
      <c r="A161" t="s">
        <v>896</v>
      </c>
      <c r="B161">
        <v>188</v>
      </c>
      <c r="C161">
        <v>16932946</v>
      </c>
      <c r="D161">
        <v>207427</v>
      </c>
      <c r="E161">
        <v>786</v>
      </c>
      <c r="F161">
        <v>615553</v>
      </c>
      <c r="G161">
        <v>169843756</v>
      </c>
      <c r="H161">
        <v>814376</v>
      </c>
      <c r="I161">
        <v>19623</v>
      </c>
      <c r="J161">
        <v>13167261</v>
      </c>
      <c r="K161">
        <v>31508</v>
      </c>
      <c r="L161" t="s">
        <v>936</v>
      </c>
      <c r="M161" t="s">
        <v>962</v>
      </c>
    </row>
    <row r="162" spans="1:13" x14ac:dyDescent="0.3">
      <c r="A162" t="s">
        <v>856</v>
      </c>
      <c r="B162">
        <v>156</v>
      </c>
      <c r="C162">
        <v>16646949</v>
      </c>
      <c r="D162">
        <v>351090</v>
      </c>
      <c r="E162">
        <v>500</v>
      </c>
      <c r="F162">
        <v>0</v>
      </c>
      <c r="G162">
        <v>141005296</v>
      </c>
      <c r="H162">
        <v>2053277</v>
      </c>
      <c r="I162">
        <v>38994</v>
      </c>
      <c r="J162">
        <v>37620030</v>
      </c>
      <c r="K162">
        <v>17328</v>
      </c>
      <c r="L162" t="s">
        <v>936</v>
      </c>
      <c r="M162" t="s">
        <v>939</v>
      </c>
    </row>
    <row r="163" spans="1:13" x14ac:dyDescent="0.3">
      <c r="A163" t="s">
        <v>876</v>
      </c>
      <c r="B163">
        <v>172</v>
      </c>
      <c r="C163">
        <v>16585087</v>
      </c>
      <c r="D163">
        <v>239286</v>
      </c>
      <c r="E163">
        <v>0</v>
      </c>
      <c r="F163">
        <v>0</v>
      </c>
      <c r="G163">
        <v>221851628</v>
      </c>
      <c r="H163">
        <v>1654563</v>
      </c>
      <c r="I163">
        <v>28244</v>
      </c>
      <c r="J163">
        <v>13900776</v>
      </c>
      <c r="K163">
        <v>36720</v>
      </c>
      <c r="L163" t="s">
        <v>936</v>
      </c>
      <c r="M163" t="s">
        <v>945</v>
      </c>
    </row>
    <row r="164" spans="1:13" x14ac:dyDescent="0.3">
      <c r="A164" t="s">
        <v>875</v>
      </c>
      <c r="B164">
        <v>169</v>
      </c>
      <c r="C164">
        <v>15674643</v>
      </c>
      <c r="D164">
        <v>274527</v>
      </c>
      <c r="E164">
        <v>22666</v>
      </c>
      <c r="F164">
        <v>0</v>
      </c>
      <c r="G164">
        <v>261119951</v>
      </c>
      <c r="H164">
        <v>1610577</v>
      </c>
      <c r="I164">
        <v>70440</v>
      </c>
      <c r="J164">
        <v>16918918</v>
      </c>
      <c r="K164">
        <v>39293</v>
      </c>
      <c r="L164" t="s">
        <v>936</v>
      </c>
      <c r="M164" t="s">
        <v>962</v>
      </c>
    </row>
    <row r="165" spans="1:13" x14ac:dyDescent="0.3">
      <c r="A165" t="s">
        <v>863</v>
      </c>
      <c r="B165">
        <v>153</v>
      </c>
      <c r="C165">
        <v>15366278</v>
      </c>
      <c r="D165">
        <v>306465</v>
      </c>
      <c r="E165">
        <v>192</v>
      </c>
      <c r="F165">
        <v>7211433</v>
      </c>
      <c r="G165">
        <v>219329544</v>
      </c>
      <c r="H165">
        <v>2308719</v>
      </c>
      <c r="I165">
        <v>17622</v>
      </c>
      <c r="J165">
        <v>40436667</v>
      </c>
      <c r="K165">
        <v>43380</v>
      </c>
      <c r="L165" t="s">
        <v>936</v>
      </c>
      <c r="M165" t="s">
        <v>959</v>
      </c>
    </row>
    <row r="166" spans="1:13" x14ac:dyDescent="0.3">
      <c r="A166" t="s">
        <v>848</v>
      </c>
      <c r="B166">
        <v>143</v>
      </c>
      <c r="C166">
        <v>14337221</v>
      </c>
      <c r="D166">
        <v>271044</v>
      </c>
      <c r="E166">
        <v>14560</v>
      </c>
      <c r="F166">
        <v>1338696</v>
      </c>
      <c r="G166">
        <v>237975544</v>
      </c>
      <c r="H166">
        <v>2739090</v>
      </c>
      <c r="I166">
        <v>70530</v>
      </c>
      <c r="J166">
        <v>7562564</v>
      </c>
      <c r="K166">
        <v>36830</v>
      </c>
      <c r="L166" t="s">
        <v>936</v>
      </c>
      <c r="M166" t="s">
        <v>945</v>
      </c>
    </row>
    <row r="167" spans="1:13" x14ac:dyDescent="0.3">
      <c r="A167" t="s">
        <v>861</v>
      </c>
      <c r="B167">
        <v>163</v>
      </c>
      <c r="C167">
        <v>14066239</v>
      </c>
      <c r="D167">
        <v>293137</v>
      </c>
      <c r="E167">
        <v>6250</v>
      </c>
      <c r="F167">
        <v>0</v>
      </c>
      <c r="G167">
        <v>200736876</v>
      </c>
      <c r="H167">
        <v>1772097</v>
      </c>
      <c r="I167">
        <v>53818</v>
      </c>
      <c r="J167">
        <v>12560636</v>
      </c>
      <c r="K167">
        <v>33650</v>
      </c>
      <c r="L167" t="s">
        <v>936</v>
      </c>
      <c r="M167" t="s">
        <v>942</v>
      </c>
    </row>
    <row r="168" spans="1:13" x14ac:dyDescent="0.3">
      <c r="A168" t="s">
        <v>832</v>
      </c>
      <c r="B168">
        <v>126</v>
      </c>
      <c r="C168">
        <v>13728416</v>
      </c>
      <c r="D168">
        <v>256160</v>
      </c>
      <c r="E168">
        <v>7200</v>
      </c>
      <c r="F168">
        <v>8970689</v>
      </c>
      <c r="G168">
        <v>236799319</v>
      </c>
      <c r="H168">
        <v>2730466</v>
      </c>
      <c r="I168">
        <v>113052</v>
      </c>
      <c r="J168">
        <v>56038658</v>
      </c>
      <c r="K168">
        <v>30370</v>
      </c>
      <c r="L168" t="s">
        <v>936</v>
      </c>
      <c r="M168" t="s">
        <v>946</v>
      </c>
    </row>
    <row r="169" spans="1:13" x14ac:dyDescent="0.3">
      <c r="A169" t="s">
        <v>881</v>
      </c>
      <c r="B169">
        <v>177</v>
      </c>
      <c r="C169">
        <v>13483544</v>
      </c>
      <c r="D169">
        <v>271576</v>
      </c>
      <c r="E169">
        <v>0</v>
      </c>
      <c r="F169">
        <v>0</v>
      </c>
      <c r="G169">
        <v>159334113</v>
      </c>
      <c r="H169">
        <v>1444692</v>
      </c>
      <c r="I169">
        <v>5980</v>
      </c>
      <c r="J169">
        <v>3912709</v>
      </c>
      <c r="K169">
        <v>32133</v>
      </c>
      <c r="L169" t="s">
        <v>936</v>
      </c>
      <c r="M169" t="s">
        <v>940</v>
      </c>
    </row>
    <row r="170" spans="1:13" x14ac:dyDescent="0.3">
      <c r="A170" t="s">
        <v>858</v>
      </c>
      <c r="B170">
        <v>154</v>
      </c>
      <c r="C170">
        <v>13162348</v>
      </c>
      <c r="D170">
        <v>253171</v>
      </c>
      <c r="E170">
        <v>4950</v>
      </c>
      <c r="F170">
        <v>13335191</v>
      </c>
      <c r="G170">
        <v>288746213</v>
      </c>
      <c r="H170">
        <v>2151202</v>
      </c>
      <c r="I170">
        <v>63187</v>
      </c>
      <c r="J170">
        <v>51949171</v>
      </c>
      <c r="K170">
        <v>35410</v>
      </c>
      <c r="L170" t="s">
        <v>936</v>
      </c>
      <c r="M170" t="s">
        <v>942</v>
      </c>
    </row>
    <row r="171" spans="1:13" x14ac:dyDescent="0.3">
      <c r="A171" t="s">
        <v>835</v>
      </c>
      <c r="B171">
        <v>135</v>
      </c>
      <c r="C171">
        <v>13102282</v>
      </c>
      <c r="D171">
        <v>262022</v>
      </c>
      <c r="E171">
        <v>101</v>
      </c>
      <c r="F171">
        <v>0</v>
      </c>
      <c r="G171">
        <v>267375863</v>
      </c>
      <c r="H171">
        <v>2514703</v>
      </c>
      <c r="I171">
        <v>32669</v>
      </c>
      <c r="J171">
        <v>4525150</v>
      </c>
      <c r="K171">
        <v>36713</v>
      </c>
      <c r="L171" t="s">
        <v>936</v>
      </c>
      <c r="M171" t="s">
        <v>944</v>
      </c>
    </row>
    <row r="172" spans="1:13" x14ac:dyDescent="0.3">
      <c r="A172" t="s">
        <v>888</v>
      </c>
      <c r="B172">
        <v>183</v>
      </c>
      <c r="C172">
        <v>12884474</v>
      </c>
      <c r="D172">
        <v>151292</v>
      </c>
      <c r="E172">
        <v>357</v>
      </c>
      <c r="F172">
        <v>0</v>
      </c>
      <c r="G172">
        <v>142666859</v>
      </c>
      <c r="H172">
        <v>1058506</v>
      </c>
      <c r="I172">
        <v>29480</v>
      </c>
      <c r="J172">
        <v>10097123</v>
      </c>
      <c r="K172">
        <v>30930</v>
      </c>
      <c r="L172" t="s">
        <v>936</v>
      </c>
      <c r="M172" t="s">
        <v>937</v>
      </c>
    </row>
    <row r="173" spans="1:13" x14ac:dyDescent="0.3">
      <c r="A173" t="s">
        <v>869</v>
      </c>
      <c r="B173">
        <v>164</v>
      </c>
      <c r="C173">
        <v>12874407</v>
      </c>
      <c r="D173">
        <v>290245</v>
      </c>
      <c r="E173">
        <v>3600</v>
      </c>
      <c r="F173">
        <v>0</v>
      </c>
      <c r="G173">
        <v>188020518</v>
      </c>
      <c r="H173">
        <v>2299797</v>
      </c>
      <c r="I173">
        <v>92827</v>
      </c>
      <c r="J173">
        <v>2945065</v>
      </c>
      <c r="K173">
        <v>27143</v>
      </c>
      <c r="L173" t="s">
        <v>936</v>
      </c>
      <c r="M173" t="s">
        <v>940</v>
      </c>
    </row>
    <row r="174" spans="1:13" x14ac:dyDescent="0.3">
      <c r="A174" t="s">
        <v>966</v>
      </c>
      <c r="B174">
        <v>148</v>
      </c>
      <c r="C174">
        <v>12386088</v>
      </c>
      <c r="D174">
        <v>243246</v>
      </c>
      <c r="E174">
        <v>197</v>
      </c>
      <c r="F174">
        <v>0</v>
      </c>
      <c r="G174">
        <v>251633954</v>
      </c>
      <c r="H174">
        <v>2713851</v>
      </c>
      <c r="I174">
        <v>6281</v>
      </c>
      <c r="J174">
        <v>8821778</v>
      </c>
      <c r="K174">
        <v>40810</v>
      </c>
      <c r="L174" t="s">
        <v>936</v>
      </c>
      <c r="M174" t="s">
        <v>940</v>
      </c>
    </row>
    <row r="175" spans="1:13" x14ac:dyDescent="0.3">
      <c r="A175" t="s">
        <v>873</v>
      </c>
      <c r="B175">
        <v>168</v>
      </c>
      <c r="C175">
        <v>12108431</v>
      </c>
      <c r="D175">
        <v>272891</v>
      </c>
      <c r="E175">
        <v>0</v>
      </c>
      <c r="F175">
        <v>0</v>
      </c>
      <c r="G175">
        <v>211695522</v>
      </c>
      <c r="H175">
        <v>2009819</v>
      </c>
      <c r="I175">
        <v>33716</v>
      </c>
      <c r="J175">
        <v>6642651</v>
      </c>
      <c r="K175">
        <v>34083</v>
      </c>
      <c r="L175" t="s">
        <v>936</v>
      </c>
      <c r="M175" t="s">
        <v>937</v>
      </c>
    </row>
    <row r="176" spans="1:13" x14ac:dyDescent="0.3">
      <c r="A176" t="s">
        <v>879</v>
      </c>
      <c r="B176">
        <v>173</v>
      </c>
      <c r="C176">
        <v>11835918</v>
      </c>
      <c r="D176">
        <v>236796</v>
      </c>
      <c r="E176">
        <v>0</v>
      </c>
      <c r="F176">
        <v>0</v>
      </c>
      <c r="G176">
        <v>161825302</v>
      </c>
      <c r="H176">
        <v>1637391</v>
      </c>
      <c r="I176">
        <v>12812</v>
      </c>
      <c r="J176">
        <v>1523337</v>
      </c>
      <c r="K176">
        <v>28120</v>
      </c>
      <c r="L176" t="s">
        <v>936</v>
      </c>
      <c r="M176" t="s">
        <v>942</v>
      </c>
    </row>
    <row r="177" spans="1:13" x14ac:dyDescent="0.3">
      <c r="A177" t="s">
        <v>854</v>
      </c>
      <c r="B177">
        <v>155</v>
      </c>
      <c r="C177">
        <v>11682975</v>
      </c>
      <c r="D177">
        <v>234654</v>
      </c>
      <c r="E177">
        <v>0</v>
      </c>
      <c r="F177">
        <v>0</v>
      </c>
      <c r="G177">
        <v>226238212</v>
      </c>
      <c r="H177">
        <v>2029840</v>
      </c>
      <c r="I177">
        <v>26223</v>
      </c>
      <c r="J177">
        <v>3243805</v>
      </c>
      <c r="K177">
        <v>18793</v>
      </c>
      <c r="L177" t="s">
        <v>936</v>
      </c>
      <c r="M177" t="s">
        <v>942</v>
      </c>
    </row>
    <row r="178" spans="1:13" x14ac:dyDescent="0.3">
      <c r="A178" t="s">
        <v>819</v>
      </c>
      <c r="B178">
        <v>107</v>
      </c>
      <c r="C178">
        <v>11664333</v>
      </c>
      <c r="D178">
        <v>231774</v>
      </c>
      <c r="E178">
        <v>800</v>
      </c>
      <c r="F178">
        <v>0</v>
      </c>
      <c r="G178">
        <v>244470914</v>
      </c>
      <c r="H178">
        <v>3335811</v>
      </c>
      <c r="I178">
        <v>62357</v>
      </c>
      <c r="J178">
        <v>8640603</v>
      </c>
      <c r="K178">
        <v>27326</v>
      </c>
      <c r="L178" t="s">
        <v>936</v>
      </c>
      <c r="M178" t="s">
        <v>946</v>
      </c>
    </row>
    <row r="179" spans="1:13" x14ac:dyDescent="0.3">
      <c r="A179" t="s">
        <v>877</v>
      </c>
      <c r="B179">
        <v>171</v>
      </c>
      <c r="C179">
        <v>11637690</v>
      </c>
      <c r="D179">
        <v>232825</v>
      </c>
      <c r="E179">
        <v>0</v>
      </c>
      <c r="F179">
        <v>0</v>
      </c>
      <c r="G179">
        <v>213303742</v>
      </c>
      <c r="H179">
        <v>1807751</v>
      </c>
      <c r="I179">
        <v>33253</v>
      </c>
      <c r="J179">
        <v>11408653</v>
      </c>
      <c r="K179">
        <v>37720</v>
      </c>
      <c r="L179" t="s">
        <v>936</v>
      </c>
      <c r="M179" t="s">
        <v>942</v>
      </c>
    </row>
    <row r="180" spans="1:13" x14ac:dyDescent="0.3">
      <c r="A180" t="s">
        <v>817</v>
      </c>
      <c r="B180">
        <v>103</v>
      </c>
      <c r="C180">
        <v>11141496</v>
      </c>
      <c r="D180">
        <v>223237</v>
      </c>
      <c r="E180">
        <v>0</v>
      </c>
      <c r="F180">
        <v>0</v>
      </c>
      <c r="G180">
        <v>290900491</v>
      </c>
      <c r="H180">
        <v>3565439</v>
      </c>
      <c r="I180">
        <v>49596</v>
      </c>
      <c r="J180">
        <v>3612005</v>
      </c>
      <c r="K180">
        <v>32899</v>
      </c>
      <c r="L180" t="s">
        <v>936</v>
      </c>
      <c r="M180" t="s">
        <v>940</v>
      </c>
    </row>
    <row r="181" spans="1:13" x14ac:dyDescent="0.3">
      <c r="A181" t="s">
        <v>889</v>
      </c>
      <c r="B181">
        <v>185</v>
      </c>
      <c r="C181">
        <v>9702157</v>
      </c>
      <c r="D181">
        <v>173751</v>
      </c>
      <c r="E181">
        <v>0</v>
      </c>
      <c r="F181">
        <v>1027076</v>
      </c>
      <c r="G181">
        <v>144323694</v>
      </c>
      <c r="H181">
        <v>1001072</v>
      </c>
      <c r="I181">
        <v>30181</v>
      </c>
      <c r="J181">
        <v>8027071</v>
      </c>
      <c r="K181">
        <v>32863</v>
      </c>
      <c r="L181" t="s">
        <v>936</v>
      </c>
      <c r="M181" t="s">
        <v>962</v>
      </c>
    </row>
    <row r="182" spans="1:13" x14ac:dyDescent="0.3">
      <c r="A182" t="s">
        <v>880</v>
      </c>
      <c r="B182">
        <v>179</v>
      </c>
      <c r="C182">
        <v>9461291</v>
      </c>
      <c r="D182">
        <v>90283</v>
      </c>
      <c r="E182">
        <v>1800</v>
      </c>
      <c r="F182">
        <v>0</v>
      </c>
      <c r="G182">
        <v>168996869</v>
      </c>
      <c r="H182">
        <v>1227985</v>
      </c>
      <c r="I182">
        <v>51372</v>
      </c>
      <c r="J182">
        <v>2022935</v>
      </c>
      <c r="K182">
        <v>32580</v>
      </c>
      <c r="L182" t="s">
        <v>936</v>
      </c>
      <c r="M182" t="s">
        <v>942</v>
      </c>
    </row>
    <row r="183" spans="1:13" x14ac:dyDescent="0.3">
      <c r="A183" t="s">
        <v>883</v>
      </c>
      <c r="B183">
        <v>180</v>
      </c>
      <c r="C183">
        <v>8876928</v>
      </c>
      <c r="D183">
        <v>171610</v>
      </c>
      <c r="E183">
        <v>5600</v>
      </c>
      <c r="F183">
        <v>0</v>
      </c>
      <c r="G183">
        <v>137090885</v>
      </c>
      <c r="H183">
        <v>1241770</v>
      </c>
      <c r="I183">
        <v>30275</v>
      </c>
      <c r="J183">
        <v>8057288</v>
      </c>
      <c r="K183">
        <v>34740</v>
      </c>
      <c r="L183" t="s">
        <v>936</v>
      </c>
      <c r="M183" t="s">
        <v>962</v>
      </c>
    </row>
    <row r="184" spans="1:13" x14ac:dyDescent="0.3">
      <c r="A184" t="s">
        <v>878</v>
      </c>
      <c r="B184">
        <v>176</v>
      </c>
      <c r="C184">
        <v>8274886</v>
      </c>
      <c r="D184">
        <v>159066</v>
      </c>
      <c r="E184">
        <v>0</v>
      </c>
      <c r="F184">
        <v>0</v>
      </c>
      <c r="G184">
        <v>167988740</v>
      </c>
      <c r="H184">
        <v>1438265</v>
      </c>
      <c r="I184">
        <v>26727</v>
      </c>
      <c r="J184">
        <v>3024324</v>
      </c>
      <c r="K184">
        <v>36390</v>
      </c>
      <c r="L184" t="s">
        <v>936</v>
      </c>
      <c r="M184" t="s">
        <v>962</v>
      </c>
    </row>
    <row r="185" spans="1:13" x14ac:dyDescent="0.3">
      <c r="A185" t="s">
        <v>901</v>
      </c>
      <c r="B185">
        <v>194</v>
      </c>
      <c r="C185">
        <v>8117150</v>
      </c>
      <c r="D185">
        <v>36011</v>
      </c>
      <c r="E185">
        <v>350</v>
      </c>
      <c r="F185">
        <v>0</v>
      </c>
      <c r="G185">
        <v>111943089</v>
      </c>
      <c r="H185">
        <v>292983</v>
      </c>
      <c r="I185">
        <v>24102</v>
      </c>
      <c r="J185">
        <v>54100651</v>
      </c>
      <c r="K185">
        <v>23730</v>
      </c>
      <c r="L185" t="s">
        <v>936</v>
      </c>
      <c r="M185" t="s">
        <v>937</v>
      </c>
    </row>
    <row r="186" spans="1:13" x14ac:dyDescent="0.3">
      <c r="A186" t="s">
        <v>868</v>
      </c>
      <c r="B186">
        <v>167</v>
      </c>
      <c r="C186">
        <v>7760158</v>
      </c>
      <c r="D186">
        <v>141868</v>
      </c>
      <c r="E186">
        <v>0</v>
      </c>
      <c r="F186">
        <v>2891185</v>
      </c>
      <c r="G186">
        <v>151266290</v>
      </c>
      <c r="H186">
        <v>1693347</v>
      </c>
      <c r="I186">
        <v>15497</v>
      </c>
      <c r="J186">
        <v>39003172</v>
      </c>
      <c r="K186">
        <v>35663</v>
      </c>
      <c r="L186" t="s">
        <v>936</v>
      </c>
      <c r="M186" t="s">
        <v>962</v>
      </c>
    </row>
    <row r="187" spans="1:13" x14ac:dyDescent="0.3">
      <c r="A187" t="s">
        <v>894</v>
      </c>
      <c r="B187">
        <v>187</v>
      </c>
      <c r="C187">
        <v>7225710</v>
      </c>
      <c r="D187">
        <v>146025</v>
      </c>
      <c r="E187">
        <v>0</v>
      </c>
      <c r="F187">
        <v>0</v>
      </c>
      <c r="G187">
        <v>111224937</v>
      </c>
      <c r="H187">
        <v>794323</v>
      </c>
      <c r="I187">
        <v>7644</v>
      </c>
      <c r="J187">
        <v>6188510</v>
      </c>
      <c r="K187">
        <v>25160</v>
      </c>
      <c r="L187" t="s">
        <v>936</v>
      </c>
      <c r="M187" t="s">
        <v>940</v>
      </c>
    </row>
    <row r="188" spans="1:13" x14ac:dyDescent="0.3">
      <c r="A188" t="s">
        <v>975</v>
      </c>
      <c r="B188">
        <v>159</v>
      </c>
      <c r="C188">
        <v>7175327</v>
      </c>
      <c r="D188">
        <v>146036</v>
      </c>
      <c r="E188">
        <v>0</v>
      </c>
      <c r="F188">
        <v>0</v>
      </c>
      <c r="G188">
        <v>169755112</v>
      </c>
      <c r="H188">
        <v>1954481</v>
      </c>
      <c r="I188">
        <v>60531</v>
      </c>
      <c r="J188">
        <v>5539743</v>
      </c>
      <c r="K188">
        <v>35100</v>
      </c>
      <c r="L188" t="s">
        <v>936</v>
      </c>
      <c r="M188" t="s">
        <v>945</v>
      </c>
    </row>
    <row r="189" spans="1:13" x14ac:dyDescent="0.3">
      <c r="A189" t="s">
        <v>1013</v>
      </c>
      <c r="B189">
        <v>196</v>
      </c>
      <c r="C189">
        <v>6775558</v>
      </c>
      <c r="D189">
        <v>63125</v>
      </c>
      <c r="E189">
        <v>700</v>
      </c>
      <c r="F189">
        <v>0</v>
      </c>
      <c r="G189">
        <v>6775558</v>
      </c>
      <c r="H189">
        <v>63125</v>
      </c>
      <c r="I189">
        <v>700</v>
      </c>
      <c r="J189">
        <v>0</v>
      </c>
      <c r="K189">
        <v>37756</v>
      </c>
      <c r="L189" t="s">
        <v>936</v>
      </c>
      <c r="M189" t="s">
        <v>959</v>
      </c>
    </row>
    <row r="190" spans="1:13" x14ac:dyDescent="0.3">
      <c r="A190" t="s">
        <v>891</v>
      </c>
      <c r="B190">
        <v>184</v>
      </c>
      <c r="C190">
        <v>5540332</v>
      </c>
      <c r="D190">
        <v>131201</v>
      </c>
      <c r="E190">
        <v>18900</v>
      </c>
      <c r="F190">
        <v>0</v>
      </c>
      <c r="G190">
        <v>75420903</v>
      </c>
      <c r="H190">
        <v>800698</v>
      </c>
      <c r="I190">
        <v>18900</v>
      </c>
      <c r="J190">
        <v>51514017</v>
      </c>
      <c r="K190">
        <v>24700</v>
      </c>
      <c r="L190" t="s">
        <v>936</v>
      </c>
      <c r="M190" t="s">
        <v>959</v>
      </c>
    </row>
    <row r="191" spans="1:13" x14ac:dyDescent="0.3">
      <c r="A191" t="s">
        <v>898</v>
      </c>
      <c r="B191">
        <v>191</v>
      </c>
      <c r="C191">
        <v>5518461</v>
      </c>
      <c r="D191">
        <v>117789</v>
      </c>
      <c r="E191">
        <v>178</v>
      </c>
      <c r="F191">
        <v>0</v>
      </c>
      <c r="G191">
        <v>90680362</v>
      </c>
      <c r="H191">
        <v>661415</v>
      </c>
      <c r="I191">
        <v>16144</v>
      </c>
      <c r="J191">
        <v>49390691</v>
      </c>
      <c r="K191">
        <v>22563</v>
      </c>
      <c r="L191" t="s">
        <v>936</v>
      </c>
      <c r="M191" t="s">
        <v>937</v>
      </c>
    </row>
    <row r="192" spans="1:13" x14ac:dyDescent="0.3">
      <c r="A192" t="s">
        <v>980</v>
      </c>
      <c r="B192">
        <v>195</v>
      </c>
      <c r="C192">
        <v>5055499</v>
      </c>
      <c r="D192">
        <v>195679</v>
      </c>
      <c r="E192">
        <v>32150</v>
      </c>
      <c r="F192">
        <v>23668723</v>
      </c>
      <c r="G192">
        <v>37355146</v>
      </c>
      <c r="H192">
        <v>402640</v>
      </c>
      <c r="I192">
        <v>65600</v>
      </c>
      <c r="J192">
        <v>91707435</v>
      </c>
      <c r="K192">
        <v>14240</v>
      </c>
      <c r="L192" t="s">
        <v>936</v>
      </c>
      <c r="M192" t="s">
        <v>959</v>
      </c>
    </row>
    <row r="193" spans="1:13" x14ac:dyDescent="0.3">
      <c r="A193" t="s">
        <v>851</v>
      </c>
      <c r="B193">
        <v>157</v>
      </c>
      <c r="C193">
        <v>3421413</v>
      </c>
      <c r="D193">
        <v>68230</v>
      </c>
      <c r="E193">
        <v>1350</v>
      </c>
      <c r="F193">
        <v>0</v>
      </c>
      <c r="G193">
        <v>168946870</v>
      </c>
      <c r="H193">
        <v>1957264</v>
      </c>
      <c r="I193">
        <v>51320</v>
      </c>
      <c r="J193">
        <v>4801442</v>
      </c>
      <c r="K193">
        <v>30640</v>
      </c>
      <c r="L193" t="s">
        <v>936</v>
      </c>
      <c r="M193" t="s">
        <v>940</v>
      </c>
    </row>
    <row r="194" spans="1:13" x14ac:dyDescent="0.3">
      <c r="A194" t="s">
        <v>892</v>
      </c>
      <c r="B194">
        <v>186</v>
      </c>
      <c r="C194">
        <v>3417710</v>
      </c>
      <c r="D194">
        <v>68380</v>
      </c>
      <c r="E194">
        <v>0</v>
      </c>
      <c r="F194">
        <v>0</v>
      </c>
      <c r="G194">
        <v>115351056</v>
      </c>
      <c r="H194">
        <v>747935</v>
      </c>
      <c r="I194">
        <v>4977</v>
      </c>
      <c r="J194">
        <v>15924862</v>
      </c>
      <c r="K194">
        <v>33503</v>
      </c>
      <c r="L194" t="s">
        <v>936</v>
      </c>
      <c r="M194" t="s">
        <v>962</v>
      </c>
    </row>
    <row r="195" spans="1:13" x14ac:dyDescent="0.3">
      <c r="A195" t="s">
        <v>900</v>
      </c>
      <c r="B195">
        <v>193</v>
      </c>
      <c r="C195">
        <v>2965042</v>
      </c>
      <c r="D195">
        <v>56985</v>
      </c>
      <c r="E195">
        <v>1510</v>
      </c>
      <c r="F195">
        <v>15098466</v>
      </c>
      <c r="G195">
        <v>55204943</v>
      </c>
      <c r="H195">
        <v>376154</v>
      </c>
      <c r="I195">
        <v>20585</v>
      </c>
      <c r="J195">
        <v>92420793</v>
      </c>
      <c r="K195">
        <v>17470</v>
      </c>
      <c r="L195" t="s">
        <v>936</v>
      </c>
      <c r="M195" t="s">
        <v>937</v>
      </c>
    </row>
    <row r="196" spans="1:13" x14ac:dyDescent="0.3">
      <c r="A196" t="s">
        <v>893</v>
      </c>
      <c r="B196">
        <v>190</v>
      </c>
      <c r="C196">
        <v>676753</v>
      </c>
      <c r="D196">
        <v>4637</v>
      </c>
      <c r="E196">
        <v>0</v>
      </c>
      <c r="F196">
        <v>44499106</v>
      </c>
      <c r="G196">
        <v>43568750</v>
      </c>
      <c r="H196">
        <v>458808</v>
      </c>
      <c r="I196">
        <v>76192</v>
      </c>
      <c r="J196">
        <v>334085574</v>
      </c>
      <c r="K196">
        <v>20506</v>
      </c>
      <c r="L196" t="s">
        <v>936</v>
      </c>
      <c r="M196" t="s">
        <v>937</v>
      </c>
    </row>
    <row r="197" spans="1:13" x14ac:dyDescent="0.3">
      <c r="A197" t="s">
        <v>897</v>
      </c>
      <c r="B197">
        <v>192</v>
      </c>
      <c r="C197">
        <v>0</v>
      </c>
      <c r="D197">
        <v>0</v>
      </c>
      <c r="E197">
        <v>0</v>
      </c>
      <c r="F197">
        <v>0</v>
      </c>
      <c r="G197">
        <v>57051857</v>
      </c>
      <c r="H197">
        <v>312495</v>
      </c>
      <c r="I197">
        <v>5816</v>
      </c>
      <c r="J197">
        <v>2216756</v>
      </c>
      <c r="K197">
        <v>23480</v>
      </c>
      <c r="L197" t="s">
        <v>936</v>
      </c>
      <c r="M197" t="s">
        <v>937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FF752-9AC6-4D41-BE34-C277BFC1FD97}">
  <dimension ref="A1:M197"/>
  <sheetViews>
    <sheetView workbookViewId="0">
      <selection activeCell="L31" sqref="L31"/>
    </sheetView>
  </sheetViews>
  <sheetFormatPr defaultRowHeight="16.5" x14ac:dyDescent="0.3"/>
  <sheetData>
    <row r="1" spans="1:13" x14ac:dyDescent="0.3">
      <c r="A1" t="s">
        <v>923</v>
      </c>
      <c r="B1" t="s">
        <v>924</v>
      </c>
      <c r="C1" t="s">
        <v>925</v>
      </c>
      <c r="D1" t="s">
        <v>926</v>
      </c>
      <c r="E1" t="s">
        <v>927</v>
      </c>
      <c r="F1" t="s">
        <v>928</v>
      </c>
      <c r="G1" t="s">
        <v>929</v>
      </c>
      <c r="H1" t="s">
        <v>930</v>
      </c>
      <c r="I1" t="s">
        <v>931</v>
      </c>
      <c r="J1" t="s">
        <v>932</v>
      </c>
      <c r="K1" t="s">
        <v>933</v>
      </c>
      <c r="L1" t="s">
        <v>934</v>
      </c>
      <c r="M1" t="s">
        <v>935</v>
      </c>
    </row>
    <row r="2" spans="1:13" x14ac:dyDescent="0.3">
      <c r="A2" t="s">
        <v>746</v>
      </c>
      <c r="B2">
        <v>10</v>
      </c>
      <c r="C2">
        <v>70561048</v>
      </c>
      <c r="D2">
        <v>1485624</v>
      </c>
      <c r="E2">
        <v>1536</v>
      </c>
      <c r="F2">
        <v>0</v>
      </c>
      <c r="G2">
        <v>520154902</v>
      </c>
      <c r="H2">
        <v>8214032</v>
      </c>
      <c r="I2">
        <v>62181</v>
      </c>
      <c r="J2">
        <v>2964363</v>
      </c>
      <c r="K2">
        <v>39106</v>
      </c>
      <c r="L2" t="s">
        <v>936</v>
      </c>
      <c r="M2" t="s">
        <v>943</v>
      </c>
    </row>
    <row r="3" spans="1:13" x14ac:dyDescent="0.3">
      <c r="A3" t="s">
        <v>752</v>
      </c>
      <c r="B3">
        <v>15</v>
      </c>
      <c r="C3">
        <v>71647235</v>
      </c>
      <c r="D3">
        <v>1533455</v>
      </c>
      <c r="E3">
        <v>5850</v>
      </c>
      <c r="F3">
        <v>0</v>
      </c>
      <c r="G3">
        <v>509181465</v>
      </c>
      <c r="H3">
        <v>7696261</v>
      </c>
      <c r="I3">
        <v>69905</v>
      </c>
      <c r="J3">
        <v>3457225</v>
      </c>
      <c r="K3">
        <v>44840</v>
      </c>
      <c r="L3" t="s">
        <v>936</v>
      </c>
      <c r="M3" t="s">
        <v>943</v>
      </c>
    </row>
    <row r="4" spans="1:13" x14ac:dyDescent="0.3">
      <c r="A4" t="s">
        <v>745</v>
      </c>
      <c r="B4">
        <v>14</v>
      </c>
      <c r="C4">
        <v>62815818</v>
      </c>
      <c r="D4">
        <v>1353348</v>
      </c>
      <c r="E4">
        <v>531</v>
      </c>
      <c r="F4">
        <v>0</v>
      </c>
      <c r="G4">
        <v>520189335</v>
      </c>
      <c r="H4">
        <v>8262869</v>
      </c>
      <c r="I4">
        <v>63170</v>
      </c>
      <c r="J4">
        <v>3058362</v>
      </c>
      <c r="K4">
        <v>42190</v>
      </c>
      <c r="L4" t="s">
        <v>936</v>
      </c>
      <c r="M4" t="s">
        <v>943</v>
      </c>
    </row>
    <row r="5" spans="1:13" x14ac:dyDescent="0.3">
      <c r="A5" t="s">
        <v>798</v>
      </c>
      <c r="B5">
        <v>85</v>
      </c>
      <c r="C5">
        <v>40332255</v>
      </c>
      <c r="D5">
        <v>886152</v>
      </c>
      <c r="E5">
        <v>17600</v>
      </c>
      <c r="F5">
        <v>0</v>
      </c>
      <c r="G5">
        <v>369618326</v>
      </c>
      <c r="H5">
        <v>5245396</v>
      </c>
      <c r="I5">
        <v>145711</v>
      </c>
      <c r="J5">
        <v>4290497</v>
      </c>
      <c r="K5">
        <v>39450</v>
      </c>
      <c r="L5" t="s">
        <v>936</v>
      </c>
      <c r="M5" t="s">
        <v>946</v>
      </c>
    </row>
    <row r="6" spans="1:13" x14ac:dyDescent="0.3">
      <c r="A6" t="s">
        <v>795</v>
      </c>
      <c r="B6">
        <v>70</v>
      </c>
      <c r="C6">
        <v>52300207</v>
      </c>
      <c r="D6">
        <v>1084411</v>
      </c>
      <c r="E6">
        <v>1602</v>
      </c>
      <c r="F6">
        <v>0</v>
      </c>
      <c r="G6">
        <v>378775442</v>
      </c>
      <c r="H6">
        <v>5331931</v>
      </c>
      <c r="I6">
        <v>44481</v>
      </c>
      <c r="J6">
        <v>3989749</v>
      </c>
      <c r="K6">
        <v>41370</v>
      </c>
      <c r="L6" t="s">
        <v>936</v>
      </c>
      <c r="M6" t="s">
        <v>939</v>
      </c>
    </row>
    <row r="7" spans="1:13" x14ac:dyDescent="0.3">
      <c r="A7" t="s">
        <v>747</v>
      </c>
      <c r="B7">
        <v>13</v>
      </c>
      <c r="C7">
        <v>71016351</v>
      </c>
      <c r="D7">
        <v>1413994</v>
      </c>
      <c r="E7">
        <v>16908</v>
      </c>
      <c r="F7">
        <v>0</v>
      </c>
      <c r="G7">
        <v>555816354</v>
      </c>
      <c r="H7">
        <v>7741562</v>
      </c>
      <c r="I7">
        <v>126481</v>
      </c>
      <c r="J7">
        <v>2761789</v>
      </c>
      <c r="K7">
        <v>42130</v>
      </c>
      <c r="L7" t="s">
        <v>936</v>
      </c>
      <c r="M7" t="s">
        <v>943</v>
      </c>
    </row>
    <row r="8" spans="1:13" x14ac:dyDescent="0.3">
      <c r="A8" t="s">
        <v>742</v>
      </c>
      <c r="B8">
        <v>2</v>
      </c>
      <c r="C8">
        <v>96649578</v>
      </c>
      <c r="D8">
        <v>2013815</v>
      </c>
      <c r="E8">
        <v>1099</v>
      </c>
      <c r="F8">
        <v>0</v>
      </c>
      <c r="G8">
        <v>647432484</v>
      </c>
      <c r="H8">
        <v>9967526</v>
      </c>
      <c r="I8">
        <v>56718</v>
      </c>
      <c r="J8">
        <v>2762893</v>
      </c>
      <c r="K8">
        <v>42073</v>
      </c>
      <c r="L8" t="s">
        <v>936</v>
      </c>
      <c r="M8" t="s">
        <v>937</v>
      </c>
    </row>
    <row r="9" spans="1:13" x14ac:dyDescent="0.3">
      <c r="A9" t="s">
        <v>740</v>
      </c>
      <c r="B9">
        <v>1</v>
      </c>
      <c r="C9">
        <v>89059805</v>
      </c>
      <c r="D9">
        <v>1763709</v>
      </c>
      <c r="E9">
        <v>14850</v>
      </c>
      <c r="F9">
        <v>0</v>
      </c>
      <c r="G9">
        <v>647431126</v>
      </c>
      <c r="H9">
        <v>10043435</v>
      </c>
      <c r="I9">
        <v>129475</v>
      </c>
      <c r="J9">
        <v>2709594</v>
      </c>
      <c r="K9">
        <v>45173</v>
      </c>
      <c r="L9" t="s">
        <v>936</v>
      </c>
      <c r="M9" t="s">
        <v>944</v>
      </c>
    </row>
    <row r="10" spans="1:13" x14ac:dyDescent="0.3">
      <c r="A10" t="s">
        <v>744</v>
      </c>
      <c r="B10">
        <v>7</v>
      </c>
      <c r="C10">
        <v>80404316</v>
      </c>
      <c r="D10">
        <v>1635689</v>
      </c>
      <c r="E10">
        <v>0</v>
      </c>
      <c r="F10">
        <v>0</v>
      </c>
      <c r="G10">
        <v>598073132</v>
      </c>
      <c r="H10">
        <v>8764934</v>
      </c>
      <c r="I10">
        <v>47662</v>
      </c>
      <c r="J10">
        <v>8203813</v>
      </c>
      <c r="K10">
        <v>47200</v>
      </c>
      <c r="L10" t="s">
        <v>936</v>
      </c>
      <c r="M10" t="s">
        <v>939</v>
      </c>
    </row>
    <row r="11" spans="1:13" x14ac:dyDescent="0.3">
      <c r="A11" t="s">
        <v>753</v>
      </c>
      <c r="B11">
        <v>16</v>
      </c>
      <c r="C11">
        <v>73351440</v>
      </c>
      <c r="D11">
        <v>1518890</v>
      </c>
      <c r="E11">
        <v>0</v>
      </c>
      <c r="F11">
        <v>0</v>
      </c>
      <c r="G11">
        <v>550705922</v>
      </c>
      <c r="H11">
        <v>7363555</v>
      </c>
      <c r="I11">
        <v>41451</v>
      </c>
      <c r="J11">
        <v>2702231</v>
      </c>
      <c r="K11">
        <v>38973</v>
      </c>
      <c r="L11" t="s">
        <v>936</v>
      </c>
      <c r="M11" t="s">
        <v>939</v>
      </c>
    </row>
    <row r="12" spans="1:13" x14ac:dyDescent="0.3">
      <c r="A12" t="s">
        <v>741</v>
      </c>
      <c r="B12">
        <v>6</v>
      </c>
      <c r="C12">
        <v>72365583</v>
      </c>
      <c r="D12">
        <v>1414973</v>
      </c>
      <c r="E12">
        <v>350</v>
      </c>
      <c r="F12">
        <v>0</v>
      </c>
      <c r="G12">
        <v>538253374</v>
      </c>
      <c r="H12">
        <v>8507655</v>
      </c>
      <c r="I12">
        <v>31973</v>
      </c>
      <c r="J12">
        <v>2802676</v>
      </c>
      <c r="K12">
        <v>35750</v>
      </c>
      <c r="L12" t="s">
        <v>936</v>
      </c>
      <c r="M12" t="s">
        <v>940</v>
      </c>
    </row>
    <row r="13" spans="1:13" x14ac:dyDescent="0.3">
      <c r="A13" t="s">
        <v>751</v>
      </c>
      <c r="B13">
        <v>18</v>
      </c>
      <c r="C13">
        <v>59743479</v>
      </c>
      <c r="D13">
        <v>1235452</v>
      </c>
      <c r="E13">
        <v>0</v>
      </c>
      <c r="F13">
        <v>0</v>
      </c>
      <c r="G13">
        <v>459282827</v>
      </c>
      <c r="H13">
        <v>7201329</v>
      </c>
      <c r="I13">
        <v>46851</v>
      </c>
      <c r="J13">
        <v>4819625</v>
      </c>
      <c r="K13">
        <v>40360</v>
      </c>
      <c r="L13" t="s">
        <v>936</v>
      </c>
      <c r="M13" t="s">
        <v>939</v>
      </c>
    </row>
    <row r="14" spans="1:13" x14ac:dyDescent="0.3">
      <c r="A14" t="s">
        <v>754</v>
      </c>
      <c r="B14">
        <v>23</v>
      </c>
      <c r="C14">
        <v>59204337</v>
      </c>
      <c r="D14">
        <v>1165909</v>
      </c>
      <c r="E14">
        <v>50</v>
      </c>
      <c r="F14">
        <v>0</v>
      </c>
      <c r="G14">
        <v>435265474</v>
      </c>
      <c r="H14">
        <v>6448901</v>
      </c>
      <c r="I14">
        <v>32057</v>
      </c>
      <c r="J14">
        <v>3859526</v>
      </c>
      <c r="K14">
        <v>42400</v>
      </c>
      <c r="L14" t="s">
        <v>936</v>
      </c>
      <c r="M14" t="s">
        <v>942</v>
      </c>
    </row>
    <row r="15" spans="1:13" x14ac:dyDescent="0.3">
      <c r="A15" t="s">
        <v>792</v>
      </c>
      <c r="B15">
        <v>64</v>
      </c>
      <c r="C15">
        <v>50810151</v>
      </c>
      <c r="D15">
        <v>1078083</v>
      </c>
      <c r="E15">
        <v>10451</v>
      </c>
      <c r="F15">
        <v>0</v>
      </c>
      <c r="G15">
        <v>375872716</v>
      </c>
      <c r="H15">
        <v>5606340</v>
      </c>
      <c r="I15">
        <v>136340</v>
      </c>
      <c r="J15">
        <v>5387592</v>
      </c>
      <c r="K15">
        <v>37909</v>
      </c>
      <c r="L15" t="s">
        <v>936</v>
      </c>
      <c r="M15" t="s">
        <v>943</v>
      </c>
    </row>
    <row r="16" spans="1:13" x14ac:dyDescent="0.3">
      <c r="A16" t="s">
        <v>957</v>
      </c>
      <c r="B16">
        <v>60</v>
      </c>
      <c r="C16">
        <v>44152265</v>
      </c>
      <c r="D16">
        <v>854041</v>
      </c>
      <c r="E16">
        <v>9385</v>
      </c>
      <c r="F16">
        <v>0</v>
      </c>
      <c r="G16">
        <v>394145153</v>
      </c>
      <c r="H16">
        <v>5340993</v>
      </c>
      <c r="I16">
        <v>53612</v>
      </c>
      <c r="J16">
        <v>2705997</v>
      </c>
      <c r="K16">
        <v>41109</v>
      </c>
      <c r="L16" t="s">
        <v>936</v>
      </c>
      <c r="M16" t="s">
        <v>943</v>
      </c>
    </row>
    <row r="17" spans="1:13" x14ac:dyDescent="0.3">
      <c r="A17" t="s">
        <v>964</v>
      </c>
      <c r="B17">
        <v>111</v>
      </c>
      <c r="C17">
        <v>41255637</v>
      </c>
      <c r="D17">
        <v>841745</v>
      </c>
      <c r="E17">
        <v>50</v>
      </c>
      <c r="F17">
        <v>0</v>
      </c>
      <c r="G17">
        <v>285251040</v>
      </c>
      <c r="H17">
        <v>4054708</v>
      </c>
      <c r="I17">
        <v>55933</v>
      </c>
      <c r="J17">
        <v>3037846</v>
      </c>
      <c r="K17">
        <v>33440</v>
      </c>
      <c r="L17" t="s">
        <v>936</v>
      </c>
      <c r="M17" t="s">
        <v>939</v>
      </c>
    </row>
    <row r="18" spans="1:13" x14ac:dyDescent="0.3">
      <c r="A18" t="s">
        <v>853</v>
      </c>
      <c r="B18">
        <v>150</v>
      </c>
      <c r="C18">
        <v>40513102</v>
      </c>
      <c r="D18">
        <v>695286</v>
      </c>
      <c r="E18">
        <v>101</v>
      </c>
      <c r="F18">
        <v>0</v>
      </c>
      <c r="G18">
        <v>217097046</v>
      </c>
      <c r="H18">
        <v>2575768</v>
      </c>
      <c r="I18">
        <v>36410</v>
      </c>
      <c r="J18">
        <v>53580116</v>
      </c>
      <c r="K18">
        <v>33013</v>
      </c>
      <c r="L18" t="s">
        <v>936</v>
      </c>
      <c r="M18" t="s">
        <v>943</v>
      </c>
    </row>
    <row r="19" spans="1:13" x14ac:dyDescent="0.3">
      <c r="A19" t="s">
        <v>938</v>
      </c>
      <c r="B19">
        <v>4</v>
      </c>
      <c r="C19">
        <v>91517077</v>
      </c>
      <c r="D19">
        <v>1576790</v>
      </c>
      <c r="E19">
        <v>703</v>
      </c>
      <c r="F19">
        <v>0</v>
      </c>
      <c r="G19">
        <v>628030466</v>
      </c>
      <c r="H19">
        <v>9017599</v>
      </c>
      <c r="I19">
        <v>36141</v>
      </c>
      <c r="J19">
        <v>3237273</v>
      </c>
      <c r="K19">
        <v>45080</v>
      </c>
      <c r="L19" t="s">
        <v>936</v>
      </c>
      <c r="M19" t="s">
        <v>939</v>
      </c>
    </row>
    <row r="20" spans="1:13" x14ac:dyDescent="0.3">
      <c r="A20" t="s">
        <v>760</v>
      </c>
      <c r="B20">
        <v>27</v>
      </c>
      <c r="C20">
        <v>87179534</v>
      </c>
      <c r="D20">
        <v>1113401</v>
      </c>
      <c r="E20">
        <v>0</v>
      </c>
      <c r="F20">
        <v>0</v>
      </c>
      <c r="G20">
        <v>707284772</v>
      </c>
      <c r="H20">
        <v>6361581</v>
      </c>
      <c r="I20">
        <v>35635</v>
      </c>
      <c r="J20">
        <v>4082120</v>
      </c>
      <c r="K20">
        <v>44363</v>
      </c>
      <c r="L20" t="s">
        <v>936</v>
      </c>
      <c r="M20" t="s">
        <v>940</v>
      </c>
    </row>
    <row r="21" spans="1:13" x14ac:dyDescent="0.3">
      <c r="A21" t="s">
        <v>743</v>
      </c>
      <c r="B21">
        <v>5</v>
      </c>
      <c r="C21">
        <v>83536907</v>
      </c>
      <c r="D21">
        <v>1458340</v>
      </c>
      <c r="E21">
        <v>5698</v>
      </c>
      <c r="F21">
        <v>0</v>
      </c>
      <c r="G21">
        <v>572996247</v>
      </c>
      <c r="H21">
        <v>8796349</v>
      </c>
      <c r="I21">
        <v>60175</v>
      </c>
      <c r="J21">
        <v>2727930</v>
      </c>
      <c r="K21">
        <v>42770</v>
      </c>
      <c r="L21" t="s">
        <v>936</v>
      </c>
      <c r="M21" t="s">
        <v>940</v>
      </c>
    </row>
    <row r="22" spans="1:13" x14ac:dyDescent="0.3">
      <c r="A22" t="s">
        <v>941</v>
      </c>
      <c r="B22">
        <v>9</v>
      </c>
      <c r="C22">
        <v>75141791</v>
      </c>
      <c r="D22">
        <v>1220967</v>
      </c>
      <c r="E22">
        <v>500</v>
      </c>
      <c r="F22">
        <v>0</v>
      </c>
      <c r="G22">
        <v>556953488</v>
      </c>
      <c r="H22">
        <v>8121451</v>
      </c>
      <c r="I22">
        <v>41849</v>
      </c>
      <c r="J22">
        <v>2702688</v>
      </c>
      <c r="K22">
        <v>45190</v>
      </c>
      <c r="L22" t="s">
        <v>936</v>
      </c>
      <c r="M22" t="s">
        <v>942</v>
      </c>
    </row>
    <row r="23" spans="1:13" x14ac:dyDescent="0.3">
      <c r="A23" t="s">
        <v>804</v>
      </c>
      <c r="B23">
        <v>47</v>
      </c>
      <c r="C23">
        <v>74589021</v>
      </c>
      <c r="D23">
        <v>1535535</v>
      </c>
      <c r="E23">
        <v>96</v>
      </c>
      <c r="F23">
        <v>0</v>
      </c>
      <c r="G23">
        <v>484879413</v>
      </c>
      <c r="H23">
        <v>6361634</v>
      </c>
      <c r="I23">
        <v>15407</v>
      </c>
      <c r="J23">
        <v>12260817</v>
      </c>
      <c r="K23">
        <v>39760</v>
      </c>
      <c r="L23" t="s">
        <v>936</v>
      </c>
      <c r="M23" t="s">
        <v>937</v>
      </c>
    </row>
    <row r="24" spans="1:13" x14ac:dyDescent="0.3">
      <c r="A24" t="s">
        <v>598</v>
      </c>
      <c r="B24">
        <v>3</v>
      </c>
      <c r="C24">
        <v>74138840</v>
      </c>
      <c r="D24">
        <v>1477503</v>
      </c>
      <c r="E24">
        <v>1205</v>
      </c>
      <c r="F24">
        <v>0</v>
      </c>
      <c r="G24">
        <v>594106309</v>
      </c>
      <c r="H24">
        <v>8815541</v>
      </c>
      <c r="I24">
        <v>55110</v>
      </c>
      <c r="J24">
        <v>3882655</v>
      </c>
      <c r="K24">
        <v>41310</v>
      </c>
      <c r="L24" t="s">
        <v>936</v>
      </c>
      <c r="M24" t="s">
        <v>945</v>
      </c>
    </row>
    <row r="25" spans="1:13" x14ac:dyDescent="0.3">
      <c r="A25" t="s">
        <v>961</v>
      </c>
      <c r="B25">
        <v>63</v>
      </c>
      <c r="C25">
        <v>73509091</v>
      </c>
      <c r="D25">
        <v>859965</v>
      </c>
      <c r="E25">
        <v>542</v>
      </c>
      <c r="F25">
        <v>0</v>
      </c>
      <c r="G25">
        <v>411392105</v>
      </c>
      <c r="H25">
        <v>5293851</v>
      </c>
      <c r="I25">
        <v>45079</v>
      </c>
      <c r="J25">
        <v>3480620</v>
      </c>
      <c r="K25">
        <v>42220</v>
      </c>
      <c r="L25" t="s">
        <v>936</v>
      </c>
      <c r="M25" t="s">
        <v>946</v>
      </c>
    </row>
    <row r="26" spans="1:13" x14ac:dyDescent="0.3">
      <c r="A26" t="s">
        <v>748</v>
      </c>
      <c r="B26">
        <v>20</v>
      </c>
      <c r="C26">
        <v>73374051</v>
      </c>
      <c r="D26">
        <v>1113744</v>
      </c>
      <c r="E26">
        <v>0</v>
      </c>
      <c r="F26">
        <v>0</v>
      </c>
      <c r="G26">
        <v>539687925</v>
      </c>
      <c r="H26">
        <v>6766968</v>
      </c>
      <c r="I26">
        <v>29239</v>
      </c>
      <c r="J26">
        <v>2770716</v>
      </c>
      <c r="K26">
        <v>38500</v>
      </c>
      <c r="L26" t="s">
        <v>936</v>
      </c>
      <c r="M26" t="s">
        <v>937</v>
      </c>
    </row>
    <row r="27" spans="1:13" x14ac:dyDescent="0.3">
      <c r="A27" t="s">
        <v>780</v>
      </c>
      <c r="B27">
        <v>54</v>
      </c>
      <c r="C27">
        <v>72052591</v>
      </c>
      <c r="D27">
        <v>1017652</v>
      </c>
      <c r="E27">
        <v>0</v>
      </c>
      <c r="F27">
        <v>0</v>
      </c>
      <c r="G27">
        <v>469872163</v>
      </c>
      <c r="H27">
        <v>5635774</v>
      </c>
      <c r="I27">
        <v>50577</v>
      </c>
      <c r="J27">
        <v>3385461</v>
      </c>
      <c r="K27">
        <v>39840</v>
      </c>
      <c r="L27" t="s">
        <v>936</v>
      </c>
      <c r="M27" t="s">
        <v>942</v>
      </c>
    </row>
    <row r="28" spans="1:13" x14ac:dyDescent="0.3">
      <c r="A28" t="s">
        <v>806</v>
      </c>
      <c r="B28">
        <v>84</v>
      </c>
      <c r="C28">
        <v>66825107</v>
      </c>
      <c r="D28">
        <v>1114194</v>
      </c>
      <c r="E28">
        <v>101</v>
      </c>
      <c r="F28">
        <v>0</v>
      </c>
      <c r="G28">
        <v>474621770</v>
      </c>
      <c r="H28">
        <v>4842787</v>
      </c>
      <c r="I28">
        <v>35059</v>
      </c>
      <c r="J28">
        <v>4581119</v>
      </c>
      <c r="K28">
        <v>48523</v>
      </c>
      <c r="L28" t="s">
        <v>936</v>
      </c>
      <c r="M28" t="s">
        <v>939</v>
      </c>
    </row>
    <row r="29" spans="1:13" x14ac:dyDescent="0.3">
      <c r="A29" t="s">
        <v>783</v>
      </c>
      <c r="B29">
        <v>39</v>
      </c>
      <c r="C29">
        <v>65281591</v>
      </c>
      <c r="D29">
        <v>1270985</v>
      </c>
      <c r="E29">
        <v>4364</v>
      </c>
      <c r="F29">
        <v>0</v>
      </c>
      <c r="G29">
        <v>430570425</v>
      </c>
      <c r="H29">
        <v>5966947</v>
      </c>
      <c r="I29">
        <v>61955</v>
      </c>
      <c r="J29">
        <v>2823608</v>
      </c>
      <c r="K29">
        <v>43469</v>
      </c>
      <c r="L29" t="s">
        <v>936</v>
      </c>
      <c r="M29" t="s">
        <v>945</v>
      </c>
    </row>
    <row r="30" spans="1:13" x14ac:dyDescent="0.3">
      <c r="A30" t="s">
        <v>799</v>
      </c>
      <c r="B30">
        <v>74</v>
      </c>
      <c r="C30">
        <v>65082953</v>
      </c>
      <c r="D30">
        <v>1050620</v>
      </c>
      <c r="E30">
        <v>1430</v>
      </c>
      <c r="F30">
        <v>0</v>
      </c>
      <c r="G30">
        <v>564064338</v>
      </c>
      <c r="H30">
        <v>5393052</v>
      </c>
      <c r="I30">
        <v>51486</v>
      </c>
      <c r="J30">
        <v>3345422</v>
      </c>
      <c r="K30">
        <v>45600</v>
      </c>
      <c r="L30" t="s">
        <v>936</v>
      </c>
      <c r="M30" t="s">
        <v>940</v>
      </c>
    </row>
    <row r="31" spans="1:13" x14ac:dyDescent="0.3">
      <c r="A31" t="s">
        <v>600</v>
      </c>
      <c r="B31">
        <v>71</v>
      </c>
      <c r="C31">
        <v>64617733</v>
      </c>
      <c r="D31">
        <v>1339632</v>
      </c>
      <c r="E31">
        <v>50</v>
      </c>
      <c r="F31">
        <v>0</v>
      </c>
      <c r="G31">
        <v>378068050</v>
      </c>
      <c r="H31">
        <v>5482092</v>
      </c>
      <c r="I31">
        <v>30229</v>
      </c>
      <c r="J31">
        <v>6107671</v>
      </c>
      <c r="K31">
        <v>44330</v>
      </c>
      <c r="L31" t="s">
        <v>936</v>
      </c>
      <c r="M31" t="s">
        <v>945</v>
      </c>
    </row>
    <row r="32" spans="1:13" x14ac:dyDescent="0.3">
      <c r="A32" t="s">
        <v>786</v>
      </c>
      <c r="B32">
        <v>56</v>
      </c>
      <c r="C32">
        <v>62024534</v>
      </c>
      <c r="D32">
        <v>1033227</v>
      </c>
      <c r="E32">
        <v>20851</v>
      </c>
      <c r="F32">
        <v>0</v>
      </c>
      <c r="G32">
        <v>465068082</v>
      </c>
      <c r="H32">
        <v>5674758</v>
      </c>
      <c r="I32">
        <v>102526</v>
      </c>
      <c r="J32">
        <v>2065216</v>
      </c>
      <c r="K32">
        <v>38173</v>
      </c>
      <c r="L32" t="s">
        <v>936</v>
      </c>
      <c r="M32" t="s">
        <v>940</v>
      </c>
    </row>
    <row r="33" spans="1:13" x14ac:dyDescent="0.3">
      <c r="A33" t="s">
        <v>784</v>
      </c>
      <c r="B33">
        <v>45</v>
      </c>
      <c r="C33">
        <v>61416625</v>
      </c>
      <c r="D33">
        <v>1120275</v>
      </c>
      <c r="E33">
        <v>303</v>
      </c>
      <c r="F33">
        <v>0</v>
      </c>
      <c r="G33">
        <v>439933442</v>
      </c>
      <c r="H33">
        <v>5814491</v>
      </c>
      <c r="I33">
        <v>69423</v>
      </c>
      <c r="J33">
        <v>5913914</v>
      </c>
      <c r="K33">
        <v>43090</v>
      </c>
      <c r="L33" t="s">
        <v>936</v>
      </c>
      <c r="M33" t="s">
        <v>942</v>
      </c>
    </row>
    <row r="34" spans="1:13" x14ac:dyDescent="0.3">
      <c r="A34" t="s">
        <v>759</v>
      </c>
      <c r="B34">
        <v>30</v>
      </c>
      <c r="C34">
        <v>61036604</v>
      </c>
      <c r="D34">
        <v>1198034</v>
      </c>
      <c r="E34">
        <v>11700</v>
      </c>
      <c r="F34">
        <v>0</v>
      </c>
      <c r="G34">
        <v>462795082</v>
      </c>
      <c r="H34">
        <v>6372050</v>
      </c>
      <c r="I34">
        <v>79589</v>
      </c>
      <c r="J34">
        <v>3467961</v>
      </c>
      <c r="K34">
        <v>47213</v>
      </c>
      <c r="L34" t="s">
        <v>936</v>
      </c>
      <c r="M34" t="s">
        <v>946</v>
      </c>
    </row>
    <row r="35" spans="1:13" x14ac:dyDescent="0.3">
      <c r="A35" t="s">
        <v>761</v>
      </c>
      <c r="B35">
        <v>31</v>
      </c>
      <c r="C35">
        <v>60587418</v>
      </c>
      <c r="D35">
        <v>1285011</v>
      </c>
      <c r="E35">
        <v>5947</v>
      </c>
      <c r="F35">
        <v>0</v>
      </c>
      <c r="G35">
        <v>478292774</v>
      </c>
      <c r="H35">
        <v>6749617</v>
      </c>
      <c r="I35">
        <v>70070</v>
      </c>
      <c r="J35">
        <v>5426407</v>
      </c>
      <c r="K35">
        <v>41550</v>
      </c>
      <c r="L35" t="s">
        <v>936</v>
      </c>
      <c r="M35" t="s">
        <v>945</v>
      </c>
    </row>
    <row r="36" spans="1:13" x14ac:dyDescent="0.3">
      <c r="A36" t="s">
        <v>755</v>
      </c>
      <c r="B36">
        <v>22</v>
      </c>
      <c r="C36">
        <v>60263977</v>
      </c>
      <c r="D36">
        <v>1201102</v>
      </c>
      <c r="E36">
        <v>20452</v>
      </c>
      <c r="F36">
        <v>0</v>
      </c>
      <c r="G36">
        <v>487596279</v>
      </c>
      <c r="H36">
        <v>6901882</v>
      </c>
      <c r="I36">
        <v>144974</v>
      </c>
      <c r="J36">
        <v>6912971</v>
      </c>
      <c r="K36">
        <v>40376</v>
      </c>
      <c r="L36" t="s">
        <v>936</v>
      </c>
      <c r="M36" t="s">
        <v>940</v>
      </c>
    </row>
    <row r="37" spans="1:13" x14ac:dyDescent="0.3">
      <c r="A37" t="s">
        <v>765</v>
      </c>
      <c r="B37">
        <v>33</v>
      </c>
      <c r="C37">
        <v>59387634</v>
      </c>
      <c r="D37">
        <v>1163073</v>
      </c>
      <c r="E37">
        <v>3150</v>
      </c>
      <c r="F37">
        <v>384740</v>
      </c>
      <c r="G37">
        <v>458604778</v>
      </c>
      <c r="H37">
        <v>6306296</v>
      </c>
      <c r="I37">
        <v>81374</v>
      </c>
      <c r="J37">
        <v>3848650</v>
      </c>
      <c r="K37">
        <v>44186</v>
      </c>
      <c r="L37" t="s">
        <v>936</v>
      </c>
      <c r="M37" t="s">
        <v>946</v>
      </c>
    </row>
    <row r="38" spans="1:13" x14ac:dyDescent="0.3">
      <c r="A38" t="s">
        <v>947</v>
      </c>
      <c r="B38">
        <v>55</v>
      </c>
      <c r="C38">
        <v>59014531</v>
      </c>
      <c r="D38">
        <v>1191967</v>
      </c>
      <c r="E38">
        <v>303</v>
      </c>
      <c r="F38">
        <v>0</v>
      </c>
      <c r="G38">
        <v>419240473</v>
      </c>
      <c r="H38">
        <v>5798483</v>
      </c>
      <c r="I38">
        <v>45494</v>
      </c>
      <c r="J38">
        <v>9110940</v>
      </c>
      <c r="K38">
        <v>42370</v>
      </c>
      <c r="L38" t="s">
        <v>936</v>
      </c>
      <c r="M38" t="s">
        <v>939</v>
      </c>
    </row>
    <row r="39" spans="1:13" x14ac:dyDescent="0.3">
      <c r="A39" t="s">
        <v>599</v>
      </c>
      <c r="B39">
        <v>21</v>
      </c>
      <c r="C39">
        <v>58643984</v>
      </c>
      <c r="D39">
        <v>1219452</v>
      </c>
      <c r="E39">
        <v>486</v>
      </c>
      <c r="F39">
        <v>0</v>
      </c>
      <c r="G39">
        <v>485114730</v>
      </c>
      <c r="H39">
        <v>7031633</v>
      </c>
      <c r="I39">
        <v>43977</v>
      </c>
      <c r="J39">
        <v>2707023</v>
      </c>
      <c r="K39">
        <v>42373</v>
      </c>
      <c r="L39" t="s">
        <v>936</v>
      </c>
      <c r="M39" t="s">
        <v>945</v>
      </c>
    </row>
    <row r="40" spans="1:13" x14ac:dyDescent="0.3">
      <c r="A40" t="s">
        <v>758</v>
      </c>
      <c r="B40">
        <v>25</v>
      </c>
      <c r="C40">
        <v>58576959</v>
      </c>
      <c r="D40">
        <v>1169376</v>
      </c>
      <c r="E40">
        <v>246</v>
      </c>
      <c r="F40">
        <v>0</v>
      </c>
      <c r="G40">
        <v>461366647</v>
      </c>
      <c r="H40">
        <v>6756920</v>
      </c>
      <c r="I40">
        <v>47340</v>
      </c>
      <c r="J40">
        <v>2705074</v>
      </c>
      <c r="K40">
        <v>40543</v>
      </c>
      <c r="L40" t="s">
        <v>936</v>
      </c>
      <c r="M40" t="s">
        <v>939</v>
      </c>
    </row>
    <row r="41" spans="1:13" x14ac:dyDescent="0.3">
      <c r="A41" t="s">
        <v>749</v>
      </c>
      <c r="B41">
        <v>17</v>
      </c>
      <c r="C41">
        <v>58110106</v>
      </c>
      <c r="D41">
        <v>1164931</v>
      </c>
      <c r="E41">
        <v>547</v>
      </c>
      <c r="F41">
        <v>0</v>
      </c>
      <c r="G41">
        <v>487552345</v>
      </c>
      <c r="H41">
        <v>6934816</v>
      </c>
      <c r="I41">
        <v>44915</v>
      </c>
      <c r="J41">
        <v>3448225</v>
      </c>
      <c r="K41">
        <v>46250</v>
      </c>
      <c r="L41" t="s">
        <v>936</v>
      </c>
      <c r="M41" t="s">
        <v>940</v>
      </c>
    </row>
    <row r="42" spans="1:13" x14ac:dyDescent="0.3">
      <c r="A42" t="s">
        <v>776</v>
      </c>
      <c r="B42">
        <v>42</v>
      </c>
      <c r="C42">
        <v>57317607</v>
      </c>
      <c r="D42">
        <v>1185746</v>
      </c>
      <c r="E42">
        <v>0</v>
      </c>
      <c r="F42">
        <v>0</v>
      </c>
      <c r="G42">
        <v>427160186</v>
      </c>
      <c r="H42">
        <v>6048916</v>
      </c>
      <c r="I42">
        <v>31461</v>
      </c>
      <c r="J42">
        <v>19401162</v>
      </c>
      <c r="K42">
        <v>42790</v>
      </c>
      <c r="L42" t="s">
        <v>936</v>
      </c>
      <c r="M42" t="s">
        <v>939</v>
      </c>
    </row>
    <row r="43" spans="1:13" x14ac:dyDescent="0.3">
      <c r="A43" t="s">
        <v>859</v>
      </c>
      <c r="B43">
        <v>151</v>
      </c>
      <c r="C43">
        <v>57092374</v>
      </c>
      <c r="D43">
        <v>652210</v>
      </c>
      <c r="E43">
        <v>18065</v>
      </c>
      <c r="F43">
        <v>0</v>
      </c>
      <c r="G43">
        <v>333125293</v>
      </c>
      <c r="H43">
        <v>2972180</v>
      </c>
      <c r="I43">
        <v>46624</v>
      </c>
      <c r="J43">
        <v>5374699</v>
      </c>
      <c r="K43">
        <v>40900</v>
      </c>
      <c r="L43" t="s">
        <v>936</v>
      </c>
      <c r="M43" t="s">
        <v>962</v>
      </c>
    </row>
    <row r="44" spans="1:13" x14ac:dyDescent="0.3">
      <c r="A44" t="s">
        <v>808</v>
      </c>
      <c r="B44">
        <v>89</v>
      </c>
      <c r="C44">
        <v>56789138</v>
      </c>
      <c r="D44">
        <v>762964</v>
      </c>
      <c r="E44">
        <v>540</v>
      </c>
      <c r="F44">
        <v>0</v>
      </c>
      <c r="G44">
        <v>402653431</v>
      </c>
      <c r="H44">
        <v>4998279</v>
      </c>
      <c r="I44">
        <v>31829</v>
      </c>
      <c r="J44">
        <v>3174407</v>
      </c>
      <c r="K44">
        <v>35496</v>
      </c>
      <c r="L44" t="s">
        <v>936</v>
      </c>
      <c r="M44" t="s">
        <v>946</v>
      </c>
    </row>
    <row r="45" spans="1:13" x14ac:dyDescent="0.3">
      <c r="A45" t="s">
        <v>771</v>
      </c>
      <c r="B45">
        <v>49</v>
      </c>
      <c r="C45">
        <v>56714481</v>
      </c>
      <c r="D45">
        <v>937486</v>
      </c>
      <c r="E45">
        <v>100</v>
      </c>
      <c r="F45">
        <v>0</v>
      </c>
      <c r="G45">
        <v>377301934</v>
      </c>
      <c r="H45">
        <v>5566042</v>
      </c>
      <c r="I45">
        <v>48401</v>
      </c>
      <c r="J45">
        <v>3978341</v>
      </c>
      <c r="K45">
        <v>29789</v>
      </c>
      <c r="L45" t="s">
        <v>936</v>
      </c>
      <c r="M45" t="s">
        <v>939</v>
      </c>
    </row>
    <row r="46" spans="1:13" x14ac:dyDescent="0.3">
      <c r="A46" t="s">
        <v>757</v>
      </c>
      <c r="B46">
        <v>28</v>
      </c>
      <c r="C46">
        <v>56362698</v>
      </c>
      <c r="D46">
        <v>1153856</v>
      </c>
      <c r="E46">
        <v>0</v>
      </c>
      <c r="F46">
        <v>0</v>
      </c>
      <c r="G46">
        <v>436219652</v>
      </c>
      <c r="H46">
        <v>6569978</v>
      </c>
      <c r="I46">
        <v>37588</v>
      </c>
      <c r="J46">
        <v>2782290</v>
      </c>
      <c r="K46">
        <v>37780</v>
      </c>
      <c r="L46" t="s">
        <v>936</v>
      </c>
      <c r="M46" t="s">
        <v>942</v>
      </c>
    </row>
    <row r="47" spans="1:13" x14ac:dyDescent="0.3">
      <c r="A47" t="s">
        <v>801</v>
      </c>
      <c r="B47">
        <v>87</v>
      </c>
      <c r="C47">
        <v>56303923</v>
      </c>
      <c r="D47">
        <v>925940</v>
      </c>
      <c r="E47">
        <v>385</v>
      </c>
      <c r="F47">
        <v>0</v>
      </c>
      <c r="G47">
        <v>393789083</v>
      </c>
      <c r="H47">
        <v>5215000</v>
      </c>
      <c r="I47">
        <v>44993</v>
      </c>
      <c r="J47">
        <v>5367439</v>
      </c>
      <c r="K47">
        <v>42860</v>
      </c>
      <c r="L47" t="s">
        <v>936</v>
      </c>
      <c r="M47" t="s">
        <v>944</v>
      </c>
    </row>
    <row r="48" spans="1:13" x14ac:dyDescent="0.3">
      <c r="A48" t="s">
        <v>949</v>
      </c>
      <c r="B48">
        <v>32</v>
      </c>
      <c r="C48">
        <v>56269879</v>
      </c>
      <c r="D48">
        <v>1198743</v>
      </c>
      <c r="E48">
        <v>0</v>
      </c>
      <c r="F48">
        <v>0</v>
      </c>
      <c r="G48">
        <v>407440579</v>
      </c>
      <c r="H48">
        <v>6298296</v>
      </c>
      <c r="I48">
        <v>61840</v>
      </c>
      <c r="J48">
        <v>3815296</v>
      </c>
      <c r="K48">
        <v>39300</v>
      </c>
      <c r="L48" t="s">
        <v>936</v>
      </c>
      <c r="M48" t="s">
        <v>945</v>
      </c>
    </row>
    <row r="49" spans="1:13" x14ac:dyDescent="0.3">
      <c r="A49" t="s">
        <v>812</v>
      </c>
      <c r="B49">
        <v>86</v>
      </c>
      <c r="C49">
        <v>56073900</v>
      </c>
      <c r="D49">
        <v>1164597</v>
      </c>
      <c r="E49">
        <v>303</v>
      </c>
      <c r="F49">
        <v>309045</v>
      </c>
      <c r="G49">
        <v>377724284</v>
      </c>
      <c r="H49">
        <v>5430810</v>
      </c>
      <c r="I49">
        <v>5276</v>
      </c>
      <c r="J49">
        <v>10898566</v>
      </c>
      <c r="K49">
        <v>43250</v>
      </c>
      <c r="L49" t="s">
        <v>936</v>
      </c>
      <c r="M49" t="s">
        <v>940</v>
      </c>
    </row>
    <row r="50" spans="1:13" x14ac:dyDescent="0.3">
      <c r="A50" t="s">
        <v>814</v>
      </c>
      <c r="B50">
        <v>91</v>
      </c>
      <c r="C50">
        <v>55177150</v>
      </c>
      <c r="D50">
        <v>1028779</v>
      </c>
      <c r="E50">
        <v>350</v>
      </c>
      <c r="F50">
        <v>0</v>
      </c>
      <c r="G50">
        <v>370016569</v>
      </c>
      <c r="H50">
        <v>4720975</v>
      </c>
      <c r="I50">
        <v>37852</v>
      </c>
      <c r="J50">
        <v>6353831</v>
      </c>
      <c r="K50">
        <v>42100</v>
      </c>
      <c r="L50" t="s">
        <v>936</v>
      </c>
      <c r="M50" t="s">
        <v>940</v>
      </c>
    </row>
    <row r="51" spans="1:13" x14ac:dyDescent="0.3">
      <c r="A51" t="s">
        <v>777</v>
      </c>
      <c r="B51">
        <v>50</v>
      </c>
      <c r="C51">
        <v>54929639</v>
      </c>
      <c r="D51">
        <v>1073879</v>
      </c>
      <c r="E51">
        <v>11700</v>
      </c>
      <c r="F51">
        <v>0</v>
      </c>
      <c r="G51">
        <v>373264401</v>
      </c>
      <c r="H51">
        <v>5542648</v>
      </c>
      <c r="I51">
        <v>108092</v>
      </c>
      <c r="J51">
        <v>5085296</v>
      </c>
      <c r="K51">
        <v>37639</v>
      </c>
      <c r="L51" t="s">
        <v>936</v>
      </c>
      <c r="M51" t="s">
        <v>940</v>
      </c>
    </row>
    <row r="52" spans="1:13" x14ac:dyDescent="0.3">
      <c r="A52" t="s">
        <v>809</v>
      </c>
      <c r="B52">
        <v>99</v>
      </c>
      <c r="C52">
        <v>54513300</v>
      </c>
      <c r="D52">
        <v>819662</v>
      </c>
      <c r="E52">
        <v>151</v>
      </c>
      <c r="F52">
        <v>0</v>
      </c>
      <c r="G52">
        <v>361129113</v>
      </c>
      <c r="H52">
        <v>4272615</v>
      </c>
      <c r="I52">
        <v>49283</v>
      </c>
      <c r="J52">
        <v>5987927</v>
      </c>
      <c r="K52">
        <v>43140</v>
      </c>
      <c r="L52" t="s">
        <v>936</v>
      </c>
      <c r="M52" t="s">
        <v>939</v>
      </c>
    </row>
    <row r="53" spans="1:13" x14ac:dyDescent="0.3">
      <c r="A53" t="s">
        <v>845</v>
      </c>
      <c r="B53">
        <v>142</v>
      </c>
      <c r="C53">
        <v>54347082</v>
      </c>
      <c r="D53">
        <v>471008</v>
      </c>
      <c r="E53">
        <v>1600</v>
      </c>
      <c r="F53">
        <v>0</v>
      </c>
      <c r="G53">
        <v>334554540</v>
      </c>
      <c r="H53">
        <v>2994543</v>
      </c>
      <c r="I53">
        <v>37205</v>
      </c>
      <c r="J53">
        <v>20487871</v>
      </c>
      <c r="K53">
        <v>40190</v>
      </c>
      <c r="L53" t="s">
        <v>936</v>
      </c>
      <c r="M53" t="s">
        <v>944</v>
      </c>
    </row>
    <row r="54" spans="1:13" x14ac:dyDescent="0.3">
      <c r="A54" t="s">
        <v>976</v>
      </c>
      <c r="B54">
        <v>110</v>
      </c>
      <c r="C54">
        <v>54193150</v>
      </c>
      <c r="D54">
        <v>922316</v>
      </c>
      <c r="E54">
        <v>1600</v>
      </c>
      <c r="F54">
        <v>0</v>
      </c>
      <c r="G54">
        <v>319740535</v>
      </c>
      <c r="H54">
        <v>4242368</v>
      </c>
      <c r="I54">
        <v>20122</v>
      </c>
      <c r="J54">
        <v>8905273</v>
      </c>
      <c r="K54">
        <v>39580</v>
      </c>
      <c r="L54" t="s">
        <v>936</v>
      </c>
      <c r="M54" t="s">
        <v>942</v>
      </c>
    </row>
    <row r="55" spans="1:13" x14ac:dyDescent="0.3">
      <c r="A55" t="s">
        <v>800</v>
      </c>
      <c r="B55">
        <v>68</v>
      </c>
      <c r="C55">
        <v>53215814</v>
      </c>
      <c r="D55">
        <v>1031212</v>
      </c>
      <c r="E55">
        <v>303</v>
      </c>
      <c r="F55">
        <v>0</v>
      </c>
      <c r="G55">
        <v>386298807</v>
      </c>
      <c r="H55">
        <v>5404059</v>
      </c>
      <c r="I55">
        <v>128138</v>
      </c>
      <c r="J55">
        <v>6872085</v>
      </c>
      <c r="K55">
        <v>39860</v>
      </c>
      <c r="L55" t="s">
        <v>936</v>
      </c>
      <c r="M55" t="s">
        <v>945</v>
      </c>
    </row>
    <row r="56" spans="1:13" x14ac:dyDescent="0.3">
      <c r="A56" t="s">
        <v>793</v>
      </c>
      <c r="B56">
        <v>61</v>
      </c>
      <c r="C56">
        <v>53106545</v>
      </c>
      <c r="D56">
        <v>1084939</v>
      </c>
      <c r="E56">
        <v>120</v>
      </c>
      <c r="F56">
        <v>0</v>
      </c>
      <c r="G56">
        <v>403709225</v>
      </c>
      <c r="H56">
        <v>5523095</v>
      </c>
      <c r="I56">
        <v>44452</v>
      </c>
      <c r="J56">
        <v>3522751</v>
      </c>
      <c r="K56">
        <v>39940</v>
      </c>
      <c r="L56" t="s">
        <v>936</v>
      </c>
      <c r="M56" t="s">
        <v>937</v>
      </c>
    </row>
    <row r="57" spans="1:13" x14ac:dyDescent="0.3">
      <c r="A57" t="s">
        <v>763</v>
      </c>
      <c r="B57">
        <v>34</v>
      </c>
      <c r="C57">
        <v>53042866</v>
      </c>
      <c r="D57">
        <v>1039919</v>
      </c>
      <c r="E57">
        <v>77</v>
      </c>
      <c r="F57">
        <v>0</v>
      </c>
      <c r="G57">
        <v>378936098</v>
      </c>
      <c r="H57">
        <v>5835255</v>
      </c>
      <c r="I57">
        <v>43971</v>
      </c>
      <c r="J57">
        <v>2990195</v>
      </c>
      <c r="K57">
        <v>38540</v>
      </c>
      <c r="L57" t="s">
        <v>936</v>
      </c>
      <c r="M57" t="s">
        <v>940</v>
      </c>
    </row>
    <row r="58" spans="1:13" x14ac:dyDescent="0.3">
      <c r="A58" t="s">
        <v>841</v>
      </c>
      <c r="B58">
        <v>141</v>
      </c>
      <c r="C58">
        <v>52985066</v>
      </c>
      <c r="D58">
        <v>663009</v>
      </c>
      <c r="E58">
        <v>27693</v>
      </c>
      <c r="F58">
        <v>0</v>
      </c>
      <c r="G58">
        <v>235346738</v>
      </c>
      <c r="H58">
        <v>3156302</v>
      </c>
      <c r="I58">
        <v>107196</v>
      </c>
      <c r="J58">
        <v>37062837</v>
      </c>
      <c r="K58">
        <v>30140</v>
      </c>
      <c r="L58" t="s">
        <v>936</v>
      </c>
      <c r="M58" t="s">
        <v>945</v>
      </c>
    </row>
    <row r="59" spans="1:13" x14ac:dyDescent="0.3">
      <c r="A59" t="s">
        <v>772</v>
      </c>
      <c r="B59">
        <v>40</v>
      </c>
      <c r="C59">
        <v>52484050</v>
      </c>
      <c r="D59">
        <v>1076134</v>
      </c>
      <c r="E59">
        <v>522</v>
      </c>
      <c r="F59">
        <v>0</v>
      </c>
      <c r="G59">
        <v>424060352</v>
      </c>
      <c r="H59">
        <v>5865155</v>
      </c>
      <c r="I59">
        <v>62925</v>
      </c>
      <c r="J59">
        <v>2504414</v>
      </c>
      <c r="K59">
        <v>39043</v>
      </c>
      <c r="L59" t="s">
        <v>936</v>
      </c>
      <c r="M59" t="s">
        <v>946</v>
      </c>
    </row>
    <row r="60" spans="1:13" x14ac:dyDescent="0.3">
      <c r="A60" t="s">
        <v>773</v>
      </c>
      <c r="B60">
        <v>48</v>
      </c>
      <c r="C60">
        <v>52335121</v>
      </c>
      <c r="D60">
        <v>1003833</v>
      </c>
      <c r="E60">
        <v>505</v>
      </c>
      <c r="F60">
        <v>0</v>
      </c>
      <c r="G60">
        <v>413780278</v>
      </c>
      <c r="H60">
        <v>5872869</v>
      </c>
      <c r="I60">
        <v>63939</v>
      </c>
      <c r="J60">
        <v>3727713</v>
      </c>
      <c r="K60">
        <v>44283</v>
      </c>
      <c r="L60" t="s">
        <v>936</v>
      </c>
      <c r="M60" t="s">
        <v>946</v>
      </c>
    </row>
    <row r="61" spans="1:13" x14ac:dyDescent="0.3">
      <c r="A61" t="s">
        <v>778</v>
      </c>
      <c r="B61">
        <v>59</v>
      </c>
      <c r="C61">
        <v>51047757</v>
      </c>
      <c r="D61">
        <v>963099</v>
      </c>
      <c r="E61">
        <v>1634</v>
      </c>
      <c r="F61">
        <v>0</v>
      </c>
      <c r="G61">
        <v>466100523</v>
      </c>
      <c r="H61">
        <v>5309938</v>
      </c>
      <c r="I61">
        <v>48592</v>
      </c>
      <c r="J61">
        <v>2712776</v>
      </c>
      <c r="K61">
        <v>39130</v>
      </c>
      <c r="L61" t="s">
        <v>936</v>
      </c>
      <c r="M61" t="s">
        <v>937</v>
      </c>
    </row>
    <row r="62" spans="1:13" x14ac:dyDescent="0.3">
      <c r="A62" t="s">
        <v>950</v>
      </c>
      <c r="B62">
        <v>75</v>
      </c>
      <c r="C62">
        <v>50862169</v>
      </c>
      <c r="D62">
        <v>1079049</v>
      </c>
      <c r="E62">
        <v>398</v>
      </c>
      <c r="F62">
        <v>0</v>
      </c>
      <c r="G62">
        <v>400617249</v>
      </c>
      <c r="H62">
        <v>5559620</v>
      </c>
      <c r="I62">
        <v>35737</v>
      </c>
      <c r="J62">
        <v>3348287</v>
      </c>
      <c r="K62">
        <v>38183</v>
      </c>
      <c r="L62" t="s">
        <v>936</v>
      </c>
      <c r="M62" t="s">
        <v>942</v>
      </c>
    </row>
    <row r="63" spans="1:13" x14ac:dyDescent="0.3">
      <c r="A63" t="s">
        <v>805</v>
      </c>
      <c r="B63">
        <v>77</v>
      </c>
      <c r="C63">
        <v>50736504</v>
      </c>
      <c r="D63">
        <v>1050441</v>
      </c>
      <c r="E63">
        <v>2367</v>
      </c>
      <c r="F63">
        <v>0</v>
      </c>
      <c r="G63">
        <v>405450844</v>
      </c>
      <c r="H63">
        <v>5423980</v>
      </c>
      <c r="I63">
        <v>32645</v>
      </c>
      <c r="J63">
        <v>3701831</v>
      </c>
      <c r="K63">
        <v>40910</v>
      </c>
      <c r="L63" t="s">
        <v>936</v>
      </c>
      <c r="M63" t="s">
        <v>940</v>
      </c>
    </row>
    <row r="64" spans="1:13" x14ac:dyDescent="0.3">
      <c r="A64" t="s">
        <v>769</v>
      </c>
      <c r="B64">
        <v>44</v>
      </c>
      <c r="C64">
        <v>50454288</v>
      </c>
      <c r="D64">
        <v>1059851</v>
      </c>
      <c r="E64">
        <v>1052</v>
      </c>
      <c r="F64">
        <v>0</v>
      </c>
      <c r="G64">
        <v>391023832</v>
      </c>
      <c r="H64">
        <v>5993499</v>
      </c>
      <c r="I64">
        <v>46777</v>
      </c>
      <c r="J64">
        <v>3310084</v>
      </c>
      <c r="K64">
        <v>41630</v>
      </c>
      <c r="L64" t="s">
        <v>936</v>
      </c>
      <c r="M64" t="s">
        <v>939</v>
      </c>
    </row>
    <row r="65" spans="1:13" x14ac:dyDescent="0.3">
      <c r="A65" t="s">
        <v>849</v>
      </c>
      <c r="B65">
        <v>143</v>
      </c>
      <c r="C65">
        <v>50238650</v>
      </c>
      <c r="D65">
        <v>635911</v>
      </c>
      <c r="E65">
        <v>0</v>
      </c>
      <c r="F65">
        <v>0</v>
      </c>
      <c r="G65">
        <v>414098341</v>
      </c>
      <c r="H65">
        <v>2977795</v>
      </c>
      <c r="I65">
        <v>19742</v>
      </c>
      <c r="J65">
        <v>4192603</v>
      </c>
      <c r="K65">
        <v>36930</v>
      </c>
      <c r="L65" t="s">
        <v>936</v>
      </c>
      <c r="M65" t="s">
        <v>937</v>
      </c>
    </row>
    <row r="66" spans="1:13" x14ac:dyDescent="0.3">
      <c r="A66" t="s">
        <v>782</v>
      </c>
      <c r="B66">
        <v>72</v>
      </c>
      <c r="C66">
        <v>49904822</v>
      </c>
      <c r="D66">
        <v>715818</v>
      </c>
      <c r="E66">
        <v>4050</v>
      </c>
      <c r="F66">
        <v>0</v>
      </c>
      <c r="G66">
        <v>436799918</v>
      </c>
      <c r="H66">
        <v>4876147</v>
      </c>
      <c r="I66">
        <v>73418</v>
      </c>
      <c r="J66">
        <v>3629210</v>
      </c>
      <c r="K66">
        <v>41410</v>
      </c>
      <c r="L66" t="s">
        <v>936</v>
      </c>
      <c r="M66" t="s">
        <v>937</v>
      </c>
    </row>
    <row r="67" spans="1:13" x14ac:dyDescent="0.3">
      <c r="A67" t="s">
        <v>770</v>
      </c>
      <c r="B67">
        <v>38</v>
      </c>
      <c r="C67">
        <v>49688800</v>
      </c>
      <c r="D67">
        <v>987731</v>
      </c>
      <c r="E67">
        <v>9825</v>
      </c>
      <c r="F67">
        <v>0</v>
      </c>
      <c r="G67">
        <v>446574056</v>
      </c>
      <c r="H67">
        <v>5762757</v>
      </c>
      <c r="I67">
        <v>77829</v>
      </c>
      <c r="J67">
        <v>2702575</v>
      </c>
      <c r="K67">
        <v>39830</v>
      </c>
      <c r="L67" t="s">
        <v>936</v>
      </c>
      <c r="M67" t="s">
        <v>940</v>
      </c>
    </row>
    <row r="68" spans="1:13" x14ac:dyDescent="0.3">
      <c r="A68" t="s">
        <v>948</v>
      </c>
      <c r="B68">
        <v>88</v>
      </c>
      <c r="C68">
        <v>49678635</v>
      </c>
      <c r="D68">
        <v>1048023</v>
      </c>
      <c r="E68">
        <v>1010</v>
      </c>
      <c r="F68">
        <v>0</v>
      </c>
      <c r="G68">
        <v>382911257</v>
      </c>
      <c r="H68">
        <v>5124627</v>
      </c>
      <c r="I68">
        <v>60874</v>
      </c>
      <c r="J68">
        <v>3007799</v>
      </c>
      <c r="K68">
        <v>40182</v>
      </c>
      <c r="L68" t="s">
        <v>936</v>
      </c>
      <c r="M68" t="s">
        <v>942</v>
      </c>
    </row>
    <row r="69" spans="1:13" x14ac:dyDescent="0.3">
      <c r="A69" t="s">
        <v>803</v>
      </c>
      <c r="B69">
        <v>76</v>
      </c>
      <c r="C69">
        <v>49544267</v>
      </c>
      <c r="D69">
        <v>1022556</v>
      </c>
      <c r="E69">
        <v>0</v>
      </c>
      <c r="F69">
        <v>0</v>
      </c>
      <c r="G69">
        <v>363333990</v>
      </c>
      <c r="H69">
        <v>5267970</v>
      </c>
      <c r="I69">
        <v>47397</v>
      </c>
      <c r="J69">
        <v>52282692</v>
      </c>
      <c r="K69">
        <v>42030</v>
      </c>
      <c r="L69" t="s">
        <v>936</v>
      </c>
      <c r="M69" t="s">
        <v>939</v>
      </c>
    </row>
    <row r="70" spans="1:13" x14ac:dyDescent="0.3">
      <c r="A70" t="s">
        <v>797</v>
      </c>
      <c r="B70">
        <v>67</v>
      </c>
      <c r="C70">
        <v>49486514</v>
      </c>
      <c r="D70">
        <v>1120003</v>
      </c>
      <c r="E70">
        <v>23652</v>
      </c>
      <c r="F70">
        <v>0</v>
      </c>
      <c r="G70">
        <v>387941149</v>
      </c>
      <c r="H70">
        <v>6165058</v>
      </c>
      <c r="I70">
        <v>181669</v>
      </c>
      <c r="J70">
        <v>5856448</v>
      </c>
      <c r="K70">
        <v>39156</v>
      </c>
      <c r="L70" t="s">
        <v>936</v>
      </c>
      <c r="M70" t="s">
        <v>939</v>
      </c>
    </row>
    <row r="71" spans="1:13" x14ac:dyDescent="0.3">
      <c r="A71" t="s">
        <v>955</v>
      </c>
      <c r="B71">
        <v>52</v>
      </c>
      <c r="C71">
        <v>49483314</v>
      </c>
      <c r="D71">
        <v>1034197</v>
      </c>
      <c r="E71">
        <v>350</v>
      </c>
      <c r="F71">
        <v>0</v>
      </c>
      <c r="G71">
        <v>430241591</v>
      </c>
      <c r="H71">
        <v>5702044</v>
      </c>
      <c r="I71">
        <v>58312</v>
      </c>
      <c r="J71">
        <v>2743373</v>
      </c>
      <c r="K71">
        <v>42300</v>
      </c>
      <c r="L71" t="s">
        <v>936</v>
      </c>
      <c r="M71" t="s">
        <v>939</v>
      </c>
    </row>
    <row r="72" spans="1:13" x14ac:dyDescent="0.3">
      <c r="A72" t="s">
        <v>756</v>
      </c>
      <c r="B72">
        <v>29</v>
      </c>
      <c r="C72">
        <v>49345268</v>
      </c>
      <c r="D72">
        <v>1055346</v>
      </c>
      <c r="E72">
        <v>426</v>
      </c>
      <c r="F72">
        <v>0</v>
      </c>
      <c r="G72">
        <v>417685297</v>
      </c>
      <c r="H72">
        <v>6502316</v>
      </c>
      <c r="I72">
        <v>56031</v>
      </c>
      <c r="J72">
        <v>3079272</v>
      </c>
      <c r="K72">
        <v>39293</v>
      </c>
      <c r="L72" t="s">
        <v>936</v>
      </c>
      <c r="M72" t="s">
        <v>945</v>
      </c>
    </row>
    <row r="73" spans="1:13" x14ac:dyDescent="0.3">
      <c r="A73" t="s">
        <v>774</v>
      </c>
      <c r="B73">
        <v>43</v>
      </c>
      <c r="C73">
        <v>48908878</v>
      </c>
      <c r="D73">
        <v>967534</v>
      </c>
      <c r="E73">
        <v>0</v>
      </c>
      <c r="F73">
        <v>0</v>
      </c>
      <c r="G73">
        <v>419849685</v>
      </c>
      <c r="H73">
        <v>5699346</v>
      </c>
      <c r="I73">
        <v>32608</v>
      </c>
      <c r="J73">
        <v>4422108</v>
      </c>
      <c r="K73">
        <v>38386</v>
      </c>
      <c r="L73" t="s">
        <v>936</v>
      </c>
      <c r="M73" t="s">
        <v>946</v>
      </c>
    </row>
    <row r="74" spans="1:13" x14ac:dyDescent="0.3">
      <c r="A74" t="s">
        <v>602</v>
      </c>
      <c r="B74">
        <v>106</v>
      </c>
      <c r="C74">
        <v>48155937</v>
      </c>
      <c r="D74">
        <v>936464</v>
      </c>
      <c r="E74">
        <v>1523</v>
      </c>
      <c r="F74">
        <v>0</v>
      </c>
      <c r="G74">
        <v>339566659</v>
      </c>
      <c r="H74">
        <v>4408013</v>
      </c>
      <c r="I74">
        <v>64985</v>
      </c>
      <c r="J74">
        <v>6527035</v>
      </c>
      <c r="K74">
        <v>36953</v>
      </c>
      <c r="L74" t="s">
        <v>936</v>
      </c>
      <c r="M74" t="s">
        <v>945</v>
      </c>
    </row>
    <row r="75" spans="1:13" x14ac:dyDescent="0.3">
      <c r="A75" t="s">
        <v>775</v>
      </c>
      <c r="B75">
        <v>57</v>
      </c>
      <c r="C75">
        <v>48007660</v>
      </c>
      <c r="D75">
        <v>980179</v>
      </c>
      <c r="E75">
        <v>220</v>
      </c>
      <c r="F75">
        <v>816743</v>
      </c>
      <c r="G75">
        <v>355142065</v>
      </c>
      <c r="H75">
        <v>5497625</v>
      </c>
      <c r="I75">
        <v>49780</v>
      </c>
      <c r="J75">
        <v>4223435</v>
      </c>
      <c r="K75">
        <v>39720</v>
      </c>
      <c r="L75" t="s">
        <v>936</v>
      </c>
      <c r="M75" t="s">
        <v>939</v>
      </c>
    </row>
    <row r="76" spans="1:13" x14ac:dyDescent="0.3">
      <c r="A76" t="s">
        <v>972</v>
      </c>
      <c r="B76">
        <v>93</v>
      </c>
      <c r="C76">
        <v>47751073</v>
      </c>
      <c r="D76">
        <v>946933</v>
      </c>
      <c r="E76">
        <v>0</v>
      </c>
      <c r="F76">
        <v>0</v>
      </c>
      <c r="G76">
        <v>396686900</v>
      </c>
      <c r="H76">
        <v>4683215</v>
      </c>
      <c r="I76">
        <v>40760</v>
      </c>
      <c r="J76">
        <v>2716994</v>
      </c>
      <c r="K76">
        <v>43306</v>
      </c>
      <c r="L76" t="s">
        <v>936</v>
      </c>
      <c r="M76" t="s">
        <v>942</v>
      </c>
    </row>
    <row r="77" spans="1:13" x14ac:dyDescent="0.3">
      <c r="A77" t="s">
        <v>874</v>
      </c>
      <c r="B77">
        <v>175</v>
      </c>
      <c r="C77">
        <v>47398496</v>
      </c>
      <c r="D77">
        <v>464705</v>
      </c>
      <c r="E77">
        <v>13219</v>
      </c>
      <c r="F77">
        <v>0</v>
      </c>
      <c r="G77">
        <v>261008778</v>
      </c>
      <c r="H77">
        <v>1990665</v>
      </c>
      <c r="I77">
        <v>22582</v>
      </c>
      <c r="J77">
        <v>8549159</v>
      </c>
      <c r="K77">
        <v>40198</v>
      </c>
      <c r="L77" t="s">
        <v>936</v>
      </c>
      <c r="M77" t="s">
        <v>937</v>
      </c>
    </row>
    <row r="78" spans="1:13" x14ac:dyDescent="0.3">
      <c r="A78" t="s">
        <v>833</v>
      </c>
      <c r="B78">
        <v>122</v>
      </c>
      <c r="C78">
        <v>47032948</v>
      </c>
      <c r="D78">
        <v>855030</v>
      </c>
      <c r="E78">
        <v>18450</v>
      </c>
      <c r="F78">
        <v>0</v>
      </c>
      <c r="G78">
        <v>372002388</v>
      </c>
      <c r="H78">
        <v>3835758</v>
      </c>
      <c r="I78">
        <v>71574</v>
      </c>
      <c r="J78">
        <v>2144170</v>
      </c>
      <c r="K78">
        <v>45183</v>
      </c>
      <c r="L78" t="s">
        <v>936</v>
      </c>
      <c r="M78" t="s">
        <v>944</v>
      </c>
    </row>
    <row r="79" spans="1:13" x14ac:dyDescent="0.3">
      <c r="A79" t="s">
        <v>811</v>
      </c>
      <c r="B79">
        <v>98</v>
      </c>
      <c r="C79">
        <v>45783192</v>
      </c>
      <c r="D79">
        <v>814528</v>
      </c>
      <c r="E79">
        <v>4651</v>
      </c>
      <c r="F79">
        <v>555531</v>
      </c>
      <c r="G79">
        <v>325176541</v>
      </c>
      <c r="H79">
        <v>4490495</v>
      </c>
      <c r="I79">
        <v>70837</v>
      </c>
      <c r="J79">
        <v>6383975</v>
      </c>
      <c r="K79">
        <v>40440</v>
      </c>
      <c r="L79" t="s">
        <v>936</v>
      </c>
      <c r="M79" t="s">
        <v>939</v>
      </c>
    </row>
    <row r="80" spans="1:13" x14ac:dyDescent="0.3">
      <c r="A80" t="s">
        <v>767</v>
      </c>
      <c r="B80">
        <v>37</v>
      </c>
      <c r="C80">
        <v>44705395</v>
      </c>
      <c r="D80">
        <v>975691</v>
      </c>
      <c r="E80">
        <v>500</v>
      </c>
      <c r="F80">
        <v>0</v>
      </c>
      <c r="G80">
        <v>414255329</v>
      </c>
      <c r="H80">
        <v>6008653</v>
      </c>
      <c r="I80">
        <v>75114</v>
      </c>
      <c r="J80">
        <v>3135417</v>
      </c>
      <c r="K80">
        <v>39673</v>
      </c>
      <c r="L80" t="s">
        <v>936</v>
      </c>
      <c r="M80" t="s">
        <v>944</v>
      </c>
    </row>
    <row r="81" spans="1:13" x14ac:dyDescent="0.3">
      <c r="A81" t="s">
        <v>836</v>
      </c>
      <c r="B81">
        <v>133</v>
      </c>
      <c r="C81">
        <v>44685451</v>
      </c>
      <c r="D81">
        <v>668813</v>
      </c>
      <c r="E81">
        <v>0</v>
      </c>
      <c r="F81">
        <v>0</v>
      </c>
      <c r="G81">
        <v>344469219</v>
      </c>
      <c r="H81">
        <v>3495053</v>
      </c>
      <c r="I81">
        <v>22159</v>
      </c>
      <c r="J81">
        <v>3937082</v>
      </c>
      <c r="K81">
        <v>39220</v>
      </c>
      <c r="L81" t="s">
        <v>936</v>
      </c>
      <c r="M81" t="s">
        <v>940</v>
      </c>
    </row>
    <row r="82" spans="1:13" x14ac:dyDescent="0.3">
      <c r="A82" t="s">
        <v>953</v>
      </c>
      <c r="B82">
        <v>94</v>
      </c>
      <c r="C82">
        <v>44662169</v>
      </c>
      <c r="D82">
        <v>892835</v>
      </c>
      <c r="E82">
        <v>101</v>
      </c>
      <c r="F82">
        <v>0</v>
      </c>
      <c r="G82">
        <v>391108043</v>
      </c>
      <c r="H82">
        <v>4903045</v>
      </c>
      <c r="I82">
        <v>32342</v>
      </c>
      <c r="J82">
        <v>3306963</v>
      </c>
      <c r="K82">
        <v>40536</v>
      </c>
      <c r="L82" t="s">
        <v>936</v>
      </c>
      <c r="M82" t="s">
        <v>942</v>
      </c>
    </row>
    <row r="83" spans="1:13" x14ac:dyDescent="0.3">
      <c r="A83" t="s">
        <v>952</v>
      </c>
      <c r="B83">
        <v>81</v>
      </c>
      <c r="C83">
        <v>44577115</v>
      </c>
      <c r="D83">
        <v>955833</v>
      </c>
      <c r="E83">
        <v>1653</v>
      </c>
      <c r="F83">
        <v>0</v>
      </c>
      <c r="G83">
        <v>426848864</v>
      </c>
      <c r="H83">
        <v>5452766</v>
      </c>
      <c r="I83">
        <v>56888</v>
      </c>
      <c r="J83">
        <v>3312487</v>
      </c>
      <c r="K83">
        <v>36150</v>
      </c>
      <c r="L83" t="s">
        <v>936</v>
      </c>
      <c r="M83" t="s">
        <v>942</v>
      </c>
    </row>
    <row r="84" spans="1:13" x14ac:dyDescent="0.3">
      <c r="A84" t="s">
        <v>837</v>
      </c>
      <c r="B84">
        <v>123</v>
      </c>
      <c r="C84">
        <v>44340629</v>
      </c>
      <c r="D84">
        <v>898791</v>
      </c>
      <c r="E84">
        <v>202</v>
      </c>
      <c r="F84">
        <v>0</v>
      </c>
      <c r="G84">
        <v>321740224</v>
      </c>
      <c r="H84">
        <v>3801944</v>
      </c>
      <c r="I84">
        <v>34699</v>
      </c>
      <c r="J84">
        <v>11047709</v>
      </c>
      <c r="K84">
        <v>36190</v>
      </c>
      <c r="L84" t="s">
        <v>936</v>
      </c>
      <c r="M84" t="s">
        <v>937</v>
      </c>
    </row>
    <row r="85" spans="1:13" x14ac:dyDescent="0.3">
      <c r="A85" t="s">
        <v>788</v>
      </c>
      <c r="B85">
        <v>78</v>
      </c>
      <c r="C85">
        <v>44228303</v>
      </c>
      <c r="D85">
        <v>703901</v>
      </c>
      <c r="E85">
        <v>0</v>
      </c>
      <c r="F85">
        <v>0</v>
      </c>
      <c r="G85">
        <v>378118510</v>
      </c>
      <c r="H85">
        <v>4620864</v>
      </c>
      <c r="I85">
        <v>48763</v>
      </c>
      <c r="J85">
        <v>3359356</v>
      </c>
      <c r="K85">
        <v>47020</v>
      </c>
      <c r="L85" t="s">
        <v>936</v>
      </c>
      <c r="M85" t="s">
        <v>944</v>
      </c>
    </row>
    <row r="86" spans="1:13" x14ac:dyDescent="0.3">
      <c r="A86" t="s">
        <v>974</v>
      </c>
      <c r="B86">
        <v>139</v>
      </c>
      <c r="C86">
        <v>44060513</v>
      </c>
      <c r="D86">
        <v>890674</v>
      </c>
      <c r="E86">
        <v>1750</v>
      </c>
      <c r="F86">
        <v>0</v>
      </c>
      <c r="G86">
        <v>274666145</v>
      </c>
      <c r="H86">
        <v>3345801</v>
      </c>
      <c r="I86">
        <v>25726</v>
      </c>
      <c r="J86">
        <v>12114174</v>
      </c>
      <c r="K86">
        <v>40480</v>
      </c>
      <c r="L86" t="s">
        <v>936</v>
      </c>
      <c r="M86" t="s">
        <v>942</v>
      </c>
    </row>
    <row r="87" spans="1:13" x14ac:dyDescent="0.3">
      <c r="A87" t="s">
        <v>958</v>
      </c>
      <c r="B87">
        <v>115</v>
      </c>
      <c r="C87">
        <v>43644820</v>
      </c>
      <c r="D87">
        <v>868779</v>
      </c>
      <c r="E87">
        <v>0</v>
      </c>
      <c r="F87">
        <v>0</v>
      </c>
      <c r="G87">
        <v>282626014</v>
      </c>
      <c r="H87">
        <v>3962346</v>
      </c>
      <c r="I87">
        <v>15948</v>
      </c>
      <c r="J87">
        <v>4317550</v>
      </c>
      <c r="K87">
        <v>41500</v>
      </c>
      <c r="L87" t="s">
        <v>936</v>
      </c>
      <c r="M87" t="s">
        <v>945</v>
      </c>
    </row>
    <row r="88" spans="1:13" x14ac:dyDescent="0.3">
      <c r="A88" t="s">
        <v>785</v>
      </c>
      <c r="B88">
        <v>62</v>
      </c>
      <c r="C88">
        <v>43596455</v>
      </c>
      <c r="D88">
        <v>971541</v>
      </c>
      <c r="E88">
        <v>19088</v>
      </c>
      <c r="F88">
        <v>0</v>
      </c>
      <c r="G88">
        <v>358229274</v>
      </c>
      <c r="H88">
        <v>6088402</v>
      </c>
      <c r="I88">
        <v>156920</v>
      </c>
      <c r="J88">
        <v>3404300</v>
      </c>
      <c r="K88">
        <v>38850</v>
      </c>
      <c r="L88" t="s">
        <v>936</v>
      </c>
      <c r="M88" t="s">
        <v>946</v>
      </c>
    </row>
    <row r="89" spans="1:13" x14ac:dyDescent="0.3">
      <c r="A89" t="s">
        <v>789</v>
      </c>
      <c r="B89">
        <v>66</v>
      </c>
      <c r="C89">
        <v>43471945</v>
      </c>
      <c r="D89">
        <v>887369</v>
      </c>
      <c r="E89">
        <v>1574</v>
      </c>
      <c r="F89">
        <v>0</v>
      </c>
      <c r="G89">
        <v>409145625</v>
      </c>
      <c r="H89">
        <v>5352602</v>
      </c>
      <c r="I89">
        <v>91651</v>
      </c>
      <c r="J89">
        <v>3538091</v>
      </c>
      <c r="K89">
        <v>40930</v>
      </c>
      <c r="L89" t="s">
        <v>936</v>
      </c>
      <c r="M89" t="s">
        <v>945</v>
      </c>
    </row>
    <row r="90" spans="1:13" x14ac:dyDescent="0.3">
      <c r="A90" t="s">
        <v>601</v>
      </c>
      <c r="B90">
        <v>97</v>
      </c>
      <c r="C90">
        <v>43469095</v>
      </c>
      <c r="D90">
        <v>915393</v>
      </c>
      <c r="E90">
        <v>350</v>
      </c>
      <c r="F90">
        <v>0</v>
      </c>
      <c r="G90">
        <v>321924835</v>
      </c>
      <c r="H90">
        <v>4948316</v>
      </c>
      <c r="I90">
        <v>47524</v>
      </c>
      <c r="J90">
        <v>4578043</v>
      </c>
      <c r="K90">
        <v>38073</v>
      </c>
      <c r="L90" t="s">
        <v>936</v>
      </c>
      <c r="M90" t="s">
        <v>945</v>
      </c>
    </row>
    <row r="91" spans="1:13" x14ac:dyDescent="0.3">
      <c r="A91" t="s">
        <v>865</v>
      </c>
      <c r="B91">
        <v>154</v>
      </c>
      <c r="C91">
        <v>43386489</v>
      </c>
      <c r="D91">
        <v>728835</v>
      </c>
      <c r="E91">
        <v>0</v>
      </c>
      <c r="F91">
        <v>0</v>
      </c>
      <c r="G91">
        <v>258427927</v>
      </c>
      <c r="H91">
        <v>2839850</v>
      </c>
      <c r="I91">
        <v>3797</v>
      </c>
      <c r="J91">
        <v>35083546</v>
      </c>
      <c r="K91">
        <v>38643</v>
      </c>
      <c r="L91" t="s">
        <v>936</v>
      </c>
      <c r="M91" t="s">
        <v>937</v>
      </c>
    </row>
    <row r="92" spans="1:13" x14ac:dyDescent="0.3">
      <c r="A92" t="s">
        <v>794</v>
      </c>
      <c r="B92">
        <v>82</v>
      </c>
      <c r="C92">
        <v>43250119</v>
      </c>
      <c r="D92">
        <v>775270</v>
      </c>
      <c r="E92">
        <v>0</v>
      </c>
      <c r="F92">
        <v>0</v>
      </c>
      <c r="G92">
        <v>369533235</v>
      </c>
      <c r="H92">
        <v>4643910</v>
      </c>
      <c r="I92">
        <v>29325</v>
      </c>
      <c r="J92">
        <v>6477417</v>
      </c>
      <c r="K92">
        <v>43116</v>
      </c>
      <c r="L92" t="s">
        <v>936</v>
      </c>
      <c r="M92" t="s">
        <v>942</v>
      </c>
    </row>
    <row r="93" spans="1:13" x14ac:dyDescent="0.3">
      <c r="A93" t="s">
        <v>818</v>
      </c>
      <c r="B93">
        <v>102</v>
      </c>
      <c r="C93">
        <v>43214902</v>
      </c>
      <c r="D93">
        <v>851268</v>
      </c>
      <c r="E93">
        <v>21700</v>
      </c>
      <c r="F93">
        <v>0</v>
      </c>
      <c r="G93">
        <v>337886412</v>
      </c>
      <c r="H93">
        <v>4624811</v>
      </c>
      <c r="I93">
        <v>159978</v>
      </c>
      <c r="J93">
        <v>4891434</v>
      </c>
      <c r="K93">
        <v>40230</v>
      </c>
      <c r="L93" t="s">
        <v>936</v>
      </c>
      <c r="M93" t="s">
        <v>946</v>
      </c>
    </row>
    <row r="94" spans="1:13" x14ac:dyDescent="0.3">
      <c r="A94" t="s">
        <v>781</v>
      </c>
      <c r="B94">
        <v>58</v>
      </c>
      <c r="C94">
        <v>42958925</v>
      </c>
      <c r="D94">
        <v>854123</v>
      </c>
      <c r="E94">
        <v>0</v>
      </c>
      <c r="F94">
        <v>0</v>
      </c>
      <c r="G94">
        <v>386429950</v>
      </c>
      <c r="H94">
        <v>5236529</v>
      </c>
      <c r="I94">
        <v>44811</v>
      </c>
      <c r="J94">
        <v>2870594</v>
      </c>
      <c r="K94">
        <v>41140</v>
      </c>
      <c r="L94" t="s">
        <v>936</v>
      </c>
      <c r="M94" t="s">
        <v>944</v>
      </c>
    </row>
    <row r="95" spans="1:13" x14ac:dyDescent="0.3">
      <c r="A95" t="s">
        <v>820</v>
      </c>
      <c r="B95">
        <v>104</v>
      </c>
      <c r="C95">
        <v>42868063</v>
      </c>
      <c r="D95">
        <v>790539</v>
      </c>
      <c r="E95">
        <v>750</v>
      </c>
      <c r="F95">
        <v>0</v>
      </c>
      <c r="G95">
        <v>348256252</v>
      </c>
      <c r="H95">
        <v>4244252</v>
      </c>
      <c r="I95">
        <v>46216</v>
      </c>
      <c r="J95">
        <v>4123091</v>
      </c>
      <c r="K95">
        <v>37409</v>
      </c>
      <c r="L95" t="s">
        <v>936</v>
      </c>
      <c r="M95" t="s">
        <v>946</v>
      </c>
    </row>
    <row r="96" spans="1:13" x14ac:dyDescent="0.3">
      <c r="A96" t="s">
        <v>790</v>
      </c>
      <c r="B96">
        <v>69</v>
      </c>
      <c r="C96">
        <v>42497236</v>
      </c>
      <c r="D96">
        <v>836261</v>
      </c>
      <c r="E96">
        <v>15331</v>
      </c>
      <c r="F96">
        <v>0</v>
      </c>
      <c r="G96">
        <v>368572363</v>
      </c>
      <c r="H96">
        <v>5028289</v>
      </c>
      <c r="I96">
        <v>62212</v>
      </c>
      <c r="J96">
        <v>2836865</v>
      </c>
      <c r="K96">
        <v>38670</v>
      </c>
      <c r="L96" t="s">
        <v>936</v>
      </c>
      <c r="M96" t="s">
        <v>945</v>
      </c>
    </row>
    <row r="97" spans="1:13" x14ac:dyDescent="0.3">
      <c r="A97" t="s">
        <v>762</v>
      </c>
      <c r="B97">
        <v>35</v>
      </c>
      <c r="C97">
        <v>42306337</v>
      </c>
      <c r="D97">
        <v>843632</v>
      </c>
      <c r="E97">
        <v>2700</v>
      </c>
      <c r="F97">
        <v>0</v>
      </c>
      <c r="G97">
        <v>467021997</v>
      </c>
      <c r="H97">
        <v>5813857</v>
      </c>
      <c r="I97">
        <v>76047</v>
      </c>
      <c r="J97">
        <v>4079718</v>
      </c>
      <c r="K97">
        <v>43566</v>
      </c>
      <c r="L97" t="s">
        <v>936</v>
      </c>
      <c r="M97" t="s">
        <v>937</v>
      </c>
    </row>
    <row r="98" spans="1:13" x14ac:dyDescent="0.3">
      <c r="A98" t="s">
        <v>796</v>
      </c>
      <c r="B98">
        <v>79</v>
      </c>
      <c r="C98">
        <v>42131718</v>
      </c>
      <c r="D98">
        <v>810122</v>
      </c>
      <c r="E98">
        <v>12338</v>
      </c>
      <c r="F98">
        <v>0</v>
      </c>
      <c r="G98">
        <v>381973320</v>
      </c>
      <c r="H98">
        <v>4811860</v>
      </c>
      <c r="I98">
        <v>95220</v>
      </c>
      <c r="J98">
        <v>3048789</v>
      </c>
      <c r="K98">
        <v>36320</v>
      </c>
      <c r="L98" t="s">
        <v>936</v>
      </c>
      <c r="M98" t="s">
        <v>946</v>
      </c>
    </row>
    <row r="99" spans="1:13" x14ac:dyDescent="0.3">
      <c r="A99" t="s">
        <v>864</v>
      </c>
      <c r="B99">
        <v>153</v>
      </c>
      <c r="C99">
        <v>42122059</v>
      </c>
      <c r="D99">
        <v>645315</v>
      </c>
      <c r="E99">
        <v>150</v>
      </c>
      <c r="F99">
        <v>0</v>
      </c>
      <c r="G99">
        <v>285179523</v>
      </c>
      <c r="H99">
        <v>2987683</v>
      </c>
      <c r="I99">
        <v>15605</v>
      </c>
      <c r="J99">
        <v>3144058</v>
      </c>
      <c r="K99">
        <v>44016</v>
      </c>
      <c r="L99" t="s">
        <v>936</v>
      </c>
      <c r="M99" t="s">
        <v>937</v>
      </c>
    </row>
    <row r="100" spans="1:13" x14ac:dyDescent="0.3">
      <c r="A100" t="s">
        <v>954</v>
      </c>
      <c r="B100">
        <v>107</v>
      </c>
      <c r="C100">
        <v>42068447</v>
      </c>
      <c r="D100">
        <v>845342</v>
      </c>
      <c r="E100">
        <v>284</v>
      </c>
      <c r="F100">
        <v>0</v>
      </c>
      <c r="G100">
        <v>311741503</v>
      </c>
      <c r="H100">
        <v>4193482</v>
      </c>
      <c r="I100">
        <v>43182</v>
      </c>
      <c r="J100">
        <v>6279036</v>
      </c>
      <c r="K100">
        <v>40910</v>
      </c>
      <c r="L100" t="s">
        <v>936</v>
      </c>
      <c r="M100" t="s">
        <v>945</v>
      </c>
    </row>
    <row r="101" spans="1:13" x14ac:dyDescent="0.3">
      <c r="A101" t="s">
        <v>830</v>
      </c>
      <c r="B101">
        <v>126</v>
      </c>
      <c r="C101">
        <v>41695843</v>
      </c>
      <c r="D101">
        <v>775788</v>
      </c>
      <c r="E101">
        <v>4950</v>
      </c>
      <c r="F101">
        <v>600912</v>
      </c>
      <c r="G101">
        <v>271705565</v>
      </c>
      <c r="H101">
        <v>3775317</v>
      </c>
      <c r="I101">
        <v>64359</v>
      </c>
      <c r="J101">
        <v>4768219</v>
      </c>
      <c r="K101">
        <v>29970</v>
      </c>
      <c r="L101" t="s">
        <v>936</v>
      </c>
      <c r="M101" t="s">
        <v>945</v>
      </c>
    </row>
    <row r="102" spans="1:13" x14ac:dyDescent="0.3">
      <c r="A102" t="s">
        <v>960</v>
      </c>
      <c r="B102">
        <v>100</v>
      </c>
      <c r="C102">
        <v>41530835</v>
      </c>
      <c r="D102">
        <v>616127</v>
      </c>
      <c r="E102">
        <v>0</v>
      </c>
      <c r="F102">
        <v>0</v>
      </c>
      <c r="G102">
        <v>372638046</v>
      </c>
      <c r="H102">
        <v>4442332</v>
      </c>
      <c r="I102">
        <v>23200</v>
      </c>
      <c r="J102">
        <v>6151726</v>
      </c>
      <c r="K102">
        <v>36500</v>
      </c>
      <c r="L102" t="s">
        <v>936</v>
      </c>
      <c r="M102" t="s">
        <v>945</v>
      </c>
    </row>
    <row r="103" spans="1:13" x14ac:dyDescent="0.3">
      <c r="A103" t="s">
        <v>825</v>
      </c>
      <c r="B103">
        <v>114</v>
      </c>
      <c r="C103">
        <v>41390358</v>
      </c>
      <c r="D103">
        <v>690830</v>
      </c>
      <c r="E103">
        <v>392</v>
      </c>
      <c r="F103">
        <v>0</v>
      </c>
      <c r="G103">
        <v>304712709</v>
      </c>
      <c r="H103">
        <v>3785964</v>
      </c>
      <c r="I103">
        <v>54980</v>
      </c>
      <c r="J103">
        <v>3499294</v>
      </c>
      <c r="K103">
        <v>39262</v>
      </c>
      <c r="L103" t="s">
        <v>936</v>
      </c>
      <c r="M103" t="s">
        <v>937</v>
      </c>
    </row>
    <row r="104" spans="1:13" x14ac:dyDescent="0.3">
      <c r="A104" t="s">
        <v>816</v>
      </c>
      <c r="B104">
        <v>105</v>
      </c>
      <c r="C104">
        <v>41284251</v>
      </c>
      <c r="D104">
        <v>701185</v>
      </c>
      <c r="E104">
        <v>6987</v>
      </c>
      <c r="F104">
        <v>0</v>
      </c>
      <c r="G104">
        <v>307915121</v>
      </c>
      <c r="H104">
        <v>4285784</v>
      </c>
      <c r="I104">
        <v>120176</v>
      </c>
      <c r="J104">
        <v>2734459</v>
      </c>
      <c r="K104">
        <v>39040</v>
      </c>
      <c r="L104" t="s">
        <v>936</v>
      </c>
      <c r="M104" t="s">
        <v>940</v>
      </c>
    </row>
    <row r="105" spans="1:13" x14ac:dyDescent="0.3">
      <c r="A105" t="s">
        <v>967</v>
      </c>
      <c r="B105">
        <v>128</v>
      </c>
      <c r="C105">
        <v>40967406</v>
      </c>
      <c r="D105">
        <v>633762</v>
      </c>
      <c r="E105">
        <v>900</v>
      </c>
      <c r="F105">
        <v>0</v>
      </c>
      <c r="G105">
        <v>367381208</v>
      </c>
      <c r="H105">
        <v>3880488</v>
      </c>
      <c r="I105">
        <v>33045</v>
      </c>
      <c r="J105">
        <v>3722185</v>
      </c>
      <c r="K105">
        <v>44536</v>
      </c>
      <c r="L105" t="s">
        <v>936</v>
      </c>
      <c r="M105" t="s">
        <v>942</v>
      </c>
    </row>
    <row r="106" spans="1:13" x14ac:dyDescent="0.3">
      <c r="A106" t="s">
        <v>768</v>
      </c>
      <c r="B106">
        <v>51</v>
      </c>
      <c r="C106">
        <v>40857937</v>
      </c>
      <c r="D106">
        <v>805216</v>
      </c>
      <c r="E106">
        <v>0</v>
      </c>
      <c r="F106">
        <v>0</v>
      </c>
      <c r="G106">
        <v>381382081</v>
      </c>
      <c r="H106">
        <v>5165188</v>
      </c>
      <c r="I106">
        <v>49944</v>
      </c>
      <c r="J106">
        <v>2817074</v>
      </c>
      <c r="K106">
        <v>39920</v>
      </c>
      <c r="L106" t="s">
        <v>936</v>
      </c>
      <c r="M106" t="s">
        <v>937</v>
      </c>
    </row>
    <row r="107" spans="1:13" x14ac:dyDescent="0.3">
      <c r="A107" t="s">
        <v>802</v>
      </c>
      <c r="B107">
        <v>90</v>
      </c>
      <c r="C107">
        <v>40782802</v>
      </c>
      <c r="D107">
        <v>838857</v>
      </c>
      <c r="E107">
        <v>2372</v>
      </c>
      <c r="F107">
        <v>0</v>
      </c>
      <c r="G107">
        <v>396719618</v>
      </c>
      <c r="H107">
        <v>4973402</v>
      </c>
      <c r="I107">
        <v>47236</v>
      </c>
      <c r="J107">
        <v>2912558</v>
      </c>
      <c r="K107">
        <v>40283</v>
      </c>
      <c r="L107" t="s">
        <v>936</v>
      </c>
      <c r="M107" t="s">
        <v>937</v>
      </c>
    </row>
    <row r="108" spans="1:13" x14ac:dyDescent="0.3">
      <c r="A108" t="s">
        <v>787</v>
      </c>
      <c r="B108">
        <v>73</v>
      </c>
      <c r="C108">
        <v>40357621</v>
      </c>
      <c r="D108">
        <v>807824</v>
      </c>
      <c r="E108">
        <v>5400</v>
      </c>
      <c r="F108">
        <v>0</v>
      </c>
      <c r="G108">
        <v>352707573</v>
      </c>
      <c r="H108">
        <v>4892725</v>
      </c>
      <c r="I108">
        <v>48337</v>
      </c>
      <c r="J108">
        <v>3787035</v>
      </c>
      <c r="K108">
        <v>37703</v>
      </c>
      <c r="L108" t="s">
        <v>936</v>
      </c>
      <c r="M108" t="s">
        <v>939</v>
      </c>
    </row>
    <row r="109" spans="1:13" x14ac:dyDescent="0.3">
      <c r="A109" t="s">
        <v>956</v>
      </c>
      <c r="B109">
        <v>117</v>
      </c>
      <c r="C109">
        <v>40341480</v>
      </c>
      <c r="D109">
        <v>863239</v>
      </c>
      <c r="E109">
        <v>13950</v>
      </c>
      <c r="F109">
        <v>0</v>
      </c>
      <c r="G109">
        <v>277624615</v>
      </c>
      <c r="H109">
        <v>4076672</v>
      </c>
      <c r="I109">
        <v>119543</v>
      </c>
      <c r="J109">
        <v>8448987</v>
      </c>
      <c r="K109">
        <v>34316</v>
      </c>
      <c r="L109" t="s">
        <v>936</v>
      </c>
      <c r="M109" t="s">
        <v>942</v>
      </c>
    </row>
    <row r="110" spans="1:13" x14ac:dyDescent="0.3">
      <c r="A110" t="s">
        <v>951</v>
      </c>
      <c r="B110">
        <v>80</v>
      </c>
      <c r="C110">
        <v>40252660</v>
      </c>
      <c r="D110">
        <v>874929</v>
      </c>
      <c r="E110">
        <v>170</v>
      </c>
      <c r="F110">
        <v>0</v>
      </c>
      <c r="G110">
        <v>341348046</v>
      </c>
      <c r="H110">
        <v>5297697</v>
      </c>
      <c r="I110">
        <v>110238</v>
      </c>
      <c r="J110">
        <v>2944971</v>
      </c>
      <c r="K110">
        <v>39040</v>
      </c>
      <c r="L110" t="s">
        <v>936</v>
      </c>
      <c r="M110" t="s">
        <v>940</v>
      </c>
    </row>
    <row r="111" spans="1:13" x14ac:dyDescent="0.3">
      <c r="A111" t="s">
        <v>779</v>
      </c>
      <c r="B111">
        <v>65</v>
      </c>
      <c r="C111">
        <v>39067509</v>
      </c>
      <c r="D111">
        <v>776060</v>
      </c>
      <c r="E111">
        <v>1050</v>
      </c>
      <c r="F111">
        <v>0</v>
      </c>
      <c r="G111">
        <v>416552975</v>
      </c>
      <c r="H111">
        <v>5251066</v>
      </c>
      <c r="I111">
        <v>36221</v>
      </c>
      <c r="J111">
        <v>3066559</v>
      </c>
      <c r="K111">
        <v>38020</v>
      </c>
      <c r="L111" t="s">
        <v>936</v>
      </c>
      <c r="M111" t="s">
        <v>940</v>
      </c>
    </row>
    <row r="112" spans="1:13" x14ac:dyDescent="0.3">
      <c r="A112" t="s">
        <v>866</v>
      </c>
      <c r="B112">
        <v>176</v>
      </c>
      <c r="C112">
        <v>39014138</v>
      </c>
      <c r="D112">
        <v>368977</v>
      </c>
      <c r="E112">
        <v>4400</v>
      </c>
      <c r="F112">
        <v>0</v>
      </c>
      <c r="G112">
        <v>243481536</v>
      </c>
      <c r="H112">
        <v>1667084</v>
      </c>
      <c r="I112">
        <v>89893</v>
      </c>
      <c r="J112">
        <v>2792897</v>
      </c>
      <c r="K112">
        <v>35270</v>
      </c>
      <c r="L112" t="s">
        <v>936</v>
      </c>
      <c r="M112" t="s">
        <v>944</v>
      </c>
    </row>
    <row r="113" spans="1:13" x14ac:dyDescent="0.3">
      <c r="A113" t="s">
        <v>968</v>
      </c>
      <c r="B113">
        <v>158</v>
      </c>
      <c r="C113">
        <v>37816109</v>
      </c>
      <c r="D113">
        <v>762911</v>
      </c>
      <c r="E113">
        <v>552</v>
      </c>
      <c r="F113">
        <v>0</v>
      </c>
      <c r="G113">
        <v>233593762</v>
      </c>
      <c r="H113">
        <v>2752810</v>
      </c>
      <c r="I113">
        <v>8060</v>
      </c>
      <c r="J113">
        <v>3626092</v>
      </c>
      <c r="K113">
        <v>35570</v>
      </c>
      <c r="L113" t="s">
        <v>936</v>
      </c>
      <c r="M113" t="s">
        <v>945</v>
      </c>
    </row>
    <row r="114" spans="1:13" x14ac:dyDescent="0.3">
      <c r="A114" t="s">
        <v>829</v>
      </c>
      <c r="B114">
        <v>121</v>
      </c>
      <c r="C114">
        <v>37725774</v>
      </c>
      <c r="D114">
        <v>818496</v>
      </c>
      <c r="E114">
        <v>1400</v>
      </c>
      <c r="F114">
        <v>0</v>
      </c>
      <c r="G114">
        <v>424980392</v>
      </c>
      <c r="H114">
        <v>4192731</v>
      </c>
      <c r="I114">
        <v>39307</v>
      </c>
      <c r="J114">
        <v>2736506</v>
      </c>
      <c r="K114">
        <v>48880</v>
      </c>
      <c r="L114" t="s">
        <v>936</v>
      </c>
      <c r="M114" t="s">
        <v>944</v>
      </c>
    </row>
    <row r="115" spans="1:13" x14ac:dyDescent="0.3">
      <c r="A115" t="s">
        <v>766</v>
      </c>
      <c r="B115">
        <v>53</v>
      </c>
      <c r="C115">
        <v>37673289</v>
      </c>
      <c r="D115">
        <v>634759</v>
      </c>
      <c r="E115">
        <v>4500</v>
      </c>
      <c r="F115">
        <v>0</v>
      </c>
      <c r="G115">
        <v>402230829</v>
      </c>
      <c r="H115">
        <v>5369879</v>
      </c>
      <c r="I115">
        <v>64502</v>
      </c>
      <c r="J115">
        <v>2762450</v>
      </c>
      <c r="K115">
        <v>35340</v>
      </c>
      <c r="L115" t="s">
        <v>936</v>
      </c>
      <c r="M115" t="s">
        <v>937</v>
      </c>
    </row>
    <row r="116" spans="1:13" x14ac:dyDescent="0.3">
      <c r="A116" t="s">
        <v>807</v>
      </c>
      <c r="B116">
        <v>95</v>
      </c>
      <c r="C116">
        <v>37666063</v>
      </c>
      <c r="D116">
        <v>728192</v>
      </c>
      <c r="E116">
        <v>700</v>
      </c>
      <c r="F116">
        <v>0</v>
      </c>
      <c r="G116">
        <v>344155689</v>
      </c>
      <c r="H116">
        <v>4728509</v>
      </c>
      <c r="I116">
        <v>35405</v>
      </c>
      <c r="J116">
        <v>3953012</v>
      </c>
      <c r="K116">
        <v>41800</v>
      </c>
      <c r="L116" t="s">
        <v>936</v>
      </c>
      <c r="M116" t="s">
        <v>939</v>
      </c>
    </row>
    <row r="117" spans="1:13" x14ac:dyDescent="0.3">
      <c r="A117" t="s">
        <v>867</v>
      </c>
      <c r="B117">
        <v>170</v>
      </c>
      <c r="C117">
        <v>37585179</v>
      </c>
      <c r="D117">
        <v>461579</v>
      </c>
      <c r="E117">
        <v>202</v>
      </c>
      <c r="F117">
        <v>0</v>
      </c>
      <c r="G117">
        <v>250322122</v>
      </c>
      <c r="H117">
        <v>2174093</v>
      </c>
      <c r="I117">
        <v>32784</v>
      </c>
      <c r="J117">
        <v>3753806</v>
      </c>
      <c r="K117">
        <v>35240</v>
      </c>
      <c r="L117" t="s">
        <v>936</v>
      </c>
      <c r="M117" t="s">
        <v>940</v>
      </c>
    </row>
    <row r="118" spans="1:13" x14ac:dyDescent="0.3">
      <c r="A118" t="s">
        <v>971</v>
      </c>
      <c r="B118">
        <v>129</v>
      </c>
      <c r="C118">
        <v>37473335</v>
      </c>
      <c r="D118">
        <v>691882</v>
      </c>
      <c r="E118">
        <v>550</v>
      </c>
      <c r="F118">
        <v>0</v>
      </c>
      <c r="G118">
        <v>296312683</v>
      </c>
      <c r="H118">
        <v>3389215</v>
      </c>
      <c r="I118">
        <v>33351</v>
      </c>
      <c r="J118">
        <v>3579744</v>
      </c>
      <c r="K118">
        <v>40590</v>
      </c>
      <c r="L118" t="s">
        <v>936</v>
      </c>
      <c r="M118" t="s">
        <v>942</v>
      </c>
    </row>
    <row r="119" spans="1:13" x14ac:dyDescent="0.3">
      <c r="A119" t="s">
        <v>834</v>
      </c>
      <c r="B119">
        <v>127</v>
      </c>
      <c r="C119">
        <v>36902556</v>
      </c>
      <c r="D119">
        <v>730679</v>
      </c>
      <c r="E119">
        <v>714</v>
      </c>
      <c r="F119">
        <v>0</v>
      </c>
      <c r="G119">
        <v>300746966</v>
      </c>
      <c r="H119">
        <v>3836290</v>
      </c>
      <c r="I119">
        <v>6059</v>
      </c>
      <c r="J119">
        <v>8914326</v>
      </c>
      <c r="K119">
        <v>31363</v>
      </c>
      <c r="L119" t="s">
        <v>936</v>
      </c>
      <c r="M119" t="s">
        <v>937</v>
      </c>
    </row>
    <row r="120" spans="1:13" x14ac:dyDescent="0.3">
      <c r="A120" t="s">
        <v>603</v>
      </c>
      <c r="B120">
        <v>119</v>
      </c>
      <c r="C120">
        <v>36349700</v>
      </c>
      <c r="D120">
        <v>741466</v>
      </c>
      <c r="E120">
        <v>151</v>
      </c>
      <c r="F120">
        <v>0</v>
      </c>
      <c r="G120">
        <v>274673769</v>
      </c>
      <c r="H120">
        <v>3904379</v>
      </c>
      <c r="I120">
        <v>40864</v>
      </c>
      <c r="J120">
        <v>5309261</v>
      </c>
      <c r="K120">
        <v>32700</v>
      </c>
      <c r="L120" t="s">
        <v>936</v>
      </c>
      <c r="M120" t="s">
        <v>945</v>
      </c>
    </row>
    <row r="121" spans="1:13" x14ac:dyDescent="0.3">
      <c r="A121" t="s">
        <v>826</v>
      </c>
      <c r="B121">
        <v>116</v>
      </c>
      <c r="C121">
        <v>35887158</v>
      </c>
      <c r="D121">
        <v>757913</v>
      </c>
      <c r="E121">
        <v>2152</v>
      </c>
      <c r="F121">
        <v>0</v>
      </c>
      <c r="G121">
        <v>311452385</v>
      </c>
      <c r="H121">
        <v>4332976</v>
      </c>
      <c r="I121">
        <v>29351</v>
      </c>
      <c r="J121">
        <v>2706596</v>
      </c>
      <c r="K121">
        <v>38126</v>
      </c>
      <c r="L121" t="s">
        <v>936</v>
      </c>
      <c r="M121" t="s">
        <v>940</v>
      </c>
    </row>
    <row r="122" spans="1:13" x14ac:dyDescent="0.3">
      <c r="A122" t="s">
        <v>844</v>
      </c>
      <c r="B122">
        <v>161</v>
      </c>
      <c r="C122">
        <v>34735048</v>
      </c>
      <c r="D122">
        <v>417391</v>
      </c>
      <c r="E122">
        <v>31507</v>
      </c>
      <c r="F122">
        <v>1451954</v>
      </c>
      <c r="G122">
        <v>291341875</v>
      </c>
      <c r="H122">
        <v>2752355</v>
      </c>
      <c r="I122">
        <v>83086</v>
      </c>
      <c r="J122">
        <v>10699701</v>
      </c>
      <c r="K122">
        <v>34153</v>
      </c>
      <c r="L122" t="s">
        <v>987</v>
      </c>
      <c r="M122" t="s">
        <v>939</v>
      </c>
    </row>
    <row r="123" spans="1:13" x14ac:dyDescent="0.3">
      <c r="A123" t="s">
        <v>815</v>
      </c>
      <c r="B123">
        <v>103</v>
      </c>
      <c r="C123">
        <v>34632151</v>
      </c>
      <c r="D123">
        <v>681868</v>
      </c>
      <c r="E123">
        <v>0</v>
      </c>
      <c r="F123">
        <v>0</v>
      </c>
      <c r="G123">
        <v>281740671</v>
      </c>
      <c r="H123">
        <v>4370961</v>
      </c>
      <c r="I123">
        <v>56236</v>
      </c>
      <c r="J123">
        <v>44520963</v>
      </c>
      <c r="K123">
        <v>30620</v>
      </c>
      <c r="L123" t="s">
        <v>936</v>
      </c>
      <c r="M123" t="s">
        <v>939</v>
      </c>
    </row>
    <row r="124" spans="1:13" x14ac:dyDescent="0.3">
      <c r="A124" t="s">
        <v>822</v>
      </c>
      <c r="B124">
        <v>109</v>
      </c>
      <c r="C124">
        <v>34562934</v>
      </c>
      <c r="D124">
        <v>747407</v>
      </c>
      <c r="E124">
        <v>3850</v>
      </c>
      <c r="F124">
        <v>0</v>
      </c>
      <c r="G124">
        <v>343970490</v>
      </c>
      <c r="H124">
        <v>4073640</v>
      </c>
      <c r="I124">
        <v>87287</v>
      </c>
      <c r="J124">
        <v>2963087</v>
      </c>
      <c r="K124">
        <v>39800</v>
      </c>
      <c r="L124" t="s">
        <v>936</v>
      </c>
      <c r="M124" t="s">
        <v>944</v>
      </c>
    </row>
    <row r="125" spans="1:13" x14ac:dyDescent="0.3">
      <c r="A125" t="s">
        <v>850</v>
      </c>
      <c r="B125">
        <v>155</v>
      </c>
      <c r="C125">
        <v>34521453</v>
      </c>
      <c r="D125">
        <v>487904</v>
      </c>
      <c r="E125">
        <v>404</v>
      </c>
      <c r="F125">
        <v>0</v>
      </c>
      <c r="G125">
        <v>212178147</v>
      </c>
      <c r="H125">
        <v>2435266</v>
      </c>
      <c r="I125">
        <v>40432</v>
      </c>
      <c r="J125">
        <v>2328448</v>
      </c>
      <c r="K125">
        <v>30843</v>
      </c>
      <c r="L125" t="s">
        <v>936</v>
      </c>
      <c r="M125" t="s">
        <v>944</v>
      </c>
    </row>
    <row r="126" spans="1:13" x14ac:dyDescent="0.3">
      <c r="A126" t="s">
        <v>750</v>
      </c>
      <c r="B126">
        <v>26</v>
      </c>
      <c r="C126">
        <v>34405786</v>
      </c>
      <c r="D126">
        <v>700847</v>
      </c>
      <c r="E126">
        <v>2694</v>
      </c>
      <c r="F126">
        <v>0</v>
      </c>
      <c r="G126">
        <v>390088494</v>
      </c>
      <c r="H126">
        <v>6001702</v>
      </c>
      <c r="I126">
        <v>40807</v>
      </c>
      <c r="J126">
        <v>2726006</v>
      </c>
      <c r="K126">
        <v>41220</v>
      </c>
      <c r="L126" t="s">
        <v>936</v>
      </c>
      <c r="M126" t="s">
        <v>940</v>
      </c>
    </row>
    <row r="127" spans="1:13" x14ac:dyDescent="0.3">
      <c r="A127" t="s">
        <v>823</v>
      </c>
      <c r="B127">
        <v>108</v>
      </c>
      <c r="C127">
        <v>34005127</v>
      </c>
      <c r="D127">
        <v>733445</v>
      </c>
      <c r="E127">
        <v>643</v>
      </c>
      <c r="F127">
        <v>418103</v>
      </c>
      <c r="G127">
        <v>332204509</v>
      </c>
      <c r="H127">
        <v>4278172</v>
      </c>
      <c r="I127">
        <v>51794</v>
      </c>
      <c r="J127">
        <v>8491243</v>
      </c>
      <c r="K127">
        <v>39393</v>
      </c>
      <c r="L127" t="s">
        <v>936</v>
      </c>
      <c r="M127" t="s">
        <v>937</v>
      </c>
    </row>
    <row r="128" spans="1:13" x14ac:dyDescent="0.3">
      <c r="A128" t="s">
        <v>977</v>
      </c>
      <c r="B128">
        <v>160</v>
      </c>
      <c r="C128">
        <v>33449071</v>
      </c>
      <c r="D128">
        <v>700510</v>
      </c>
      <c r="E128">
        <v>487</v>
      </c>
      <c r="F128">
        <v>0</v>
      </c>
      <c r="G128">
        <v>234116031</v>
      </c>
      <c r="H128">
        <v>2892695</v>
      </c>
      <c r="I128">
        <v>6884</v>
      </c>
      <c r="J128">
        <v>9466611</v>
      </c>
      <c r="K128">
        <v>37803</v>
      </c>
      <c r="L128" t="s">
        <v>936</v>
      </c>
      <c r="M128" t="s">
        <v>942</v>
      </c>
    </row>
    <row r="129" spans="1:13" x14ac:dyDescent="0.3">
      <c r="A129" t="s">
        <v>813</v>
      </c>
      <c r="B129">
        <v>101</v>
      </c>
      <c r="C129">
        <v>33446725</v>
      </c>
      <c r="D129">
        <v>692373</v>
      </c>
      <c r="E129">
        <v>0</v>
      </c>
      <c r="F129">
        <v>0</v>
      </c>
      <c r="G129">
        <v>320796927</v>
      </c>
      <c r="H129">
        <v>4567647</v>
      </c>
      <c r="I129">
        <v>34907</v>
      </c>
      <c r="J129">
        <v>3365819</v>
      </c>
      <c r="K129">
        <v>35650</v>
      </c>
      <c r="L129" t="s">
        <v>936</v>
      </c>
      <c r="M129" t="s">
        <v>939</v>
      </c>
    </row>
    <row r="130" spans="1:13" x14ac:dyDescent="0.3">
      <c r="A130" t="s">
        <v>840</v>
      </c>
      <c r="B130">
        <v>135</v>
      </c>
      <c r="C130">
        <v>32727683</v>
      </c>
      <c r="D130">
        <v>653628</v>
      </c>
      <c r="E130">
        <v>0</v>
      </c>
      <c r="F130">
        <v>452989</v>
      </c>
      <c r="G130">
        <v>255212042</v>
      </c>
      <c r="H130">
        <v>3277956</v>
      </c>
      <c r="I130">
        <v>24709</v>
      </c>
      <c r="J130">
        <v>7545496</v>
      </c>
      <c r="K130">
        <v>35650</v>
      </c>
      <c r="L130" t="s">
        <v>936</v>
      </c>
      <c r="M130" t="s">
        <v>937</v>
      </c>
    </row>
    <row r="131" spans="1:13" x14ac:dyDescent="0.3">
      <c r="A131" t="s">
        <v>970</v>
      </c>
      <c r="B131">
        <v>125</v>
      </c>
      <c r="C131">
        <v>32380455</v>
      </c>
      <c r="D131">
        <v>458322</v>
      </c>
      <c r="E131">
        <v>1350</v>
      </c>
      <c r="F131">
        <v>0</v>
      </c>
      <c r="G131">
        <v>255437010</v>
      </c>
      <c r="H131">
        <v>3227109</v>
      </c>
      <c r="I131">
        <v>50667</v>
      </c>
      <c r="J131">
        <v>9585335</v>
      </c>
      <c r="K131">
        <v>34060</v>
      </c>
      <c r="L131" t="s">
        <v>936</v>
      </c>
      <c r="M131" t="s">
        <v>939</v>
      </c>
    </row>
    <row r="132" spans="1:13" x14ac:dyDescent="0.3">
      <c r="A132" t="s">
        <v>604</v>
      </c>
      <c r="B132">
        <v>140</v>
      </c>
      <c r="C132">
        <v>31877565</v>
      </c>
      <c r="D132">
        <v>660707</v>
      </c>
      <c r="E132">
        <v>754</v>
      </c>
      <c r="F132">
        <v>0</v>
      </c>
      <c r="G132">
        <v>287307613</v>
      </c>
      <c r="H132">
        <v>3041185</v>
      </c>
      <c r="I132">
        <v>26085</v>
      </c>
      <c r="J132">
        <v>8601549</v>
      </c>
      <c r="K132">
        <v>34443</v>
      </c>
      <c r="L132" t="s">
        <v>936</v>
      </c>
      <c r="M132" t="s">
        <v>945</v>
      </c>
    </row>
    <row r="133" spans="1:13" x14ac:dyDescent="0.3">
      <c r="A133" t="s">
        <v>887</v>
      </c>
      <c r="B133">
        <v>188</v>
      </c>
      <c r="C133">
        <v>31623278</v>
      </c>
      <c r="D133">
        <v>338661</v>
      </c>
      <c r="E133">
        <v>27984</v>
      </c>
      <c r="F133">
        <v>3731606</v>
      </c>
      <c r="G133">
        <v>137043295</v>
      </c>
      <c r="H133">
        <v>1825963</v>
      </c>
      <c r="I133">
        <v>151818</v>
      </c>
      <c r="J133">
        <v>64657991</v>
      </c>
      <c r="K133">
        <v>20464</v>
      </c>
      <c r="L133" t="s">
        <v>936</v>
      </c>
      <c r="M133" t="s">
        <v>937</v>
      </c>
    </row>
    <row r="134" spans="1:13" x14ac:dyDescent="0.3">
      <c r="A134" t="s">
        <v>846</v>
      </c>
      <c r="B134">
        <v>146</v>
      </c>
      <c r="C134">
        <v>31039628</v>
      </c>
      <c r="D134">
        <v>585202</v>
      </c>
      <c r="E134">
        <v>15750</v>
      </c>
      <c r="F134">
        <v>0</v>
      </c>
      <c r="G134">
        <v>263098532</v>
      </c>
      <c r="H134">
        <v>3033435</v>
      </c>
      <c r="I134">
        <v>146360</v>
      </c>
      <c r="J134">
        <v>3654670</v>
      </c>
      <c r="K134">
        <v>36050</v>
      </c>
      <c r="L134" t="s">
        <v>936</v>
      </c>
      <c r="M134" t="s">
        <v>942</v>
      </c>
    </row>
    <row r="135" spans="1:13" x14ac:dyDescent="0.3">
      <c r="A135" t="s">
        <v>852</v>
      </c>
      <c r="B135">
        <v>157</v>
      </c>
      <c r="C135">
        <v>30581208</v>
      </c>
      <c r="D135">
        <v>427532</v>
      </c>
      <c r="E135">
        <v>0</v>
      </c>
      <c r="F135">
        <v>0</v>
      </c>
      <c r="G135">
        <v>238192366</v>
      </c>
      <c r="H135">
        <v>2596229</v>
      </c>
      <c r="I135">
        <v>17044</v>
      </c>
      <c r="J135">
        <v>3417438</v>
      </c>
      <c r="K135">
        <v>34863</v>
      </c>
      <c r="L135" t="s">
        <v>936</v>
      </c>
      <c r="M135" t="s">
        <v>940</v>
      </c>
    </row>
    <row r="136" spans="1:13" x14ac:dyDescent="0.3">
      <c r="A136" t="s">
        <v>860</v>
      </c>
      <c r="B136">
        <v>171</v>
      </c>
      <c r="C136">
        <v>30410859</v>
      </c>
      <c r="D136">
        <v>315060</v>
      </c>
      <c r="E136">
        <v>1150</v>
      </c>
      <c r="F136">
        <v>6634618</v>
      </c>
      <c r="G136">
        <v>166849057</v>
      </c>
      <c r="H136">
        <v>2158447</v>
      </c>
      <c r="I136">
        <v>20720</v>
      </c>
      <c r="J136">
        <v>42425411</v>
      </c>
      <c r="K136">
        <v>31660</v>
      </c>
      <c r="L136" t="s">
        <v>936</v>
      </c>
      <c r="M136" t="s">
        <v>946</v>
      </c>
    </row>
    <row r="137" spans="1:13" x14ac:dyDescent="0.3">
      <c r="A137" t="s">
        <v>871</v>
      </c>
      <c r="B137">
        <v>167</v>
      </c>
      <c r="C137">
        <v>30237461</v>
      </c>
      <c r="D137">
        <v>587407</v>
      </c>
      <c r="E137">
        <v>2412</v>
      </c>
      <c r="F137">
        <v>0</v>
      </c>
      <c r="G137">
        <v>205121388</v>
      </c>
      <c r="H137">
        <v>2418392</v>
      </c>
      <c r="I137">
        <v>10708</v>
      </c>
      <c r="J137">
        <v>4022349</v>
      </c>
      <c r="K137">
        <v>34319</v>
      </c>
      <c r="L137" t="s">
        <v>936</v>
      </c>
      <c r="M137" t="s">
        <v>962</v>
      </c>
    </row>
    <row r="138" spans="1:13" x14ac:dyDescent="0.3">
      <c r="A138" t="s">
        <v>857</v>
      </c>
      <c r="B138">
        <v>148</v>
      </c>
      <c r="C138">
        <v>30065401</v>
      </c>
      <c r="D138">
        <v>583627</v>
      </c>
      <c r="E138">
        <v>0</v>
      </c>
      <c r="F138">
        <v>0</v>
      </c>
      <c r="G138">
        <v>270450944</v>
      </c>
      <c r="H138">
        <v>2919720</v>
      </c>
      <c r="I138">
        <v>18214</v>
      </c>
      <c r="J138">
        <v>3835056</v>
      </c>
      <c r="K138">
        <v>41470</v>
      </c>
      <c r="L138" t="s">
        <v>936</v>
      </c>
      <c r="M138" t="s">
        <v>962</v>
      </c>
    </row>
    <row r="139" spans="1:13" x14ac:dyDescent="0.3">
      <c r="A139" t="s">
        <v>862</v>
      </c>
      <c r="B139">
        <v>162</v>
      </c>
      <c r="C139">
        <v>30038581</v>
      </c>
      <c r="D139">
        <v>584553</v>
      </c>
      <c r="E139">
        <v>183</v>
      </c>
      <c r="F139">
        <v>0</v>
      </c>
      <c r="G139">
        <v>291945341</v>
      </c>
      <c r="H139">
        <v>2568391</v>
      </c>
      <c r="I139">
        <v>25444</v>
      </c>
      <c r="J139">
        <v>2262023</v>
      </c>
      <c r="K139">
        <v>40600</v>
      </c>
      <c r="L139" t="s">
        <v>936</v>
      </c>
      <c r="M139" t="s">
        <v>944</v>
      </c>
    </row>
    <row r="140" spans="1:13" x14ac:dyDescent="0.3">
      <c r="A140" t="s">
        <v>791</v>
      </c>
      <c r="B140">
        <v>92</v>
      </c>
      <c r="C140">
        <v>29837347</v>
      </c>
      <c r="D140">
        <v>578875</v>
      </c>
      <c r="E140">
        <v>0</v>
      </c>
      <c r="F140">
        <v>0</v>
      </c>
      <c r="G140">
        <v>347626622</v>
      </c>
      <c r="H140">
        <v>4367791</v>
      </c>
      <c r="I140">
        <v>59670</v>
      </c>
      <c r="J140">
        <v>3355651</v>
      </c>
      <c r="K140">
        <v>38610</v>
      </c>
      <c r="L140" t="s">
        <v>936</v>
      </c>
      <c r="M140" t="s">
        <v>939</v>
      </c>
    </row>
    <row r="141" spans="1:13" x14ac:dyDescent="0.3">
      <c r="A141" t="s">
        <v>824</v>
      </c>
      <c r="B141">
        <v>120</v>
      </c>
      <c r="C141">
        <v>29492941</v>
      </c>
      <c r="D141">
        <v>598220</v>
      </c>
      <c r="E141">
        <v>450</v>
      </c>
      <c r="F141">
        <v>0</v>
      </c>
      <c r="G141">
        <v>282988605</v>
      </c>
      <c r="H141">
        <v>3418044</v>
      </c>
      <c r="I141">
        <v>6306</v>
      </c>
      <c r="J141">
        <v>5042586</v>
      </c>
      <c r="K141">
        <v>37673</v>
      </c>
      <c r="L141" t="s">
        <v>936</v>
      </c>
      <c r="M141" t="s">
        <v>945</v>
      </c>
    </row>
    <row r="142" spans="1:13" x14ac:dyDescent="0.3">
      <c r="A142" t="s">
        <v>963</v>
      </c>
      <c r="B142">
        <v>130</v>
      </c>
      <c r="C142">
        <v>29166724</v>
      </c>
      <c r="D142">
        <v>615492</v>
      </c>
      <c r="E142">
        <v>1350</v>
      </c>
      <c r="F142">
        <v>0</v>
      </c>
      <c r="G142">
        <v>319637996</v>
      </c>
      <c r="H142">
        <v>3492545</v>
      </c>
      <c r="I142">
        <v>52220</v>
      </c>
      <c r="J142">
        <v>3449800</v>
      </c>
      <c r="K142">
        <v>32180</v>
      </c>
      <c r="L142" t="s">
        <v>936</v>
      </c>
      <c r="M142" t="s">
        <v>946</v>
      </c>
    </row>
    <row r="143" spans="1:13" x14ac:dyDescent="0.3">
      <c r="A143" t="s">
        <v>884</v>
      </c>
      <c r="B143">
        <v>179</v>
      </c>
      <c r="C143">
        <v>29033058</v>
      </c>
      <c r="D143">
        <v>665225</v>
      </c>
      <c r="E143">
        <v>9666</v>
      </c>
      <c r="F143">
        <v>0</v>
      </c>
      <c r="G143">
        <v>161450555</v>
      </c>
      <c r="H143">
        <v>2769300</v>
      </c>
      <c r="I143">
        <v>134550</v>
      </c>
      <c r="J143">
        <v>38833787</v>
      </c>
      <c r="K143">
        <v>30040</v>
      </c>
      <c r="L143" t="s">
        <v>936</v>
      </c>
      <c r="M143" t="s">
        <v>959</v>
      </c>
    </row>
    <row r="144" spans="1:13" x14ac:dyDescent="0.3">
      <c r="A144" t="s">
        <v>965</v>
      </c>
      <c r="B144">
        <v>144</v>
      </c>
      <c r="C144">
        <v>28897964</v>
      </c>
      <c r="D144">
        <v>659420</v>
      </c>
      <c r="E144">
        <v>19150</v>
      </c>
      <c r="F144">
        <v>0</v>
      </c>
      <c r="G144">
        <v>247080953</v>
      </c>
      <c r="H144">
        <v>3111323</v>
      </c>
      <c r="I144">
        <v>70660</v>
      </c>
      <c r="J144">
        <v>2946859</v>
      </c>
      <c r="K144">
        <v>35889</v>
      </c>
      <c r="L144" t="s">
        <v>936</v>
      </c>
      <c r="M144" t="s">
        <v>942</v>
      </c>
    </row>
    <row r="145" spans="1:13" x14ac:dyDescent="0.3">
      <c r="A145" t="s">
        <v>855</v>
      </c>
      <c r="B145">
        <v>149</v>
      </c>
      <c r="C145">
        <v>28590529</v>
      </c>
      <c r="D145">
        <v>582626</v>
      </c>
      <c r="E145">
        <v>50</v>
      </c>
      <c r="F145">
        <v>0</v>
      </c>
      <c r="G145">
        <v>260371948</v>
      </c>
      <c r="H145">
        <v>2813111</v>
      </c>
      <c r="I145">
        <v>37636</v>
      </c>
      <c r="J145">
        <v>3571075</v>
      </c>
      <c r="K145">
        <v>38033</v>
      </c>
      <c r="L145" t="s">
        <v>936</v>
      </c>
      <c r="M145" t="s">
        <v>940</v>
      </c>
    </row>
    <row r="146" spans="1:13" x14ac:dyDescent="0.3">
      <c r="A146" t="s">
        <v>821</v>
      </c>
      <c r="B146">
        <v>112</v>
      </c>
      <c r="C146">
        <v>28152757</v>
      </c>
      <c r="D146">
        <v>541997</v>
      </c>
      <c r="E146">
        <v>350</v>
      </c>
      <c r="F146">
        <v>0</v>
      </c>
      <c r="G146">
        <v>347376918</v>
      </c>
      <c r="H146">
        <v>3961695</v>
      </c>
      <c r="I146">
        <v>59545</v>
      </c>
      <c r="J146">
        <v>4680527</v>
      </c>
      <c r="K146">
        <v>39763</v>
      </c>
      <c r="L146" t="s">
        <v>936</v>
      </c>
      <c r="M146" t="s">
        <v>946</v>
      </c>
    </row>
    <row r="147" spans="1:13" x14ac:dyDescent="0.3">
      <c r="A147" t="s">
        <v>843</v>
      </c>
      <c r="B147">
        <v>145</v>
      </c>
      <c r="C147">
        <v>27879954</v>
      </c>
      <c r="D147">
        <v>504146</v>
      </c>
      <c r="E147">
        <v>3385</v>
      </c>
      <c r="F147">
        <v>0</v>
      </c>
      <c r="G147">
        <v>236393318</v>
      </c>
      <c r="H147">
        <v>3070546</v>
      </c>
      <c r="I147">
        <v>59675</v>
      </c>
      <c r="J147">
        <v>3519551</v>
      </c>
      <c r="K147">
        <v>35470</v>
      </c>
      <c r="L147" t="s">
        <v>936</v>
      </c>
      <c r="M147" t="s">
        <v>962</v>
      </c>
    </row>
    <row r="148" spans="1:13" x14ac:dyDescent="0.3">
      <c r="A148" t="s">
        <v>839</v>
      </c>
      <c r="B148">
        <v>136</v>
      </c>
      <c r="C148">
        <v>26900591</v>
      </c>
      <c r="D148">
        <v>549794</v>
      </c>
      <c r="E148">
        <v>4876</v>
      </c>
      <c r="F148">
        <v>0</v>
      </c>
      <c r="G148">
        <v>322711359</v>
      </c>
      <c r="H148">
        <v>3470263</v>
      </c>
      <c r="I148">
        <v>51306</v>
      </c>
      <c r="J148">
        <v>2529773</v>
      </c>
      <c r="K148">
        <v>39840</v>
      </c>
      <c r="L148" t="s">
        <v>936</v>
      </c>
      <c r="M148" t="s">
        <v>942</v>
      </c>
    </row>
    <row r="149" spans="1:13" x14ac:dyDescent="0.3">
      <c r="A149" t="s">
        <v>882</v>
      </c>
      <c r="B149">
        <v>184</v>
      </c>
      <c r="C149">
        <v>26750668</v>
      </c>
      <c r="D149">
        <v>346205</v>
      </c>
      <c r="E149">
        <v>1400</v>
      </c>
      <c r="F149">
        <v>0</v>
      </c>
      <c r="G149">
        <v>187847239</v>
      </c>
      <c r="H149">
        <v>1689687</v>
      </c>
      <c r="I149">
        <v>12140</v>
      </c>
      <c r="J149">
        <v>4024234</v>
      </c>
      <c r="K149">
        <v>29778</v>
      </c>
      <c r="L149" t="s">
        <v>936</v>
      </c>
      <c r="M149" t="s">
        <v>962</v>
      </c>
    </row>
    <row r="150" spans="1:13" x14ac:dyDescent="0.3">
      <c r="A150" t="s">
        <v>969</v>
      </c>
      <c r="B150">
        <v>124</v>
      </c>
      <c r="C150">
        <v>26640887</v>
      </c>
      <c r="D150">
        <v>480351</v>
      </c>
      <c r="E150">
        <v>956</v>
      </c>
      <c r="F150">
        <v>0</v>
      </c>
      <c r="G150">
        <v>335799481</v>
      </c>
      <c r="H150">
        <v>3461966</v>
      </c>
      <c r="I150">
        <v>29082</v>
      </c>
      <c r="J150">
        <v>17338769</v>
      </c>
      <c r="K150">
        <v>34720</v>
      </c>
      <c r="L150" t="s">
        <v>936</v>
      </c>
      <c r="M150" t="s">
        <v>946</v>
      </c>
    </row>
    <row r="151" spans="1:13" x14ac:dyDescent="0.3">
      <c r="A151" t="s">
        <v>861</v>
      </c>
      <c r="B151">
        <v>169</v>
      </c>
      <c r="C151">
        <v>26070853</v>
      </c>
      <c r="D151">
        <v>482010</v>
      </c>
      <c r="E151">
        <v>7350</v>
      </c>
      <c r="F151">
        <v>0</v>
      </c>
      <c r="G151">
        <v>212741490</v>
      </c>
      <c r="H151">
        <v>1960970</v>
      </c>
      <c r="I151">
        <v>54918</v>
      </c>
      <c r="J151">
        <v>12560636</v>
      </c>
      <c r="K151">
        <v>34090</v>
      </c>
      <c r="L151" t="s">
        <v>936</v>
      </c>
      <c r="M151" t="s">
        <v>942</v>
      </c>
    </row>
    <row r="152" spans="1:13" x14ac:dyDescent="0.3">
      <c r="A152" t="s">
        <v>842</v>
      </c>
      <c r="B152">
        <v>159</v>
      </c>
      <c r="C152">
        <v>25582850</v>
      </c>
      <c r="D152">
        <v>281427</v>
      </c>
      <c r="E152">
        <v>3950</v>
      </c>
      <c r="F152">
        <v>0</v>
      </c>
      <c r="G152">
        <v>240131902</v>
      </c>
      <c r="H152">
        <v>2068739</v>
      </c>
      <c r="I152">
        <v>89416</v>
      </c>
      <c r="J152">
        <v>3770795</v>
      </c>
      <c r="K152">
        <v>38573</v>
      </c>
      <c r="L152" t="s">
        <v>936</v>
      </c>
      <c r="M152" t="s">
        <v>946</v>
      </c>
    </row>
    <row r="153" spans="1:13" x14ac:dyDescent="0.3">
      <c r="A153" t="s">
        <v>838</v>
      </c>
      <c r="B153">
        <v>134</v>
      </c>
      <c r="C153">
        <v>25249258</v>
      </c>
      <c r="D153">
        <v>523363</v>
      </c>
      <c r="E153">
        <v>202</v>
      </c>
      <c r="F153">
        <v>0</v>
      </c>
      <c r="G153">
        <v>253787212</v>
      </c>
      <c r="H153">
        <v>3264615</v>
      </c>
      <c r="I153">
        <v>46122</v>
      </c>
      <c r="J153">
        <v>5152246</v>
      </c>
      <c r="K153">
        <v>35110</v>
      </c>
      <c r="L153" t="s">
        <v>936</v>
      </c>
      <c r="M153" t="s">
        <v>942</v>
      </c>
    </row>
    <row r="154" spans="1:13" x14ac:dyDescent="0.3">
      <c r="A154" t="s">
        <v>890</v>
      </c>
      <c r="B154">
        <v>189</v>
      </c>
      <c r="C154">
        <v>24679418</v>
      </c>
      <c r="D154">
        <v>426120</v>
      </c>
      <c r="E154">
        <v>3600</v>
      </c>
      <c r="F154">
        <v>0</v>
      </c>
      <c r="G154">
        <v>133944240</v>
      </c>
      <c r="H154">
        <v>1229935</v>
      </c>
      <c r="I154">
        <v>15573</v>
      </c>
      <c r="J154">
        <v>11815276</v>
      </c>
      <c r="K154">
        <v>34150</v>
      </c>
      <c r="L154" t="s">
        <v>936</v>
      </c>
      <c r="M154" t="s">
        <v>942</v>
      </c>
    </row>
    <row r="155" spans="1:13" x14ac:dyDescent="0.3">
      <c r="A155" t="s">
        <v>828</v>
      </c>
      <c r="B155">
        <v>132</v>
      </c>
      <c r="C155">
        <v>24279035</v>
      </c>
      <c r="D155">
        <v>521164</v>
      </c>
      <c r="E155">
        <v>19350</v>
      </c>
      <c r="F155">
        <v>0</v>
      </c>
      <c r="G155">
        <v>252922633</v>
      </c>
      <c r="H155">
        <v>3184403</v>
      </c>
      <c r="I155">
        <v>84551</v>
      </c>
      <c r="J155">
        <v>13759215</v>
      </c>
      <c r="K155">
        <v>34503</v>
      </c>
      <c r="L155" t="s">
        <v>936</v>
      </c>
      <c r="M155" t="s">
        <v>946</v>
      </c>
    </row>
    <row r="156" spans="1:13" x14ac:dyDescent="0.3">
      <c r="A156" t="s">
        <v>831</v>
      </c>
      <c r="B156">
        <v>137</v>
      </c>
      <c r="C156">
        <v>24093514</v>
      </c>
      <c r="D156">
        <v>510762</v>
      </c>
      <c r="E156">
        <v>4050</v>
      </c>
      <c r="F156">
        <v>7191802</v>
      </c>
      <c r="G156">
        <v>239600233</v>
      </c>
      <c r="H156">
        <v>2811246</v>
      </c>
      <c r="I156">
        <v>79577</v>
      </c>
      <c r="J156">
        <v>55035703</v>
      </c>
      <c r="K156">
        <v>31746</v>
      </c>
      <c r="L156" t="s">
        <v>936</v>
      </c>
      <c r="M156" t="s">
        <v>940</v>
      </c>
    </row>
    <row r="157" spans="1:13" x14ac:dyDescent="0.3">
      <c r="A157" t="s">
        <v>827</v>
      </c>
      <c r="B157">
        <v>131</v>
      </c>
      <c r="C157">
        <v>23237196</v>
      </c>
      <c r="D157">
        <v>515011</v>
      </c>
      <c r="E157">
        <v>0</v>
      </c>
      <c r="F157">
        <v>0</v>
      </c>
      <c r="G157">
        <v>264578877</v>
      </c>
      <c r="H157">
        <v>3475949</v>
      </c>
      <c r="I157">
        <v>36746</v>
      </c>
      <c r="J157">
        <v>3415801</v>
      </c>
      <c r="K157">
        <v>37980</v>
      </c>
      <c r="L157" t="s">
        <v>936</v>
      </c>
      <c r="M157" t="s">
        <v>946</v>
      </c>
    </row>
    <row r="158" spans="1:13" x14ac:dyDescent="0.3">
      <c r="A158" t="s">
        <v>870</v>
      </c>
      <c r="B158">
        <v>173</v>
      </c>
      <c r="C158">
        <v>23160552</v>
      </c>
      <c r="D158">
        <v>458124</v>
      </c>
      <c r="E158">
        <v>50</v>
      </c>
      <c r="F158">
        <v>0</v>
      </c>
      <c r="G158">
        <v>231747633</v>
      </c>
      <c r="H158">
        <v>2202346</v>
      </c>
      <c r="I158">
        <v>47061</v>
      </c>
      <c r="J158">
        <v>3293993</v>
      </c>
      <c r="K158">
        <v>31530</v>
      </c>
      <c r="L158" t="s">
        <v>936</v>
      </c>
      <c r="M158" t="s">
        <v>944</v>
      </c>
    </row>
    <row r="159" spans="1:13" x14ac:dyDescent="0.3">
      <c r="A159" t="s">
        <v>885</v>
      </c>
      <c r="B159">
        <v>186</v>
      </c>
      <c r="C159">
        <v>21796249</v>
      </c>
      <c r="D159">
        <v>421963</v>
      </c>
      <c r="E159">
        <v>1400</v>
      </c>
      <c r="F159">
        <v>0</v>
      </c>
      <c r="G159">
        <v>175021386</v>
      </c>
      <c r="H159">
        <v>1752472</v>
      </c>
      <c r="I159">
        <v>11101</v>
      </c>
      <c r="J159">
        <v>4030908</v>
      </c>
      <c r="K159">
        <v>31545</v>
      </c>
      <c r="L159" t="s">
        <v>936</v>
      </c>
      <c r="M159" t="s">
        <v>962</v>
      </c>
    </row>
    <row r="160" spans="1:13" x14ac:dyDescent="0.3">
      <c r="A160" t="s">
        <v>896</v>
      </c>
      <c r="B160">
        <v>192</v>
      </c>
      <c r="C160">
        <v>21727791</v>
      </c>
      <c r="D160">
        <v>266782</v>
      </c>
      <c r="E160">
        <v>836</v>
      </c>
      <c r="F160">
        <v>615553</v>
      </c>
      <c r="G160">
        <v>174638601</v>
      </c>
      <c r="H160">
        <v>873731</v>
      </c>
      <c r="I160">
        <v>19673</v>
      </c>
      <c r="J160">
        <v>13167261</v>
      </c>
      <c r="K160">
        <v>31508</v>
      </c>
      <c r="L160" t="s">
        <v>936</v>
      </c>
      <c r="M160" t="s">
        <v>962</v>
      </c>
    </row>
    <row r="161" spans="1:13" x14ac:dyDescent="0.3">
      <c r="A161" t="s">
        <v>886</v>
      </c>
      <c r="B161">
        <v>185</v>
      </c>
      <c r="C161">
        <v>21609037</v>
      </c>
      <c r="D161">
        <v>475509</v>
      </c>
      <c r="E161">
        <v>15350</v>
      </c>
      <c r="F161">
        <v>0</v>
      </c>
      <c r="G161">
        <v>177963797</v>
      </c>
      <c r="H161">
        <v>1992703</v>
      </c>
      <c r="I161">
        <v>71087</v>
      </c>
      <c r="J161">
        <v>6840688</v>
      </c>
      <c r="K161">
        <v>33170</v>
      </c>
      <c r="L161" t="s">
        <v>936</v>
      </c>
      <c r="M161" t="s">
        <v>945</v>
      </c>
    </row>
    <row r="162" spans="1:13" x14ac:dyDescent="0.3">
      <c r="A162" t="s">
        <v>856</v>
      </c>
      <c r="B162">
        <v>165</v>
      </c>
      <c r="C162">
        <v>21107335</v>
      </c>
      <c r="D162">
        <v>440366</v>
      </c>
      <c r="E162">
        <v>700</v>
      </c>
      <c r="F162">
        <v>0</v>
      </c>
      <c r="G162">
        <v>145465682</v>
      </c>
      <c r="H162">
        <v>2142553</v>
      </c>
      <c r="I162">
        <v>39194</v>
      </c>
      <c r="J162">
        <v>37620030</v>
      </c>
      <c r="K162">
        <v>17334</v>
      </c>
      <c r="L162" t="s">
        <v>936</v>
      </c>
      <c r="M162" t="s">
        <v>939</v>
      </c>
    </row>
    <row r="163" spans="1:13" x14ac:dyDescent="0.3">
      <c r="A163" t="s">
        <v>848</v>
      </c>
      <c r="B163">
        <v>152</v>
      </c>
      <c r="C163">
        <v>20585560</v>
      </c>
      <c r="D163">
        <v>394296</v>
      </c>
      <c r="E163">
        <v>14560</v>
      </c>
      <c r="F163">
        <v>1338696</v>
      </c>
      <c r="G163">
        <v>244223883</v>
      </c>
      <c r="H163">
        <v>2862342</v>
      </c>
      <c r="I163">
        <v>70530</v>
      </c>
      <c r="J163">
        <v>7562564</v>
      </c>
      <c r="K163">
        <v>37653</v>
      </c>
      <c r="L163" t="s">
        <v>936</v>
      </c>
      <c r="M163" t="s">
        <v>945</v>
      </c>
    </row>
    <row r="164" spans="1:13" x14ac:dyDescent="0.3">
      <c r="A164" t="s">
        <v>966</v>
      </c>
      <c r="B164">
        <v>156</v>
      </c>
      <c r="C164">
        <v>19611647</v>
      </c>
      <c r="D164">
        <v>379934</v>
      </c>
      <c r="E164">
        <v>197</v>
      </c>
      <c r="F164">
        <v>0</v>
      </c>
      <c r="G164">
        <v>258859513</v>
      </c>
      <c r="H164">
        <v>2850539</v>
      </c>
      <c r="I164">
        <v>6281</v>
      </c>
      <c r="J164">
        <v>8821778</v>
      </c>
      <c r="K164">
        <v>40830</v>
      </c>
      <c r="L164" t="s">
        <v>936</v>
      </c>
      <c r="M164" t="s">
        <v>940</v>
      </c>
    </row>
    <row r="165" spans="1:13" x14ac:dyDescent="0.3">
      <c r="A165" t="s">
        <v>876</v>
      </c>
      <c r="B165">
        <v>182</v>
      </c>
      <c r="C165">
        <v>19249366</v>
      </c>
      <c r="D165">
        <v>285977</v>
      </c>
      <c r="E165">
        <v>0</v>
      </c>
      <c r="F165">
        <v>0</v>
      </c>
      <c r="G165">
        <v>224515907</v>
      </c>
      <c r="H165">
        <v>1701254</v>
      </c>
      <c r="I165">
        <v>28244</v>
      </c>
      <c r="J165">
        <v>13900776</v>
      </c>
      <c r="K165">
        <v>36720</v>
      </c>
      <c r="L165" t="s">
        <v>936</v>
      </c>
      <c r="M165" t="s">
        <v>945</v>
      </c>
    </row>
    <row r="166" spans="1:13" x14ac:dyDescent="0.3">
      <c r="A166" t="s">
        <v>875</v>
      </c>
      <c r="B166">
        <v>180</v>
      </c>
      <c r="C166">
        <v>18806943</v>
      </c>
      <c r="D166">
        <v>337225</v>
      </c>
      <c r="E166">
        <v>23016</v>
      </c>
      <c r="F166">
        <v>0</v>
      </c>
      <c r="G166">
        <v>264252251</v>
      </c>
      <c r="H166">
        <v>1673275</v>
      </c>
      <c r="I166">
        <v>70790</v>
      </c>
      <c r="J166">
        <v>16918918</v>
      </c>
      <c r="K166">
        <v>39313</v>
      </c>
      <c r="L166" t="s">
        <v>936</v>
      </c>
      <c r="M166" t="s">
        <v>962</v>
      </c>
    </row>
    <row r="167" spans="1:13" x14ac:dyDescent="0.3">
      <c r="A167" t="s">
        <v>863</v>
      </c>
      <c r="B167">
        <v>163</v>
      </c>
      <c r="C167">
        <v>18501761</v>
      </c>
      <c r="D167">
        <v>368488</v>
      </c>
      <c r="E167">
        <v>192</v>
      </c>
      <c r="F167">
        <v>12853242</v>
      </c>
      <c r="G167">
        <v>222465027</v>
      </c>
      <c r="H167">
        <v>2370742</v>
      </c>
      <c r="I167">
        <v>17622</v>
      </c>
      <c r="J167">
        <v>46078476</v>
      </c>
      <c r="K167">
        <v>43266</v>
      </c>
      <c r="L167" t="s">
        <v>936</v>
      </c>
      <c r="M167" t="s">
        <v>944</v>
      </c>
    </row>
    <row r="168" spans="1:13" x14ac:dyDescent="0.3">
      <c r="A168" t="s">
        <v>1015</v>
      </c>
      <c r="B168">
        <v>11</v>
      </c>
      <c r="C168">
        <v>18176409</v>
      </c>
      <c r="D168">
        <v>315908</v>
      </c>
      <c r="E168">
        <v>450</v>
      </c>
      <c r="F168">
        <v>0</v>
      </c>
      <c r="G168">
        <v>18176409</v>
      </c>
      <c r="H168">
        <v>315908</v>
      </c>
      <c r="I168">
        <v>450</v>
      </c>
      <c r="J168">
        <v>0</v>
      </c>
      <c r="K168">
        <v>50010</v>
      </c>
      <c r="L168" t="s">
        <v>936</v>
      </c>
      <c r="M168" t="s">
        <v>1016</v>
      </c>
    </row>
    <row r="169" spans="1:13" x14ac:dyDescent="0.3">
      <c r="A169" t="s">
        <v>832</v>
      </c>
      <c r="B169">
        <v>138</v>
      </c>
      <c r="C169">
        <v>17551558</v>
      </c>
      <c r="D169">
        <v>333923</v>
      </c>
      <c r="E169">
        <v>9000</v>
      </c>
      <c r="F169">
        <v>8970689</v>
      </c>
      <c r="G169">
        <v>240622461</v>
      </c>
      <c r="H169">
        <v>2808229</v>
      </c>
      <c r="I169">
        <v>114852</v>
      </c>
      <c r="J169">
        <v>56038658</v>
      </c>
      <c r="K169">
        <v>30430</v>
      </c>
      <c r="L169" t="s">
        <v>936</v>
      </c>
      <c r="M169" t="s">
        <v>946</v>
      </c>
    </row>
    <row r="170" spans="1:13" x14ac:dyDescent="0.3">
      <c r="A170" t="s">
        <v>817</v>
      </c>
      <c r="B170">
        <v>113</v>
      </c>
      <c r="C170">
        <v>17388072</v>
      </c>
      <c r="D170">
        <v>334218</v>
      </c>
      <c r="E170">
        <v>0</v>
      </c>
      <c r="F170">
        <v>0</v>
      </c>
      <c r="G170">
        <v>297147067</v>
      </c>
      <c r="H170">
        <v>3676420</v>
      </c>
      <c r="I170">
        <v>49596</v>
      </c>
      <c r="J170">
        <v>3612005</v>
      </c>
      <c r="K170">
        <v>32759</v>
      </c>
      <c r="L170" t="s">
        <v>936</v>
      </c>
      <c r="M170" t="s">
        <v>940</v>
      </c>
    </row>
    <row r="171" spans="1:13" x14ac:dyDescent="0.3">
      <c r="A171" t="s">
        <v>879</v>
      </c>
      <c r="B171">
        <v>181</v>
      </c>
      <c r="C171">
        <v>16640715</v>
      </c>
      <c r="D171">
        <v>332928</v>
      </c>
      <c r="E171">
        <v>0</v>
      </c>
      <c r="F171">
        <v>0</v>
      </c>
      <c r="G171">
        <v>166630099</v>
      </c>
      <c r="H171">
        <v>1733523</v>
      </c>
      <c r="I171">
        <v>12812</v>
      </c>
      <c r="J171">
        <v>1523337</v>
      </c>
      <c r="K171">
        <v>28120</v>
      </c>
      <c r="L171" t="s">
        <v>936</v>
      </c>
      <c r="M171" t="s">
        <v>942</v>
      </c>
    </row>
    <row r="172" spans="1:13" x14ac:dyDescent="0.3">
      <c r="A172" t="s">
        <v>858</v>
      </c>
      <c r="B172">
        <v>164</v>
      </c>
      <c r="C172">
        <v>16510319</v>
      </c>
      <c r="D172">
        <v>312347</v>
      </c>
      <c r="E172">
        <v>4950</v>
      </c>
      <c r="F172">
        <v>18193420</v>
      </c>
      <c r="G172">
        <v>292094184</v>
      </c>
      <c r="H172">
        <v>2210378</v>
      </c>
      <c r="I172">
        <v>63187</v>
      </c>
      <c r="J172">
        <v>56807400</v>
      </c>
      <c r="K172">
        <v>35410</v>
      </c>
      <c r="L172" t="s">
        <v>936</v>
      </c>
      <c r="M172" t="s">
        <v>942</v>
      </c>
    </row>
    <row r="173" spans="1:13" x14ac:dyDescent="0.3">
      <c r="A173" t="s">
        <v>869</v>
      </c>
      <c r="B173">
        <v>174</v>
      </c>
      <c r="C173">
        <v>15741543</v>
      </c>
      <c r="D173">
        <v>348975</v>
      </c>
      <c r="E173">
        <v>4050</v>
      </c>
      <c r="F173">
        <v>0</v>
      </c>
      <c r="G173">
        <v>190887654</v>
      </c>
      <c r="H173">
        <v>2358527</v>
      </c>
      <c r="I173">
        <v>93277</v>
      </c>
      <c r="J173">
        <v>2945065</v>
      </c>
      <c r="K173">
        <v>27240</v>
      </c>
      <c r="L173" t="s">
        <v>936</v>
      </c>
      <c r="M173" t="s">
        <v>940</v>
      </c>
    </row>
    <row r="174" spans="1:13" x14ac:dyDescent="0.3">
      <c r="A174" t="s">
        <v>888</v>
      </c>
      <c r="B174">
        <v>191</v>
      </c>
      <c r="C174">
        <v>15268644</v>
      </c>
      <c r="D174">
        <v>184023</v>
      </c>
      <c r="E174">
        <v>357</v>
      </c>
      <c r="F174">
        <v>0</v>
      </c>
      <c r="G174">
        <v>145051029</v>
      </c>
      <c r="H174">
        <v>1091237</v>
      </c>
      <c r="I174">
        <v>29480</v>
      </c>
      <c r="J174">
        <v>10097123</v>
      </c>
      <c r="K174">
        <v>30673</v>
      </c>
      <c r="L174" t="s">
        <v>936</v>
      </c>
      <c r="M174" t="s">
        <v>937</v>
      </c>
    </row>
    <row r="175" spans="1:13" x14ac:dyDescent="0.3">
      <c r="A175" t="s">
        <v>873</v>
      </c>
      <c r="B175">
        <v>178</v>
      </c>
      <c r="C175">
        <v>15206447</v>
      </c>
      <c r="D175">
        <v>327379</v>
      </c>
      <c r="E175">
        <v>0</v>
      </c>
      <c r="F175">
        <v>0</v>
      </c>
      <c r="G175">
        <v>214793538</v>
      </c>
      <c r="H175">
        <v>2064307</v>
      </c>
      <c r="I175">
        <v>33716</v>
      </c>
      <c r="J175">
        <v>6642651</v>
      </c>
      <c r="K175">
        <v>34083</v>
      </c>
      <c r="L175" t="s">
        <v>936</v>
      </c>
      <c r="M175" t="s">
        <v>937</v>
      </c>
    </row>
    <row r="176" spans="1:13" x14ac:dyDescent="0.3">
      <c r="A176" t="s">
        <v>835</v>
      </c>
      <c r="B176">
        <v>147</v>
      </c>
      <c r="C176">
        <v>14977352</v>
      </c>
      <c r="D176">
        <v>299736</v>
      </c>
      <c r="E176">
        <v>101</v>
      </c>
      <c r="F176">
        <v>0</v>
      </c>
      <c r="G176">
        <v>269250933</v>
      </c>
      <c r="H176">
        <v>2552417</v>
      </c>
      <c r="I176">
        <v>32669</v>
      </c>
      <c r="J176">
        <v>4525150</v>
      </c>
      <c r="K176">
        <v>36713</v>
      </c>
      <c r="L176" t="s">
        <v>936</v>
      </c>
      <c r="M176" t="s">
        <v>944</v>
      </c>
    </row>
    <row r="177" spans="1:13" x14ac:dyDescent="0.3">
      <c r="A177" t="s">
        <v>854</v>
      </c>
      <c r="B177">
        <v>166</v>
      </c>
      <c r="C177">
        <v>14365887</v>
      </c>
      <c r="D177">
        <v>288328</v>
      </c>
      <c r="E177">
        <v>0</v>
      </c>
      <c r="F177">
        <v>0</v>
      </c>
      <c r="G177">
        <v>228921124</v>
      </c>
      <c r="H177">
        <v>2083514</v>
      </c>
      <c r="I177">
        <v>26223</v>
      </c>
      <c r="J177">
        <v>3243805</v>
      </c>
      <c r="K177">
        <v>18753</v>
      </c>
      <c r="L177" t="s">
        <v>936</v>
      </c>
      <c r="M177" t="s">
        <v>942</v>
      </c>
    </row>
    <row r="178" spans="1:13" x14ac:dyDescent="0.3">
      <c r="A178" t="s">
        <v>881</v>
      </c>
      <c r="B178">
        <v>187</v>
      </c>
      <c r="C178">
        <v>14266926</v>
      </c>
      <c r="D178">
        <v>287252</v>
      </c>
      <c r="E178">
        <v>0</v>
      </c>
      <c r="F178">
        <v>0</v>
      </c>
      <c r="G178">
        <v>160117495</v>
      </c>
      <c r="H178">
        <v>1460368</v>
      </c>
      <c r="I178">
        <v>5980</v>
      </c>
      <c r="J178">
        <v>3912709</v>
      </c>
      <c r="K178">
        <v>32133</v>
      </c>
      <c r="L178" t="s">
        <v>936</v>
      </c>
      <c r="M178" t="s">
        <v>940</v>
      </c>
    </row>
    <row r="179" spans="1:13" x14ac:dyDescent="0.3">
      <c r="A179" t="s">
        <v>1017</v>
      </c>
      <c r="B179">
        <v>12</v>
      </c>
      <c r="C179">
        <v>13831731</v>
      </c>
      <c r="D179">
        <v>168847</v>
      </c>
      <c r="E179">
        <v>0</v>
      </c>
      <c r="F179">
        <v>0</v>
      </c>
      <c r="G179">
        <v>13831731</v>
      </c>
      <c r="H179">
        <v>168847</v>
      </c>
      <c r="I179">
        <v>0</v>
      </c>
      <c r="J179">
        <v>0</v>
      </c>
      <c r="K179">
        <v>45020</v>
      </c>
      <c r="L179" t="s">
        <v>936</v>
      </c>
      <c r="M179" t="s">
        <v>1016</v>
      </c>
    </row>
    <row r="180" spans="1:13" x14ac:dyDescent="0.3">
      <c r="A180" t="s">
        <v>819</v>
      </c>
      <c r="B180">
        <v>118</v>
      </c>
      <c r="C180">
        <v>13716069</v>
      </c>
      <c r="D180">
        <v>264507</v>
      </c>
      <c r="E180">
        <v>800</v>
      </c>
      <c r="F180">
        <v>0</v>
      </c>
      <c r="G180">
        <v>246522650</v>
      </c>
      <c r="H180">
        <v>3368544</v>
      </c>
      <c r="I180">
        <v>62357</v>
      </c>
      <c r="J180">
        <v>8640603</v>
      </c>
      <c r="K180">
        <v>27206</v>
      </c>
      <c r="L180" t="s">
        <v>936</v>
      </c>
      <c r="M180" t="s">
        <v>946</v>
      </c>
    </row>
    <row r="181" spans="1:13" x14ac:dyDescent="0.3">
      <c r="A181" t="s">
        <v>1018</v>
      </c>
      <c r="B181">
        <v>19</v>
      </c>
      <c r="C181">
        <v>13462220</v>
      </c>
      <c r="D181">
        <v>170282</v>
      </c>
      <c r="E181">
        <v>350</v>
      </c>
      <c r="F181">
        <v>0</v>
      </c>
      <c r="G181">
        <v>13462220</v>
      </c>
      <c r="H181">
        <v>170282</v>
      </c>
      <c r="I181">
        <v>350</v>
      </c>
      <c r="J181">
        <v>0</v>
      </c>
      <c r="K181">
        <v>43990</v>
      </c>
      <c r="L181" t="s">
        <v>936</v>
      </c>
      <c r="M181" t="s">
        <v>1016</v>
      </c>
    </row>
    <row r="182" spans="1:13" x14ac:dyDescent="0.3">
      <c r="A182" t="s">
        <v>868</v>
      </c>
      <c r="B182">
        <v>177</v>
      </c>
      <c r="C182">
        <v>12147640</v>
      </c>
      <c r="D182">
        <v>218624</v>
      </c>
      <c r="E182">
        <v>0</v>
      </c>
      <c r="F182">
        <v>2891185</v>
      </c>
      <c r="G182">
        <v>155653772</v>
      </c>
      <c r="H182">
        <v>1770103</v>
      </c>
      <c r="I182">
        <v>15497</v>
      </c>
      <c r="J182">
        <v>39003172</v>
      </c>
      <c r="K182">
        <v>35663</v>
      </c>
      <c r="L182" t="s">
        <v>936</v>
      </c>
      <c r="M182" t="s">
        <v>962</v>
      </c>
    </row>
    <row r="183" spans="1:13" x14ac:dyDescent="0.3">
      <c r="A183" t="s">
        <v>877</v>
      </c>
      <c r="B183">
        <v>183</v>
      </c>
      <c r="C183">
        <v>12135366</v>
      </c>
      <c r="D183">
        <v>242786</v>
      </c>
      <c r="E183">
        <v>0</v>
      </c>
      <c r="F183">
        <v>0</v>
      </c>
      <c r="G183">
        <v>213801418</v>
      </c>
      <c r="H183">
        <v>1817712</v>
      </c>
      <c r="I183">
        <v>33253</v>
      </c>
      <c r="J183">
        <v>11408653</v>
      </c>
      <c r="K183">
        <v>37720</v>
      </c>
      <c r="L183" t="s">
        <v>936</v>
      </c>
      <c r="M183" t="s">
        <v>942</v>
      </c>
    </row>
    <row r="184" spans="1:13" x14ac:dyDescent="0.3">
      <c r="A184" t="s">
        <v>1019</v>
      </c>
      <c r="B184">
        <v>36</v>
      </c>
      <c r="C184">
        <v>11590577</v>
      </c>
      <c r="D184">
        <v>213012</v>
      </c>
      <c r="E184">
        <v>0</v>
      </c>
      <c r="F184">
        <v>0</v>
      </c>
      <c r="G184">
        <v>11590577</v>
      </c>
      <c r="H184">
        <v>213012</v>
      </c>
      <c r="I184">
        <v>0</v>
      </c>
      <c r="J184">
        <v>0</v>
      </c>
      <c r="K184">
        <v>41440</v>
      </c>
      <c r="L184" t="s">
        <v>936</v>
      </c>
      <c r="M184" t="s">
        <v>1020</v>
      </c>
    </row>
    <row r="185" spans="1:13" x14ac:dyDescent="0.3">
      <c r="A185" t="s">
        <v>1021</v>
      </c>
      <c r="B185">
        <v>8</v>
      </c>
      <c r="C185">
        <v>11386232</v>
      </c>
      <c r="D185">
        <v>218243</v>
      </c>
      <c r="E185">
        <v>0</v>
      </c>
      <c r="F185">
        <v>0</v>
      </c>
      <c r="G185">
        <v>11386232</v>
      </c>
      <c r="H185">
        <v>218243</v>
      </c>
      <c r="I185">
        <v>0</v>
      </c>
      <c r="J185">
        <v>0</v>
      </c>
      <c r="K185">
        <v>36630</v>
      </c>
      <c r="L185" t="s">
        <v>936</v>
      </c>
      <c r="M185" t="s">
        <v>1016</v>
      </c>
    </row>
    <row r="186" spans="1:13" x14ac:dyDescent="0.3">
      <c r="A186" t="s">
        <v>1022</v>
      </c>
      <c r="B186">
        <v>24</v>
      </c>
      <c r="C186">
        <v>11365384</v>
      </c>
      <c r="D186">
        <v>184713</v>
      </c>
      <c r="E186">
        <v>0</v>
      </c>
      <c r="F186">
        <v>0</v>
      </c>
      <c r="G186">
        <v>11365384</v>
      </c>
      <c r="H186">
        <v>184713</v>
      </c>
      <c r="I186">
        <v>0</v>
      </c>
      <c r="J186">
        <v>0</v>
      </c>
      <c r="K186">
        <v>45100</v>
      </c>
      <c r="L186" t="s">
        <v>936</v>
      </c>
      <c r="M186" t="s">
        <v>1016</v>
      </c>
    </row>
    <row r="187" spans="1:13" x14ac:dyDescent="0.3">
      <c r="A187" t="s">
        <v>975</v>
      </c>
      <c r="B187">
        <v>172</v>
      </c>
      <c r="C187">
        <v>10915400</v>
      </c>
      <c r="D187">
        <v>208950</v>
      </c>
      <c r="E187">
        <v>0</v>
      </c>
      <c r="F187">
        <v>0</v>
      </c>
      <c r="G187">
        <v>173495185</v>
      </c>
      <c r="H187">
        <v>2017395</v>
      </c>
      <c r="I187">
        <v>60531</v>
      </c>
      <c r="J187">
        <v>5539743</v>
      </c>
      <c r="K187">
        <v>35000</v>
      </c>
      <c r="L187" t="s">
        <v>936</v>
      </c>
      <c r="M187" t="s">
        <v>945</v>
      </c>
    </row>
    <row r="188" spans="1:13" x14ac:dyDescent="0.3">
      <c r="A188" t="s">
        <v>1023</v>
      </c>
      <c r="B188">
        <v>46</v>
      </c>
      <c r="C188">
        <v>10463420</v>
      </c>
      <c r="D188">
        <v>202459</v>
      </c>
      <c r="E188">
        <v>0</v>
      </c>
      <c r="F188">
        <v>0</v>
      </c>
      <c r="G188">
        <v>10463420</v>
      </c>
      <c r="H188">
        <v>202459</v>
      </c>
      <c r="I188">
        <v>0</v>
      </c>
      <c r="J188">
        <v>0</v>
      </c>
      <c r="K188">
        <v>37530</v>
      </c>
      <c r="L188" t="s">
        <v>936</v>
      </c>
      <c r="M188" t="s">
        <v>1020</v>
      </c>
    </row>
    <row r="189" spans="1:13" x14ac:dyDescent="0.3">
      <c r="A189" t="s">
        <v>891</v>
      </c>
      <c r="B189">
        <v>190</v>
      </c>
      <c r="C189">
        <v>9585053</v>
      </c>
      <c r="D189">
        <v>210458</v>
      </c>
      <c r="E189">
        <v>23850</v>
      </c>
      <c r="F189">
        <v>0</v>
      </c>
      <c r="G189">
        <v>79465624</v>
      </c>
      <c r="H189">
        <v>879955</v>
      </c>
      <c r="I189">
        <v>23850</v>
      </c>
      <c r="J189">
        <v>51514017</v>
      </c>
      <c r="K189">
        <v>24700</v>
      </c>
      <c r="L189" t="s">
        <v>936</v>
      </c>
      <c r="M189" t="s">
        <v>959</v>
      </c>
    </row>
    <row r="190" spans="1:13" x14ac:dyDescent="0.3">
      <c r="A190" t="s">
        <v>1024</v>
      </c>
      <c r="B190">
        <v>83</v>
      </c>
      <c r="C190">
        <v>8766590</v>
      </c>
      <c r="D190">
        <v>204306</v>
      </c>
      <c r="E190">
        <v>2700</v>
      </c>
      <c r="F190">
        <v>0</v>
      </c>
      <c r="G190">
        <v>8766590</v>
      </c>
      <c r="H190">
        <v>204306</v>
      </c>
      <c r="I190">
        <v>2700</v>
      </c>
      <c r="J190">
        <v>0</v>
      </c>
      <c r="K190">
        <v>42900</v>
      </c>
      <c r="L190" t="s">
        <v>936</v>
      </c>
      <c r="M190" t="s">
        <v>1020</v>
      </c>
    </row>
    <row r="191" spans="1:13" x14ac:dyDescent="0.3">
      <c r="A191" t="s">
        <v>1013</v>
      </c>
      <c r="B191">
        <v>196</v>
      </c>
      <c r="C191">
        <v>8408964</v>
      </c>
      <c r="D191">
        <v>86541</v>
      </c>
      <c r="E191">
        <v>1050</v>
      </c>
      <c r="F191">
        <v>0</v>
      </c>
      <c r="G191">
        <v>8408964</v>
      </c>
      <c r="H191">
        <v>86541</v>
      </c>
      <c r="I191">
        <v>1050</v>
      </c>
      <c r="J191">
        <v>0</v>
      </c>
      <c r="K191">
        <v>37136</v>
      </c>
      <c r="L191" t="s">
        <v>936</v>
      </c>
      <c r="M191" t="s">
        <v>962</v>
      </c>
    </row>
    <row r="192" spans="1:13" x14ac:dyDescent="0.3">
      <c r="A192" t="s">
        <v>1025</v>
      </c>
      <c r="B192">
        <v>96</v>
      </c>
      <c r="C192">
        <v>7959675</v>
      </c>
      <c r="D192">
        <v>146977</v>
      </c>
      <c r="E192">
        <v>0</v>
      </c>
      <c r="F192">
        <v>0</v>
      </c>
      <c r="G192">
        <v>7959675</v>
      </c>
      <c r="H192">
        <v>146977</v>
      </c>
      <c r="I192">
        <v>0</v>
      </c>
      <c r="J192">
        <v>0</v>
      </c>
      <c r="K192">
        <v>37240</v>
      </c>
      <c r="L192" t="s">
        <v>936</v>
      </c>
      <c r="M192" t="s">
        <v>1020</v>
      </c>
    </row>
    <row r="193" spans="1:13" x14ac:dyDescent="0.3">
      <c r="A193" t="s">
        <v>894</v>
      </c>
      <c r="B193">
        <v>193</v>
      </c>
      <c r="C193">
        <v>7590387</v>
      </c>
      <c r="D193">
        <v>153431</v>
      </c>
      <c r="E193">
        <v>0</v>
      </c>
      <c r="F193">
        <v>0</v>
      </c>
      <c r="G193">
        <v>111589614</v>
      </c>
      <c r="H193">
        <v>801729</v>
      </c>
      <c r="I193">
        <v>7644</v>
      </c>
      <c r="J193">
        <v>6188510</v>
      </c>
      <c r="K193">
        <v>25160</v>
      </c>
      <c r="L193" t="s">
        <v>936</v>
      </c>
      <c r="M193" t="s">
        <v>940</v>
      </c>
    </row>
    <row r="194" spans="1:13" x14ac:dyDescent="0.3">
      <c r="A194" t="s">
        <v>980</v>
      </c>
      <c r="B194">
        <v>195</v>
      </c>
      <c r="C194">
        <v>7567960</v>
      </c>
      <c r="D194">
        <v>260054</v>
      </c>
      <c r="E194">
        <v>41600</v>
      </c>
      <c r="F194">
        <v>29992542</v>
      </c>
      <c r="G194">
        <v>39867607</v>
      </c>
      <c r="H194">
        <v>467015</v>
      </c>
      <c r="I194">
        <v>75050</v>
      </c>
      <c r="J194">
        <v>98031254</v>
      </c>
      <c r="K194">
        <v>14240</v>
      </c>
      <c r="L194" t="s">
        <v>936</v>
      </c>
      <c r="M194" t="s">
        <v>959</v>
      </c>
    </row>
    <row r="195" spans="1:13" x14ac:dyDescent="0.3">
      <c r="A195" t="s">
        <v>898</v>
      </c>
      <c r="B195">
        <v>194</v>
      </c>
      <c r="C195">
        <v>6666560</v>
      </c>
      <c r="D195">
        <v>126538</v>
      </c>
      <c r="E195">
        <v>178</v>
      </c>
      <c r="F195">
        <v>0</v>
      </c>
      <c r="G195">
        <v>91828461</v>
      </c>
      <c r="H195">
        <v>670164</v>
      </c>
      <c r="I195">
        <v>16144</v>
      </c>
      <c r="J195">
        <v>49390691</v>
      </c>
      <c r="K195">
        <v>22563</v>
      </c>
      <c r="L195" t="s">
        <v>936</v>
      </c>
      <c r="M195" t="s">
        <v>937</v>
      </c>
    </row>
    <row r="196" spans="1:13" x14ac:dyDescent="0.3">
      <c r="A196" t="s">
        <v>1026</v>
      </c>
      <c r="B196">
        <v>41</v>
      </c>
      <c r="C196">
        <v>6089472</v>
      </c>
      <c r="D196">
        <v>122017</v>
      </c>
      <c r="E196">
        <v>0</v>
      </c>
      <c r="F196">
        <v>0</v>
      </c>
      <c r="G196">
        <v>6089472</v>
      </c>
      <c r="H196">
        <v>122017</v>
      </c>
      <c r="I196">
        <v>0</v>
      </c>
      <c r="J196">
        <v>0</v>
      </c>
      <c r="K196">
        <v>34333</v>
      </c>
      <c r="L196" t="s">
        <v>936</v>
      </c>
      <c r="M196" t="s">
        <v>1020</v>
      </c>
    </row>
    <row r="197" spans="1:13" x14ac:dyDescent="0.3">
      <c r="A197" t="s">
        <v>851</v>
      </c>
      <c r="B197">
        <v>168</v>
      </c>
      <c r="C197">
        <v>3421413</v>
      </c>
      <c r="D197">
        <v>68230</v>
      </c>
      <c r="E197">
        <v>1350</v>
      </c>
      <c r="F197">
        <v>0</v>
      </c>
      <c r="G197">
        <v>168946870</v>
      </c>
      <c r="H197">
        <v>1957264</v>
      </c>
      <c r="I197">
        <v>51320</v>
      </c>
      <c r="J197">
        <v>4801442</v>
      </c>
      <c r="K197">
        <v>30640</v>
      </c>
      <c r="L197" t="s">
        <v>936</v>
      </c>
      <c r="M197" t="s">
        <v>940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7DC9-A50F-4103-8484-D643DBE0C9BD}">
  <dimension ref="A1:M200"/>
  <sheetViews>
    <sheetView workbookViewId="0">
      <selection activeCell="F7" sqref="F7"/>
    </sheetView>
  </sheetViews>
  <sheetFormatPr defaultRowHeight="16.5" x14ac:dyDescent="0.3"/>
  <cols>
    <col min="1" max="1" width="13" bestFit="1" customWidth="1"/>
  </cols>
  <sheetData>
    <row r="1" spans="1:13" x14ac:dyDescent="0.3">
      <c r="A1" s="19" t="s">
        <v>923</v>
      </c>
      <c r="B1" s="19" t="s">
        <v>924</v>
      </c>
      <c r="C1" s="19" t="s">
        <v>925</v>
      </c>
      <c r="D1" s="19" t="s">
        <v>926</v>
      </c>
      <c r="E1" s="19" t="s">
        <v>927</v>
      </c>
      <c r="F1" s="19" t="s">
        <v>928</v>
      </c>
      <c r="G1" s="19" t="s">
        <v>929</v>
      </c>
      <c r="H1" s="19" t="s">
        <v>930</v>
      </c>
      <c r="I1" s="19" t="s">
        <v>931</v>
      </c>
      <c r="J1" s="19" t="s">
        <v>932</v>
      </c>
      <c r="K1" s="19" t="s">
        <v>933</v>
      </c>
      <c r="L1" s="19" t="s">
        <v>934</v>
      </c>
      <c r="M1" s="19" t="s">
        <v>935</v>
      </c>
    </row>
    <row r="2" spans="1:13" x14ac:dyDescent="0.3">
      <c r="A2" s="5" t="s">
        <v>742</v>
      </c>
      <c r="B2" s="5">
        <v>3</v>
      </c>
      <c r="C2" s="5">
        <v>32701911</v>
      </c>
      <c r="D2" s="5">
        <v>579586</v>
      </c>
      <c r="E2" s="5">
        <v>0</v>
      </c>
      <c r="F2" s="5">
        <v>0</v>
      </c>
      <c r="G2" s="5">
        <v>472694077</v>
      </c>
      <c r="H2" s="5">
        <v>6495943</v>
      </c>
      <c r="I2" s="5">
        <v>53450</v>
      </c>
      <c r="J2" s="5">
        <v>2762893</v>
      </c>
      <c r="K2" s="5">
        <v>42050</v>
      </c>
      <c r="L2" s="5" t="s">
        <v>936</v>
      </c>
      <c r="M2" s="5" t="s">
        <v>937</v>
      </c>
    </row>
    <row r="3" spans="1:13" x14ac:dyDescent="0.3">
      <c r="A3" s="5" t="s">
        <v>938</v>
      </c>
      <c r="B3" s="5">
        <v>5</v>
      </c>
      <c r="C3" s="5">
        <v>26742864</v>
      </c>
      <c r="D3" s="5">
        <v>555403</v>
      </c>
      <c r="E3" s="5">
        <v>138</v>
      </c>
      <c r="F3" s="5">
        <v>0</v>
      </c>
      <c r="G3" s="5">
        <v>473602811</v>
      </c>
      <c r="H3" s="5">
        <v>6173725</v>
      </c>
      <c r="I3" s="5">
        <v>34799</v>
      </c>
      <c r="J3" s="5">
        <v>3237273</v>
      </c>
      <c r="K3" s="5">
        <v>44480</v>
      </c>
      <c r="L3" s="5" t="s">
        <v>936</v>
      </c>
      <c r="M3" s="5" t="s">
        <v>939</v>
      </c>
    </row>
    <row r="4" spans="1:13" x14ac:dyDescent="0.3">
      <c r="A4" s="5" t="s">
        <v>743</v>
      </c>
      <c r="B4" s="5">
        <v>6</v>
      </c>
      <c r="C4" s="5">
        <v>30005381</v>
      </c>
      <c r="D4" s="5">
        <v>555036</v>
      </c>
      <c r="E4" s="5">
        <v>0</v>
      </c>
      <c r="F4" s="5">
        <v>0</v>
      </c>
      <c r="G4" s="5">
        <v>421547802</v>
      </c>
      <c r="H4" s="5">
        <v>6081354</v>
      </c>
      <c r="I4" s="5">
        <v>53333</v>
      </c>
      <c r="J4" s="5">
        <v>2727930</v>
      </c>
      <c r="K4" s="5">
        <v>39480</v>
      </c>
      <c r="L4" s="5" t="s">
        <v>936</v>
      </c>
      <c r="M4" s="5" t="s">
        <v>940</v>
      </c>
    </row>
    <row r="5" spans="1:13" x14ac:dyDescent="0.3">
      <c r="A5" s="5" t="s">
        <v>744</v>
      </c>
      <c r="B5" s="5">
        <v>7</v>
      </c>
      <c r="C5" s="5">
        <v>26637659</v>
      </c>
      <c r="D5" s="5">
        <v>543549</v>
      </c>
      <c r="E5" s="5">
        <v>350</v>
      </c>
      <c r="F5" s="5">
        <v>0</v>
      </c>
      <c r="G5" s="5">
        <v>453840518</v>
      </c>
      <c r="H5" s="5">
        <v>5852109</v>
      </c>
      <c r="I5" s="5">
        <v>46053</v>
      </c>
      <c r="J5" s="5">
        <v>8203813</v>
      </c>
      <c r="K5" s="5">
        <v>47100</v>
      </c>
      <c r="L5" s="5" t="s">
        <v>936</v>
      </c>
      <c r="M5" s="5" t="s">
        <v>939</v>
      </c>
    </row>
    <row r="6" spans="1:13" x14ac:dyDescent="0.3">
      <c r="A6" s="5" t="s">
        <v>941</v>
      </c>
      <c r="B6" s="5">
        <v>8</v>
      </c>
      <c r="C6" s="5">
        <v>26774836</v>
      </c>
      <c r="D6" s="5">
        <v>531460</v>
      </c>
      <c r="E6" s="5">
        <v>520</v>
      </c>
      <c r="F6" s="5">
        <v>0</v>
      </c>
      <c r="G6" s="5">
        <v>410857714</v>
      </c>
      <c r="H6" s="5">
        <v>5699154</v>
      </c>
      <c r="I6" s="5">
        <v>40689</v>
      </c>
      <c r="J6" s="5">
        <v>2702688</v>
      </c>
      <c r="K6" s="5">
        <v>40510</v>
      </c>
      <c r="L6" s="5" t="s">
        <v>936</v>
      </c>
      <c r="M6" s="5" t="s">
        <v>942</v>
      </c>
    </row>
    <row r="7" spans="1:13" x14ac:dyDescent="0.3">
      <c r="A7" s="5" t="s">
        <v>746</v>
      </c>
      <c r="B7" s="5">
        <v>10</v>
      </c>
      <c r="C7" s="5">
        <v>27841604</v>
      </c>
      <c r="D7" s="5">
        <v>514814</v>
      </c>
      <c r="E7" s="5">
        <v>470</v>
      </c>
      <c r="F7" s="5">
        <v>0</v>
      </c>
      <c r="G7" s="5">
        <v>390463155</v>
      </c>
      <c r="H7" s="5">
        <v>5548246</v>
      </c>
      <c r="I7" s="5">
        <v>52892</v>
      </c>
      <c r="J7" s="5">
        <v>2964363</v>
      </c>
      <c r="K7" s="5">
        <v>37586</v>
      </c>
      <c r="L7" s="5" t="s">
        <v>936</v>
      </c>
      <c r="M7" s="5" t="s">
        <v>943</v>
      </c>
    </row>
    <row r="8" spans="1:13" x14ac:dyDescent="0.3">
      <c r="A8" s="5" t="s">
        <v>740</v>
      </c>
      <c r="B8" s="5">
        <v>1</v>
      </c>
      <c r="C8" s="5">
        <v>35520299</v>
      </c>
      <c r="D8" s="5">
        <v>484962</v>
      </c>
      <c r="E8" s="5">
        <v>2250</v>
      </c>
      <c r="F8" s="5">
        <v>0</v>
      </c>
      <c r="G8" s="5">
        <v>485602022</v>
      </c>
      <c r="H8" s="5">
        <v>6915579</v>
      </c>
      <c r="I8" s="5">
        <v>104684</v>
      </c>
      <c r="J8" s="5">
        <v>2709594</v>
      </c>
      <c r="K8" s="5">
        <v>40423</v>
      </c>
      <c r="L8" s="5" t="s">
        <v>936</v>
      </c>
      <c r="M8" s="5" t="s">
        <v>944</v>
      </c>
    </row>
    <row r="9" spans="1:13" x14ac:dyDescent="0.3">
      <c r="A9" s="5" t="s">
        <v>598</v>
      </c>
      <c r="B9" s="5">
        <v>2</v>
      </c>
      <c r="C9" s="5">
        <v>31410117</v>
      </c>
      <c r="D9" s="5">
        <v>457051</v>
      </c>
      <c r="E9" s="5">
        <v>3500</v>
      </c>
      <c r="F9" s="5">
        <v>0</v>
      </c>
      <c r="G9" s="5">
        <v>458193227</v>
      </c>
      <c r="H9" s="5">
        <v>6140068</v>
      </c>
      <c r="I9" s="5">
        <v>52957</v>
      </c>
      <c r="J9" s="5">
        <v>3882655</v>
      </c>
      <c r="K9" s="5">
        <v>41120</v>
      </c>
      <c r="L9" s="5" t="s">
        <v>936</v>
      </c>
      <c r="M9" s="5" t="s">
        <v>945</v>
      </c>
    </row>
    <row r="10" spans="1:13" x14ac:dyDescent="0.3">
      <c r="A10" s="5" t="s">
        <v>741</v>
      </c>
      <c r="B10" s="5">
        <v>4</v>
      </c>
      <c r="C10" s="5">
        <v>22322623</v>
      </c>
      <c r="D10" s="5">
        <v>440239</v>
      </c>
      <c r="E10" s="5">
        <v>0</v>
      </c>
      <c r="F10" s="5">
        <v>0</v>
      </c>
      <c r="G10" s="5">
        <v>409796662</v>
      </c>
      <c r="H10" s="5">
        <v>5999781</v>
      </c>
      <c r="I10" s="5">
        <v>31273</v>
      </c>
      <c r="J10" s="5">
        <v>2802676</v>
      </c>
      <c r="K10" s="5">
        <v>35750</v>
      </c>
      <c r="L10" s="5" t="s">
        <v>936</v>
      </c>
      <c r="M10" s="5" t="s">
        <v>940</v>
      </c>
    </row>
    <row r="11" spans="1:13" x14ac:dyDescent="0.3">
      <c r="A11" s="5" t="s">
        <v>783</v>
      </c>
      <c r="B11" s="5">
        <v>44</v>
      </c>
      <c r="C11" s="5">
        <v>23381176</v>
      </c>
      <c r="D11" s="5">
        <v>436180</v>
      </c>
      <c r="E11" s="5">
        <v>0</v>
      </c>
      <c r="F11" s="5">
        <v>0</v>
      </c>
      <c r="G11" s="5">
        <v>309532629</v>
      </c>
      <c r="H11" s="5">
        <v>3772884</v>
      </c>
      <c r="I11" s="5">
        <v>57291</v>
      </c>
      <c r="J11" s="5">
        <v>2823608</v>
      </c>
      <c r="K11" s="5">
        <v>42150</v>
      </c>
      <c r="L11" s="5" t="s">
        <v>936</v>
      </c>
      <c r="M11" s="5" t="s">
        <v>945</v>
      </c>
    </row>
    <row r="12" spans="1:13" x14ac:dyDescent="0.3">
      <c r="A12" s="5" t="s">
        <v>752</v>
      </c>
      <c r="B12" s="5">
        <v>14</v>
      </c>
      <c r="C12" s="5">
        <v>22099882</v>
      </c>
      <c r="D12" s="5">
        <v>433183</v>
      </c>
      <c r="E12" s="5">
        <v>1920</v>
      </c>
      <c r="F12" s="5">
        <v>0</v>
      </c>
      <c r="G12" s="5">
        <v>386104908</v>
      </c>
      <c r="H12" s="5">
        <v>5099023</v>
      </c>
      <c r="I12" s="5">
        <v>61213</v>
      </c>
      <c r="J12" s="5">
        <v>3457225</v>
      </c>
      <c r="K12" s="5">
        <v>43730</v>
      </c>
      <c r="L12" s="5" t="s">
        <v>936</v>
      </c>
      <c r="M12" s="5" t="s">
        <v>943</v>
      </c>
    </row>
    <row r="13" spans="1:13" x14ac:dyDescent="0.3">
      <c r="A13" s="5" t="s">
        <v>751</v>
      </c>
      <c r="B13" s="5">
        <v>16</v>
      </c>
      <c r="C13" s="5">
        <v>20859403</v>
      </c>
      <c r="D13" s="5">
        <v>432419</v>
      </c>
      <c r="E13" s="5">
        <v>400</v>
      </c>
      <c r="F13" s="5">
        <v>0</v>
      </c>
      <c r="G13" s="5">
        <v>354963197</v>
      </c>
      <c r="H13" s="5">
        <v>5058966</v>
      </c>
      <c r="I13" s="5">
        <v>46546</v>
      </c>
      <c r="J13" s="5">
        <v>4819625</v>
      </c>
      <c r="K13" s="5">
        <v>40060</v>
      </c>
      <c r="L13" s="5" t="s">
        <v>936</v>
      </c>
      <c r="M13" s="5" t="s">
        <v>939</v>
      </c>
    </row>
    <row r="14" spans="1:13" x14ac:dyDescent="0.3">
      <c r="A14" s="5" t="s">
        <v>804</v>
      </c>
      <c r="B14" s="5">
        <v>72</v>
      </c>
      <c r="C14" s="5">
        <v>23646583</v>
      </c>
      <c r="D14" s="5">
        <v>426077</v>
      </c>
      <c r="E14" s="5">
        <v>0</v>
      </c>
      <c r="F14" s="5">
        <v>0</v>
      </c>
      <c r="G14" s="5">
        <v>344598005</v>
      </c>
      <c r="H14" s="5">
        <v>3725978</v>
      </c>
      <c r="I14" s="5">
        <v>14911</v>
      </c>
      <c r="J14" s="5">
        <v>12260817</v>
      </c>
      <c r="K14" s="5">
        <v>39540</v>
      </c>
      <c r="L14" s="5" t="s">
        <v>936</v>
      </c>
      <c r="M14" s="5" t="s">
        <v>937</v>
      </c>
    </row>
    <row r="15" spans="1:13" x14ac:dyDescent="0.3">
      <c r="A15" s="5" t="s">
        <v>599</v>
      </c>
      <c r="B15" s="5">
        <v>15</v>
      </c>
      <c r="C15" s="5">
        <v>19762709</v>
      </c>
      <c r="D15" s="5">
        <v>425366</v>
      </c>
      <c r="E15" s="5">
        <v>500</v>
      </c>
      <c r="F15" s="5">
        <v>0</v>
      </c>
      <c r="G15" s="5">
        <v>387127386</v>
      </c>
      <c r="H15" s="5">
        <v>4999834</v>
      </c>
      <c r="I15" s="5">
        <v>43441</v>
      </c>
      <c r="J15" s="5">
        <v>2707023</v>
      </c>
      <c r="K15" s="5">
        <v>41270</v>
      </c>
      <c r="L15" s="5" t="s">
        <v>936</v>
      </c>
      <c r="M15" s="5" t="s">
        <v>945</v>
      </c>
    </row>
    <row r="16" spans="1:13" x14ac:dyDescent="0.3">
      <c r="A16" s="5" t="s">
        <v>755</v>
      </c>
      <c r="B16" s="5">
        <v>19</v>
      </c>
      <c r="C16" s="5">
        <v>20939934</v>
      </c>
      <c r="D16" s="5">
        <v>419817</v>
      </c>
      <c r="E16" s="5">
        <v>5591</v>
      </c>
      <c r="F16" s="5">
        <v>0</v>
      </c>
      <c r="G16" s="5">
        <v>371993847</v>
      </c>
      <c r="H16" s="5">
        <v>4610791</v>
      </c>
      <c r="I16" s="5">
        <v>111610</v>
      </c>
      <c r="J16" s="5">
        <v>6912971</v>
      </c>
      <c r="K16" s="5">
        <v>39730</v>
      </c>
      <c r="L16" s="5" t="s">
        <v>936</v>
      </c>
      <c r="M16" s="5" t="s">
        <v>940</v>
      </c>
    </row>
    <row r="17" spans="1:13" x14ac:dyDescent="0.3">
      <c r="A17" s="5" t="s">
        <v>793</v>
      </c>
      <c r="B17" s="5">
        <v>59</v>
      </c>
      <c r="C17" s="5">
        <v>20608319</v>
      </c>
      <c r="D17" s="5">
        <v>412289</v>
      </c>
      <c r="E17" s="5">
        <v>96</v>
      </c>
      <c r="F17" s="5">
        <v>0</v>
      </c>
      <c r="G17" s="5">
        <v>309193194</v>
      </c>
      <c r="H17" s="5">
        <v>3607542</v>
      </c>
      <c r="I17" s="5">
        <v>43760</v>
      </c>
      <c r="J17" s="5">
        <v>3522751</v>
      </c>
      <c r="K17" s="5">
        <v>39460</v>
      </c>
      <c r="L17" s="5" t="s">
        <v>936</v>
      </c>
      <c r="M17" s="5" t="s">
        <v>937</v>
      </c>
    </row>
    <row r="18" spans="1:13" x14ac:dyDescent="0.3">
      <c r="A18" s="5" t="s">
        <v>745</v>
      </c>
      <c r="B18" s="5">
        <v>9</v>
      </c>
      <c r="C18" s="5">
        <v>19224206</v>
      </c>
      <c r="D18" s="5">
        <v>409228</v>
      </c>
      <c r="E18" s="5">
        <v>350</v>
      </c>
      <c r="F18" s="5">
        <v>0</v>
      </c>
      <c r="G18" s="5">
        <v>401985026</v>
      </c>
      <c r="H18" s="5">
        <v>5736081</v>
      </c>
      <c r="I18" s="5">
        <v>61410</v>
      </c>
      <c r="J18" s="5">
        <v>3058362</v>
      </c>
      <c r="K18" s="5">
        <v>41330</v>
      </c>
      <c r="L18" s="5" t="s">
        <v>936</v>
      </c>
      <c r="M18" s="5" t="s">
        <v>943</v>
      </c>
    </row>
    <row r="19" spans="1:13" x14ac:dyDescent="0.3">
      <c r="A19" s="5" t="s">
        <v>750</v>
      </c>
      <c r="B19" s="5">
        <v>17</v>
      </c>
      <c r="C19" s="5">
        <v>19995987</v>
      </c>
      <c r="D19" s="5">
        <v>399527</v>
      </c>
      <c r="E19" s="5">
        <v>497</v>
      </c>
      <c r="F19" s="5">
        <v>0</v>
      </c>
      <c r="G19" s="5">
        <v>324275036</v>
      </c>
      <c r="H19" s="5">
        <v>4672585</v>
      </c>
      <c r="I19" s="5">
        <v>37188</v>
      </c>
      <c r="J19" s="5">
        <v>2726006</v>
      </c>
      <c r="K19" s="5">
        <v>40580</v>
      </c>
      <c r="L19" s="5" t="s">
        <v>936</v>
      </c>
      <c r="M19" s="5" t="s">
        <v>940</v>
      </c>
    </row>
    <row r="20" spans="1:13" x14ac:dyDescent="0.3">
      <c r="A20" s="5" t="s">
        <v>757</v>
      </c>
      <c r="B20" s="5">
        <v>22</v>
      </c>
      <c r="C20" s="5">
        <v>20914765</v>
      </c>
      <c r="D20" s="5">
        <v>392289</v>
      </c>
      <c r="E20" s="5">
        <v>0</v>
      </c>
      <c r="F20" s="5">
        <v>0</v>
      </c>
      <c r="G20" s="5">
        <v>335678220</v>
      </c>
      <c r="H20" s="5">
        <v>4501299</v>
      </c>
      <c r="I20" s="5">
        <v>36341</v>
      </c>
      <c r="J20" s="5">
        <v>2782290</v>
      </c>
      <c r="K20" s="5">
        <v>36440</v>
      </c>
      <c r="L20" s="5" t="s">
        <v>936</v>
      </c>
      <c r="M20" s="5" t="s">
        <v>942</v>
      </c>
    </row>
    <row r="21" spans="1:13" x14ac:dyDescent="0.3">
      <c r="A21" s="5" t="s">
        <v>758</v>
      </c>
      <c r="B21" s="5">
        <v>23</v>
      </c>
      <c r="C21" s="5">
        <v>20635452</v>
      </c>
      <c r="D21" s="5">
        <v>392221</v>
      </c>
      <c r="E21" s="5">
        <v>350</v>
      </c>
      <c r="F21" s="5">
        <v>0</v>
      </c>
      <c r="G21" s="5">
        <v>336679309</v>
      </c>
      <c r="H21" s="5">
        <v>4603747</v>
      </c>
      <c r="I21" s="5">
        <v>42144</v>
      </c>
      <c r="J21" s="5">
        <v>2705074</v>
      </c>
      <c r="K21" s="5">
        <v>39706</v>
      </c>
      <c r="L21" s="5" t="s">
        <v>936</v>
      </c>
      <c r="M21" s="5" t="s">
        <v>939</v>
      </c>
    </row>
    <row r="22" spans="1:13" x14ac:dyDescent="0.3">
      <c r="A22" s="5" t="s">
        <v>785</v>
      </c>
      <c r="B22" s="5">
        <v>52</v>
      </c>
      <c r="C22" s="5">
        <v>17197927</v>
      </c>
      <c r="D22" s="5">
        <v>387637</v>
      </c>
      <c r="E22" s="5">
        <v>4950</v>
      </c>
      <c r="F22" s="5">
        <v>0</v>
      </c>
      <c r="G22" s="5">
        <v>273010284</v>
      </c>
      <c r="H22" s="5">
        <v>4250080</v>
      </c>
      <c r="I22" s="5">
        <v>114964</v>
      </c>
      <c r="J22" s="5">
        <v>3404300</v>
      </c>
      <c r="K22" s="5">
        <v>38053</v>
      </c>
      <c r="L22" s="5" t="s">
        <v>936</v>
      </c>
      <c r="M22" s="5" t="s">
        <v>946</v>
      </c>
    </row>
    <row r="23" spans="1:13" x14ac:dyDescent="0.3">
      <c r="A23" s="5" t="s">
        <v>749</v>
      </c>
      <c r="B23" s="5">
        <v>13</v>
      </c>
      <c r="C23" s="5">
        <v>19292426</v>
      </c>
      <c r="D23" s="5">
        <v>386971</v>
      </c>
      <c r="E23" s="5">
        <v>350</v>
      </c>
      <c r="F23" s="5">
        <v>0</v>
      </c>
      <c r="G23" s="5">
        <v>384791530</v>
      </c>
      <c r="H23" s="5">
        <v>4938033</v>
      </c>
      <c r="I23" s="5">
        <v>42729</v>
      </c>
      <c r="J23" s="5">
        <v>3448225</v>
      </c>
      <c r="K23" s="5">
        <v>43920</v>
      </c>
      <c r="L23" s="5" t="s">
        <v>936</v>
      </c>
      <c r="M23" s="5" t="s">
        <v>940</v>
      </c>
    </row>
    <row r="24" spans="1:13" x14ac:dyDescent="0.3">
      <c r="A24" s="5" t="s">
        <v>776</v>
      </c>
      <c r="B24" s="5">
        <v>41</v>
      </c>
      <c r="C24" s="5">
        <v>19231798</v>
      </c>
      <c r="D24" s="5">
        <v>381355</v>
      </c>
      <c r="E24" s="5">
        <v>0</v>
      </c>
      <c r="F24" s="5">
        <v>0</v>
      </c>
      <c r="G24" s="5">
        <v>316697553</v>
      </c>
      <c r="H24" s="5">
        <v>4036243</v>
      </c>
      <c r="I24" s="5">
        <v>31010</v>
      </c>
      <c r="J24" s="5">
        <v>19401162</v>
      </c>
      <c r="K24" s="5">
        <v>43190</v>
      </c>
      <c r="L24" s="5" t="s">
        <v>936</v>
      </c>
      <c r="M24" s="5" t="s">
        <v>939</v>
      </c>
    </row>
    <row r="25" spans="1:13" x14ac:dyDescent="0.3">
      <c r="A25" s="5" t="s">
        <v>772</v>
      </c>
      <c r="B25" s="5">
        <v>37</v>
      </c>
      <c r="C25" s="5">
        <v>17460974</v>
      </c>
      <c r="D25" s="5">
        <v>378937</v>
      </c>
      <c r="E25" s="5">
        <v>0</v>
      </c>
      <c r="F25" s="5">
        <v>0</v>
      </c>
      <c r="G25" s="5">
        <v>329458808</v>
      </c>
      <c r="H25" s="5">
        <v>3899213</v>
      </c>
      <c r="I25" s="5">
        <v>61566</v>
      </c>
      <c r="J25" s="5">
        <v>2504414</v>
      </c>
      <c r="K25" s="5">
        <v>40360</v>
      </c>
      <c r="L25" s="5" t="s">
        <v>936</v>
      </c>
      <c r="M25" s="5" t="s">
        <v>946</v>
      </c>
    </row>
    <row r="26" spans="1:13" x14ac:dyDescent="0.3">
      <c r="A26" s="5" t="s">
        <v>947</v>
      </c>
      <c r="B26" s="5">
        <v>62</v>
      </c>
      <c r="C26" s="5">
        <v>28503647</v>
      </c>
      <c r="D26" s="5">
        <v>375815</v>
      </c>
      <c r="E26" s="5">
        <v>275</v>
      </c>
      <c r="F26" s="5">
        <v>0</v>
      </c>
      <c r="G26" s="5">
        <v>314255304</v>
      </c>
      <c r="H26" s="5">
        <v>3716680</v>
      </c>
      <c r="I26" s="5">
        <v>44820</v>
      </c>
      <c r="J26" s="5">
        <v>9110940</v>
      </c>
      <c r="K26" s="5">
        <v>41950</v>
      </c>
      <c r="L26" s="5" t="s">
        <v>936</v>
      </c>
      <c r="M26" s="5" t="s">
        <v>939</v>
      </c>
    </row>
    <row r="27" spans="1:13" x14ac:dyDescent="0.3">
      <c r="A27" s="5" t="s">
        <v>765</v>
      </c>
      <c r="B27" s="5">
        <v>29</v>
      </c>
      <c r="C27" s="5">
        <v>23766177</v>
      </c>
      <c r="D27" s="5">
        <v>370168</v>
      </c>
      <c r="E27" s="5">
        <v>2300</v>
      </c>
      <c r="F27" s="5">
        <v>0</v>
      </c>
      <c r="G27" s="5">
        <v>343948610</v>
      </c>
      <c r="H27" s="5">
        <v>4342835</v>
      </c>
      <c r="I27" s="5">
        <v>72474</v>
      </c>
      <c r="J27" s="5">
        <v>3463910</v>
      </c>
      <c r="K27" s="5">
        <v>43632</v>
      </c>
      <c r="L27" s="5" t="s">
        <v>936</v>
      </c>
      <c r="M27" s="5" t="s">
        <v>946</v>
      </c>
    </row>
    <row r="28" spans="1:13" x14ac:dyDescent="0.3">
      <c r="A28" s="5" t="s">
        <v>812</v>
      </c>
      <c r="B28" s="5">
        <v>88</v>
      </c>
      <c r="C28" s="5">
        <v>16489873</v>
      </c>
      <c r="D28" s="5">
        <v>359899</v>
      </c>
      <c r="E28" s="5">
        <v>700</v>
      </c>
      <c r="F28" s="5">
        <v>0</v>
      </c>
      <c r="G28" s="5">
        <v>282598496</v>
      </c>
      <c r="H28" s="5">
        <v>3426750</v>
      </c>
      <c r="I28" s="5">
        <v>4361</v>
      </c>
      <c r="J28" s="5">
        <v>10589521</v>
      </c>
      <c r="K28" s="5">
        <v>42880</v>
      </c>
      <c r="L28" s="5" t="s">
        <v>936</v>
      </c>
      <c r="M28" s="5" t="s">
        <v>940</v>
      </c>
    </row>
    <row r="29" spans="1:13" x14ac:dyDescent="0.3">
      <c r="A29" s="5" t="s">
        <v>948</v>
      </c>
      <c r="B29" s="5">
        <v>86</v>
      </c>
      <c r="C29" s="5">
        <v>16292369</v>
      </c>
      <c r="D29" s="5">
        <v>359518</v>
      </c>
      <c r="E29" s="5">
        <v>350</v>
      </c>
      <c r="F29" s="5">
        <v>0</v>
      </c>
      <c r="G29" s="5">
        <v>294082207</v>
      </c>
      <c r="H29" s="5">
        <v>3246049</v>
      </c>
      <c r="I29" s="5">
        <v>59561</v>
      </c>
      <c r="J29" s="5">
        <v>3007799</v>
      </c>
      <c r="K29" s="5">
        <v>40802</v>
      </c>
      <c r="L29" s="5" t="s">
        <v>936</v>
      </c>
      <c r="M29" s="5" t="s">
        <v>942</v>
      </c>
    </row>
    <row r="30" spans="1:13" x14ac:dyDescent="0.3">
      <c r="A30" s="5" t="s">
        <v>759</v>
      </c>
      <c r="B30" s="5">
        <v>25</v>
      </c>
      <c r="C30" s="5">
        <v>17799814</v>
      </c>
      <c r="D30" s="5">
        <v>359033</v>
      </c>
      <c r="E30" s="5">
        <v>1250</v>
      </c>
      <c r="F30" s="5">
        <v>0</v>
      </c>
      <c r="G30" s="5">
        <v>362356295</v>
      </c>
      <c r="H30" s="5">
        <v>4387231</v>
      </c>
      <c r="I30" s="5">
        <v>62737</v>
      </c>
      <c r="J30" s="5">
        <v>3467961</v>
      </c>
      <c r="K30" s="5">
        <v>45393</v>
      </c>
      <c r="L30" s="5" t="s">
        <v>936</v>
      </c>
      <c r="M30" s="5" t="s">
        <v>946</v>
      </c>
    </row>
    <row r="31" spans="1:13" x14ac:dyDescent="0.3">
      <c r="A31" s="5" t="s">
        <v>762</v>
      </c>
      <c r="B31" s="5">
        <v>27</v>
      </c>
      <c r="C31" s="5">
        <v>21917549</v>
      </c>
      <c r="D31" s="5">
        <v>352655</v>
      </c>
      <c r="E31" s="5">
        <v>3025</v>
      </c>
      <c r="F31" s="5">
        <v>0</v>
      </c>
      <c r="G31" s="5">
        <v>363784780</v>
      </c>
      <c r="H31" s="5">
        <v>4124874</v>
      </c>
      <c r="I31" s="5">
        <v>66194</v>
      </c>
      <c r="J31" s="5">
        <v>4079718</v>
      </c>
      <c r="K31" s="5">
        <v>41059</v>
      </c>
      <c r="L31" s="5" t="s">
        <v>936</v>
      </c>
      <c r="M31" s="5" t="s">
        <v>937</v>
      </c>
    </row>
    <row r="32" spans="1:13" x14ac:dyDescent="0.3">
      <c r="A32" s="5" t="s">
        <v>753</v>
      </c>
      <c r="B32" s="5">
        <v>18</v>
      </c>
      <c r="C32" s="5">
        <v>35543360</v>
      </c>
      <c r="D32" s="5">
        <v>352633</v>
      </c>
      <c r="E32" s="5">
        <v>555</v>
      </c>
      <c r="F32" s="5">
        <v>0</v>
      </c>
      <c r="G32" s="5">
        <v>432602104</v>
      </c>
      <c r="H32" s="5">
        <v>4936146</v>
      </c>
      <c r="I32" s="5">
        <v>40451</v>
      </c>
      <c r="J32" s="5">
        <v>2702231</v>
      </c>
      <c r="K32" s="5">
        <v>37770</v>
      </c>
      <c r="L32" s="5" t="s">
        <v>936</v>
      </c>
      <c r="M32" s="5" t="s">
        <v>939</v>
      </c>
    </row>
    <row r="33" spans="1:13" x14ac:dyDescent="0.3">
      <c r="A33" s="5" t="s">
        <v>756</v>
      </c>
      <c r="B33" s="5">
        <v>21</v>
      </c>
      <c r="C33" s="5">
        <v>16127329</v>
      </c>
      <c r="D33" s="5">
        <v>351806</v>
      </c>
      <c r="E33" s="5">
        <v>700</v>
      </c>
      <c r="F33" s="5">
        <v>0</v>
      </c>
      <c r="G33" s="5">
        <v>327087390</v>
      </c>
      <c r="H33" s="5">
        <v>4568016</v>
      </c>
      <c r="I33" s="5">
        <v>55403</v>
      </c>
      <c r="J33" s="5">
        <v>2997945</v>
      </c>
      <c r="K33" s="5">
        <v>39713</v>
      </c>
      <c r="L33" s="5" t="s">
        <v>936</v>
      </c>
      <c r="M33" s="5" t="s">
        <v>945</v>
      </c>
    </row>
    <row r="34" spans="1:13" x14ac:dyDescent="0.3">
      <c r="A34" s="5" t="s">
        <v>949</v>
      </c>
      <c r="B34" s="5">
        <v>31</v>
      </c>
      <c r="C34" s="5">
        <v>16423055</v>
      </c>
      <c r="D34" s="5">
        <v>347562</v>
      </c>
      <c r="E34" s="5">
        <v>0</v>
      </c>
      <c r="F34" s="5">
        <v>0</v>
      </c>
      <c r="G34" s="5">
        <v>309388883</v>
      </c>
      <c r="H34" s="5">
        <v>4209429</v>
      </c>
      <c r="I34" s="5">
        <v>61389</v>
      </c>
      <c r="J34" s="5">
        <v>3815296</v>
      </c>
      <c r="K34" s="5">
        <v>39280</v>
      </c>
      <c r="L34" s="5" t="s">
        <v>936</v>
      </c>
      <c r="M34" s="5" t="s">
        <v>945</v>
      </c>
    </row>
    <row r="35" spans="1:13" x14ac:dyDescent="0.3">
      <c r="A35" s="5" t="s">
        <v>800</v>
      </c>
      <c r="B35" s="5">
        <v>69</v>
      </c>
      <c r="C35" s="5">
        <v>19611751</v>
      </c>
      <c r="D35" s="5">
        <v>345392</v>
      </c>
      <c r="E35" s="5">
        <v>0</v>
      </c>
      <c r="F35" s="5">
        <v>0</v>
      </c>
      <c r="G35" s="5">
        <v>288185154</v>
      </c>
      <c r="H35" s="5">
        <v>3538436</v>
      </c>
      <c r="I35" s="5">
        <v>127561</v>
      </c>
      <c r="J35" s="5">
        <v>6872085</v>
      </c>
      <c r="K35" s="5">
        <v>38130</v>
      </c>
      <c r="L35" s="5" t="s">
        <v>936</v>
      </c>
      <c r="M35" s="5" t="s">
        <v>945</v>
      </c>
    </row>
    <row r="36" spans="1:13" x14ac:dyDescent="0.3">
      <c r="A36" s="5" t="s">
        <v>950</v>
      </c>
      <c r="B36" s="5">
        <v>73</v>
      </c>
      <c r="C36" s="5">
        <v>15838514</v>
      </c>
      <c r="D36" s="5">
        <v>340252</v>
      </c>
      <c r="E36" s="5">
        <v>0</v>
      </c>
      <c r="F36" s="5">
        <v>0</v>
      </c>
      <c r="G36" s="5">
        <v>309956379</v>
      </c>
      <c r="H36" s="5">
        <v>3639933</v>
      </c>
      <c r="I36" s="5">
        <v>34156</v>
      </c>
      <c r="J36" s="5">
        <v>3348287</v>
      </c>
      <c r="K36" s="5">
        <v>36723</v>
      </c>
      <c r="L36" s="5" t="s">
        <v>936</v>
      </c>
      <c r="M36" s="5" t="s">
        <v>942</v>
      </c>
    </row>
    <row r="37" spans="1:13" x14ac:dyDescent="0.3">
      <c r="A37" s="5" t="s">
        <v>761</v>
      </c>
      <c r="B37" s="5">
        <v>26</v>
      </c>
      <c r="C37" s="5">
        <v>15396974</v>
      </c>
      <c r="D37" s="5">
        <v>335750</v>
      </c>
      <c r="E37" s="5">
        <v>3050</v>
      </c>
      <c r="F37" s="5">
        <v>0</v>
      </c>
      <c r="G37" s="5">
        <v>372910169</v>
      </c>
      <c r="H37" s="5">
        <v>4493135</v>
      </c>
      <c r="I37" s="5">
        <v>58176</v>
      </c>
      <c r="J37" s="5">
        <v>5292732</v>
      </c>
      <c r="K37" s="5">
        <v>40750</v>
      </c>
      <c r="L37" s="5" t="s">
        <v>936</v>
      </c>
      <c r="M37" s="5" t="s">
        <v>945</v>
      </c>
    </row>
    <row r="38" spans="1:13" x14ac:dyDescent="0.3">
      <c r="A38" s="5" t="s">
        <v>760</v>
      </c>
      <c r="B38" s="5">
        <v>24</v>
      </c>
      <c r="C38" s="5">
        <v>24210872</v>
      </c>
      <c r="D38" s="5">
        <v>335407</v>
      </c>
      <c r="E38" s="5">
        <v>350</v>
      </c>
      <c r="F38" s="5">
        <v>0</v>
      </c>
      <c r="G38" s="5">
        <v>561580058</v>
      </c>
      <c r="H38" s="5">
        <v>4320361</v>
      </c>
      <c r="I38" s="5">
        <v>34834</v>
      </c>
      <c r="J38" s="5">
        <v>4082120</v>
      </c>
      <c r="K38" s="5">
        <v>42873</v>
      </c>
      <c r="L38" s="5" t="s">
        <v>936</v>
      </c>
      <c r="M38" s="5" t="s">
        <v>940</v>
      </c>
    </row>
    <row r="39" spans="1:13" x14ac:dyDescent="0.3">
      <c r="A39" s="5" t="s">
        <v>774</v>
      </c>
      <c r="B39" s="5">
        <v>39</v>
      </c>
      <c r="C39" s="5">
        <v>18540338</v>
      </c>
      <c r="D39" s="5">
        <v>333123</v>
      </c>
      <c r="E39" s="5">
        <v>350</v>
      </c>
      <c r="F39" s="5">
        <v>0</v>
      </c>
      <c r="G39" s="5">
        <v>326582780</v>
      </c>
      <c r="H39" s="5">
        <v>3879975</v>
      </c>
      <c r="I39" s="5">
        <v>32608</v>
      </c>
      <c r="J39" s="5">
        <v>4422108</v>
      </c>
      <c r="K39" s="5">
        <v>37180</v>
      </c>
      <c r="L39" s="5" t="s">
        <v>936</v>
      </c>
      <c r="M39" s="5" t="s">
        <v>946</v>
      </c>
    </row>
    <row r="40" spans="1:13" x14ac:dyDescent="0.3">
      <c r="A40" s="5" t="s">
        <v>747</v>
      </c>
      <c r="B40" s="5">
        <v>11</v>
      </c>
      <c r="C40" s="5">
        <v>30153451</v>
      </c>
      <c r="D40" s="5">
        <v>331803</v>
      </c>
      <c r="E40" s="5">
        <v>6300</v>
      </c>
      <c r="F40" s="5">
        <v>0</v>
      </c>
      <c r="G40" s="5">
        <v>422548901</v>
      </c>
      <c r="H40" s="5">
        <v>5187535</v>
      </c>
      <c r="I40" s="5">
        <v>93972</v>
      </c>
      <c r="J40" s="5">
        <v>2761789</v>
      </c>
      <c r="K40" s="5">
        <v>42060</v>
      </c>
      <c r="L40" s="5" t="s">
        <v>936</v>
      </c>
      <c r="M40" s="5" t="s">
        <v>943</v>
      </c>
    </row>
    <row r="41" spans="1:13" x14ac:dyDescent="0.3">
      <c r="A41" s="5" t="s">
        <v>799</v>
      </c>
      <c r="B41" s="5">
        <v>71</v>
      </c>
      <c r="C41" s="5">
        <v>31239909</v>
      </c>
      <c r="D41" s="5">
        <v>330625</v>
      </c>
      <c r="E41" s="5">
        <v>50</v>
      </c>
      <c r="F41" s="5">
        <v>0</v>
      </c>
      <c r="G41" s="5">
        <v>449566457</v>
      </c>
      <c r="H41" s="5">
        <v>3573489</v>
      </c>
      <c r="I41" s="5">
        <v>49475</v>
      </c>
      <c r="J41" s="5">
        <v>3345422</v>
      </c>
      <c r="K41" s="5">
        <v>46370</v>
      </c>
      <c r="L41" s="5" t="s">
        <v>936</v>
      </c>
      <c r="M41" s="5" t="s">
        <v>940</v>
      </c>
    </row>
    <row r="42" spans="1:13" x14ac:dyDescent="0.3">
      <c r="A42" s="5" t="s">
        <v>797</v>
      </c>
      <c r="B42" s="5">
        <v>68</v>
      </c>
      <c r="C42" s="5">
        <v>14290603</v>
      </c>
      <c r="D42" s="5">
        <v>329438</v>
      </c>
      <c r="E42" s="5">
        <v>11091</v>
      </c>
      <c r="F42" s="5">
        <v>0</v>
      </c>
      <c r="G42" s="5">
        <v>293949265</v>
      </c>
      <c r="H42" s="5">
        <v>4049257</v>
      </c>
      <c r="I42" s="5">
        <v>134892</v>
      </c>
      <c r="J42" s="5">
        <v>5856448</v>
      </c>
      <c r="K42" s="5">
        <v>38993</v>
      </c>
      <c r="L42" s="5" t="s">
        <v>936</v>
      </c>
      <c r="M42" s="5" t="s">
        <v>939</v>
      </c>
    </row>
    <row r="43" spans="1:13" x14ac:dyDescent="0.3">
      <c r="A43" s="5" t="s">
        <v>769</v>
      </c>
      <c r="B43" s="5">
        <v>34</v>
      </c>
      <c r="C43" s="5">
        <v>16155789</v>
      </c>
      <c r="D43" s="5">
        <v>325869</v>
      </c>
      <c r="E43" s="5">
        <v>700</v>
      </c>
      <c r="F43" s="5">
        <v>0</v>
      </c>
      <c r="G43" s="5">
        <v>302100452</v>
      </c>
      <c r="H43" s="5">
        <v>4132186</v>
      </c>
      <c r="I43" s="5">
        <v>44836</v>
      </c>
      <c r="J43" s="5">
        <v>3310084</v>
      </c>
      <c r="K43" s="5">
        <v>42330</v>
      </c>
      <c r="L43" s="5" t="s">
        <v>936</v>
      </c>
      <c r="M43" s="5" t="s">
        <v>939</v>
      </c>
    </row>
    <row r="44" spans="1:13" x14ac:dyDescent="0.3">
      <c r="A44" s="5" t="s">
        <v>771</v>
      </c>
      <c r="B44" s="5">
        <v>38</v>
      </c>
      <c r="C44" s="5">
        <v>16253091</v>
      </c>
      <c r="D44" s="5">
        <v>325151</v>
      </c>
      <c r="E44" s="5">
        <v>500</v>
      </c>
      <c r="F44" s="5">
        <v>0</v>
      </c>
      <c r="G44" s="5">
        <v>284175787</v>
      </c>
      <c r="H44" s="5">
        <v>3861612</v>
      </c>
      <c r="I44" s="5">
        <v>48301</v>
      </c>
      <c r="J44" s="5">
        <v>3978341</v>
      </c>
      <c r="K44" s="5">
        <v>30066</v>
      </c>
      <c r="L44" s="5" t="s">
        <v>936</v>
      </c>
      <c r="M44" s="5" t="s">
        <v>939</v>
      </c>
    </row>
    <row r="45" spans="1:13" x14ac:dyDescent="0.3">
      <c r="A45" s="5" t="s">
        <v>767</v>
      </c>
      <c r="B45" s="5">
        <v>30</v>
      </c>
      <c r="C45" s="5">
        <v>14997216</v>
      </c>
      <c r="D45" s="5">
        <v>324878</v>
      </c>
      <c r="E45" s="5">
        <v>100</v>
      </c>
      <c r="F45" s="5">
        <v>0</v>
      </c>
      <c r="G45" s="5">
        <v>321641905</v>
      </c>
      <c r="H45" s="5">
        <v>4209758</v>
      </c>
      <c r="I45" s="5">
        <v>67414</v>
      </c>
      <c r="J45" s="5">
        <v>3135417</v>
      </c>
      <c r="K45" s="5">
        <v>36743</v>
      </c>
      <c r="L45" s="5" t="s">
        <v>936</v>
      </c>
      <c r="M45" s="5" t="s">
        <v>944</v>
      </c>
    </row>
    <row r="46" spans="1:13" x14ac:dyDescent="0.3">
      <c r="A46" s="5" t="s">
        <v>748</v>
      </c>
      <c r="B46" s="5">
        <v>12</v>
      </c>
      <c r="C46" s="5">
        <v>16202536</v>
      </c>
      <c r="D46" s="5">
        <v>324138</v>
      </c>
      <c r="E46" s="5">
        <v>0</v>
      </c>
      <c r="F46" s="5">
        <v>0</v>
      </c>
      <c r="G46" s="5">
        <v>428994301</v>
      </c>
      <c r="H46" s="5">
        <v>4917545</v>
      </c>
      <c r="I46" s="5">
        <v>28725</v>
      </c>
      <c r="J46" s="5">
        <v>2770716</v>
      </c>
      <c r="K46" s="5">
        <v>35730</v>
      </c>
      <c r="L46" s="5" t="s">
        <v>936</v>
      </c>
      <c r="M46" s="5" t="s">
        <v>937</v>
      </c>
    </row>
    <row r="47" spans="1:13" x14ac:dyDescent="0.3">
      <c r="A47" s="5" t="s">
        <v>792</v>
      </c>
      <c r="B47" s="5">
        <v>63</v>
      </c>
      <c r="C47" s="5">
        <v>15993808</v>
      </c>
      <c r="D47" s="5">
        <v>318461</v>
      </c>
      <c r="E47" s="5">
        <v>700</v>
      </c>
      <c r="F47" s="5">
        <v>0</v>
      </c>
      <c r="G47" s="5">
        <v>280730604</v>
      </c>
      <c r="H47" s="5">
        <v>3664688</v>
      </c>
      <c r="I47" s="5">
        <v>122247</v>
      </c>
      <c r="J47" s="5">
        <v>5387592</v>
      </c>
      <c r="K47" s="5">
        <v>38366</v>
      </c>
      <c r="L47" s="5" t="s">
        <v>936</v>
      </c>
      <c r="M47" s="5" t="s">
        <v>943</v>
      </c>
    </row>
    <row r="48" spans="1:13" x14ac:dyDescent="0.3">
      <c r="A48" s="5" t="s">
        <v>786</v>
      </c>
      <c r="B48" s="5">
        <v>55</v>
      </c>
      <c r="C48" s="5">
        <v>27002201</v>
      </c>
      <c r="D48" s="5">
        <v>318326</v>
      </c>
      <c r="E48" s="5">
        <v>2280</v>
      </c>
      <c r="F48" s="5">
        <v>0</v>
      </c>
      <c r="G48" s="5">
        <v>346941968</v>
      </c>
      <c r="H48" s="5">
        <v>3796691</v>
      </c>
      <c r="I48" s="5">
        <v>62875</v>
      </c>
      <c r="J48" s="5">
        <v>2065216</v>
      </c>
      <c r="K48" s="5">
        <v>36810</v>
      </c>
      <c r="L48" s="5" t="s">
        <v>936</v>
      </c>
      <c r="M48" s="5" t="s">
        <v>940</v>
      </c>
    </row>
    <row r="49" spans="1:13" x14ac:dyDescent="0.3">
      <c r="A49" s="5" t="s">
        <v>818</v>
      </c>
      <c r="B49" s="5">
        <v>97</v>
      </c>
      <c r="C49" s="5">
        <v>13343799</v>
      </c>
      <c r="D49" s="5">
        <v>314470</v>
      </c>
      <c r="E49" s="5">
        <v>10990</v>
      </c>
      <c r="F49" s="5">
        <v>0</v>
      </c>
      <c r="G49" s="5">
        <v>261240115</v>
      </c>
      <c r="H49" s="5">
        <v>3058285</v>
      </c>
      <c r="I49" s="5">
        <v>113427</v>
      </c>
      <c r="J49" s="5">
        <v>4891434</v>
      </c>
      <c r="K49" s="5">
        <v>39826</v>
      </c>
      <c r="L49" s="5" t="s">
        <v>936</v>
      </c>
      <c r="M49" s="5" t="s">
        <v>946</v>
      </c>
    </row>
    <row r="50" spans="1:13" x14ac:dyDescent="0.3">
      <c r="A50" s="5" t="s">
        <v>803</v>
      </c>
      <c r="B50" s="5">
        <v>74</v>
      </c>
      <c r="C50" s="5">
        <v>16382059</v>
      </c>
      <c r="D50" s="5">
        <v>312321</v>
      </c>
      <c r="E50" s="5">
        <v>2700</v>
      </c>
      <c r="F50" s="5">
        <v>0</v>
      </c>
      <c r="G50" s="5">
        <v>271805783</v>
      </c>
      <c r="H50" s="5">
        <v>3414706</v>
      </c>
      <c r="I50" s="5">
        <v>46643</v>
      </c>
      <c r="J50" s="5">
        <v>52282692</v>
      </c>
      <c r="K50" s="5">
        <v>40013</v>
      </c>
      <c r="L50" s="5" t="s">
        <v>936</v>
      </c>
      <c r="M50" s="5" t="s">
        <v>939</v>
      </c>
    </row>
    <row r="51" spans="1:13" x14ac:dyDescent="0.3">
      <c r="A51" s="5" t="s">
        <v>814</v>
      </c>
      <c r="B51" s="5">
        <v>92</v>
      </c>
      <c r="C51" s="5">
        <v>14242877</v>
      </c>
      <c r="D51" s="5">
        <v>305110</v>
      </c>
      <c r="E51" s="5">
        <v>0</v>
      </c>
      <c r="F51" s="5">
        <v>0</v>
      </c>
      <c r="G51" s="5">
        <v>274472920</v>
      </c>
      <c r="H51" s="5">
        <v>2843459</v>
      </c>
      <c r="I51" s="5">
        <v>37199</v>
      </c>
      <c r="J51" s="5">
        <v>6353831</v>
      </c>
      <c r="K51" s="5">
        <v>40650</v>
      </c>
      <c r="L51" s="5" t="s">
        <v>936</v>
      </c>
      <c r="M51" s="5" t="s">
        <v>940</v>
      </c>
    </row>
    <row r="52" spans="1:13" x14ac:dyDescent="0.3">
      <c r="A52" s="5" t="s">
        <v>951</v>
      </c>
      <c r="B52" s="5">
        <v>66</v>
      </c>
      <c r="C52" s="5">
        <v>14224309</v>
      </c>
      <c r="D52" s="5">
        <v>304945</v>
      </c>
      <c r="E52" s="5">
        <v>50</v>
      </c>
      <c r="F52" s="5">
        <v>0</v>
      </c>
      <c r="G52" s="5">
        <v>265181508</v>
      </c>
      <c r="H52" s="5">
        <v>3664935</v>
      </c>
      <c r="I52" s="5">
        <v>108855</v>
      </c>
      <c r="J52" s="5">
        <v>2944971</v>
      </c>
      <c r="K52" s="5">
        <v>37060</v>
      </c>
      <c r="L52" s="5" t="s">
        <v>936</v>
      </c>
      <c r="M52" s="5" t="s">
        <v>940</v>
      </c>
    </row>
    <row r="53" spans="1:13" x14ac:dyDescent="0.3">
      <c r="A53" s="5" t="s">
        <v>781</v>
      </c>
      <c r="B53" s="5">
        <v>45</v>
      </c>
      <c r="C53" s="5">
        <v>20411618</v>
      </c>
      <c r="D53" s="5">
        <v>303753</v>
      </c>
      <c r="E53" s="5">
        <v>0</v>
      </c>
      <c r="F53" s="5">
        <v>0</v>
      </c>
      <c r="G53" s="5">
        <v>305604524</v>
      </c>
      <c r="H53" s="5">
        <v>3639282</v>
      </c>
      <c r="I53" s="5">
        <v>44710</v>
      </c>
      <c r="J53" s="5">
        <v>2870594</v>
      </c>
      <c r="K53" s="5">
        <v>41840</v>
      </c>
      <c r="L53" s="5" t="s">
        <v>936</v>
      </c>
      <c r="M53" s="5" t="s">
        <v>944</v>
      </c>
    </row>
    <row r="54" spans="1:13" x14ac:dyDescent="0.3">
      <c r="A54" s="5" t="s">
        <v>784</v>
      </c>
      <c r="B54" s="5">
        <v>53</v>
      </c>
      <c r="C54" s="5">
        <v>17153878</v>
      </c>
      <c r="D54" s="5">
        <v>301806</v>
      </c>
      <c r="E54" s="5">
        <v>0</v>
      </c>
      <c r="F54" s="5">
        <v>0</v>
      </c>
      <c r="G54" s="5">
        <v>331092782</v>
      </c>
      <c r="H54" s="5">
        <v>3769151</v>
      </c>
      <c r="I54" s="5">
        <v>69120</v>
      </c>
      <c r="J54" s="5">
        <v>5913914</v>
      </c>
      <c r="K54" s="5">
        <v>40610</v>
      </c>
      <c r="L54" s="5" t="s">
        <v>936</v>
      </c>
      <c r="M54" s="5" t="s">
        <v>942</v>
      </c>
    </row>
    <row r="55" spans="1:13" x14ac:dyDescent="0.3">
      <c r="A55" s="5" t="s">
        <v>600</v>
      </c>
      <c r="B55" s="5">
        <v>78</v>
      </c>
      <c r="C55" s="5">
        <v>14013700</v>
      </c>
      <c r="D55" s="5">
        <v>301039</v>
      </c>
      <c r="E55" s="5">
        <v>50</v>
      </c>
      <c r="F55" s="5">
        <v>0</v>
      </c>
      <c r="G55" s="5">
        <v>278089827</v>
      </c>
      <c r="H55" s="5">
        <v>3403691</v>
      </c>
      <c r="I55" s="5">
        <v>27891</v>
      </c>
      <c r="J55" s="5">
        <v>4821497</v>
      </c>
      <c r="K55" s="5">
        <v>40113</v>
      </c>
      <c r="L55" s="5" t="s">
        <v>936</v>
      </c>
      <c r="M55" s="5" t="s">
        <v>945</v>
      </c>
    </row>
    <row r="56" spans="1:13" x14ac:dyDescent="0.3">
      <c r="A56" s="5" t="s">
        <v>770</v>
      </c>
      <c r="B56" s="5">
        <v>35</v>
      </c>
      <c r="C56" s="5">
        <v>15641220</v>
      </c>
      <c r="D56" s="5">
        <v>300721</v>
      </c>
      <c r="E56" s="5">
        <v>650</v>
      </c>
      <c r="F56" s="5">
        <v>0</v>
      </c>
      <c r="G56" s="5">
        <v>348687416</v>
      </c>
      <c r="H56" s="5">
        <v>3909688</v>
      </c>
      <c r="I56" s="5">
        <v>61657</v>
      </c>
      <c r="J56" s="5">
        <v>2702575</v>
      </c>
      <c r="K56" s="5">
        <v>39570</v>
      </c>
      <c r="L56" s="5" t="s">
        <v>936</v>
      </c>
      <c r="M56" s="5" t="s">
        <v>940</v>
      </c>
    </row>
    <row r="57" spans="1:13" x14ac:dyDescent="0.3">
      <c r="A57" s="5" t="s">
        <v>602</v>
      </c>
      <c r="B57" s="5">
        <v>104</v>
      </c>
      <c r="C57" s="5">
        <v>26846680</v>
      </c>
      <c r="D57" s="5">
        <v>294810</v>
      </c>
      <c r="E57" s="5">
        <v>0</v>
      </c>
      <c r="F57" s="5">
        <v>0</v>
      </c>
      <c r="G57" s="5">
        <v>249991309</v>
      </c>
      <c r="H57" s="5">
        <v>2783279</v>
      </c>
      <c r="I57" s="5">
        <v>62512</v>
      </c>
      <c r="J57" s="5">
        <v>6527035</v>
      </c>
      <c r="K57" s="5">
        <v>35560</v>
      </c>
      <c r="L57" s="5" t="s">
        <v>936</v>
      </c>
      <c r="M57" s="5" t="s">
        <v>945</v>
      </c>
    </row>
    <row r="58" spans="1:13" x14ac:dyDescent="0.3">
      <c r="A58" s="5" t="s">
        <v>795</v>
      </c>
      <c r="B58" s="5">
        <v>64</v>
      </c>
      <c r="C58" s="5">
        <v>14104783</v>
      </c>
      <c r="D58" s="5">
        <v>294186</v>
      </c>
      <c r="E58" s="5">
        <v>350</v>
      </c>
      <c r="F58" s="5">
        <v>0</v>
      </c>
      <c r="G58" s="5">
        <v>292691760</v>
      </c>
      <c r="H58" s="5">
        <v>3559346</v>
      </c>
      <c r="I58" s="5">
        <v>41091</v>
      </c>
      <c r="J58" s="5">
        <v>3989749</v>
      </c>
      <c r="K58" s="5">
        <v>41423</v>
      </c>
      <c r="L58" s="5" t="s">
        <v>936</v>
      </c>
      <c r="M58" s="5" t="s">
        <v>939</v>
      </c>
    </row>
    <row r="59" spans="1:13" x14ac:dyDescent="0.3">
      <c r="A59" s="5" t="s">
        <v>952</v>
      </c>
      <c r="B59" s="5">
        <v>75</v>
      </c>
      <c r="C59" s="5">
        <v>13493323</v>
      </c>
      <c r="D59" s="5">
        <v>293711</v>
      </c>
      <c r="E59" s="5">
        <v>700</v>
      </c>
      <c r="F59" s="5">
        <v>0</v>
      </c>
      <c r="G59" s="5">
        <v>340894182</v>
      </c>
      <c r="H59" s="5">
        <v>3641557</v>
      </c>
      <c r="I59" s="5">
        <v>54239</v>
      </c>
      <c r="J59" s="5">
        <v>3312487</v>
      </c>
      <c r="K59" s="5">
        <v>37090</v>
      </c>
      <c r="L59" s="5" t="s">
        <v>936</v>
      </c>
      <c r="M59" s="5" t="s">
        <v>942</v>
      </c>
    </row>
    <row r="60" spans="1:13" x14ac:dyDescent="0.3">
      <c r="A60" s="5" t="s">
        <v>601</v>
      </c>
      <c r="B60" s="5">
        <v>94</v>
      </c>
      <c r="C60" s="5">
        <v>13747115</v>
      </c>
      <c r="D60" s="5">
        <v>285879</v>
      </c>
      <c r="E60" s="5">
        <v>446</v>
      </c>
      <c r="F60" s="5">
        <v>0</v>
      </c>
      <c r="G60" s="5">
        <v>238252181</v>
      </c>
      <c r="H60" s="5">
        <v>3214045</v>
      </c>
      <c r="I60" s="5">
        <v>46622</v>
      </c>
      <c r="J60" s="5">
        <v>4578043</v>
      </c>
      <c r="K60" s="5">
        <v>35793</v>
      </c>
      <c r="L60" s="5" t="s">
        <v>936</v>
      </c>
      <c r="M60" s="5" t="s">
        <v>945</v>
      </c>
    </row>
    <row r="61" spans="1:13" x14ac:dyDescent="0.3">
      <c r="A61" s="5" t="s">
        <v>808</v>
      </c>
      <c r="B61" s="5">
        <v>81</v>
      </c>
      <c r="C61" s="5">
        <v>17381199</v>
      </c>
      <c r="D61" s="5">
        <v>285307</v>
      </c>
      <c r="E61" s="5">
        <v>350</v>
      </c>
      <c r="F61" s="5">
        <v>0</v>
      </c>
      <c r="G61" s="5">
        <v>307663342</v>
      </c>
      <c r="H61" s="5">
        <v>3468981</v>
      </c>
      <c r="I61" s="5">
        <v>30871</v>
      </c>
      <c r="J61" s="5">
        <v>3174407</v>
      </c>
      <c r="K61" s="5">
        <v>34293</v>
      </c>
      <c r="L61" s="5" t="s">
        <v>936</v>
      </c>
      <c r="M61" s="5" t="s">
        <v>946</v>
      </c>
    </row>
    <row r="62" spans="1:13" x14ac:dyDescent="0.3">
      <c r="A62" s="5" t="s">
        <v>789</v>
      </c>
      <c r="B62" s="5">
        <v>56</v>
      </c>
      <c r="C62" s="5">
        <v>18394530</v>
      </c>
      <c r="D62" s="5">
        <v>284648</v>
      </c>
      <c r="E62" s="5">
        <v>0</v>
      </c>
      <c r="F62" s="5">
        <v>0</v>
      </c>
      <c r="G62" s="5">
        <v>320498723</v>
      </c>
      <c r="H62" s="5">
        <v>3754606</v>
      </c>
      <c r="I62" s="5">
        <v>86839</v>
      </c>
      <c r="J62" s="5">
        <v>3538091</v>
      </c>
      <c r="K62" s="5">
        <v>41273</v>
      </c>
      <c r="L62" s="5" t="s">
        <v>936</v>
      </c>
      <c r="M62" s="5" t="s">
        <v>945</v>
      </c>
    </row>
    <row r="63" spans="1:13" x14ac:dyDescent="0.3">
      <c r="A63" s="5" t="s">
        <v>775</v>
      </c>
      <c r="B63" s="5">
        <v>42</v>
      </c>
      <c r="C63" s="5">
        <v>13377237</v>
      </c>
      <c r="D63" s="5">
        <v>284079</v>
      </c>
      <c r="E63" s="5">
        <v>0</v>
      </c>
      <c r="F63" s="5">
        <v>0</v>
      </c>
      <c r="G63" s="5">
        <v>273029883</v>
      </c>
      <c r="H63" s="5">
        <v>3818948</v>
      </c>
      <c r="I63" s="5">
        <v>49460</v>
      </c>
      <c r="J63" s="5">
        <v>3406692</v>
      </c>
      <c r="K63" s="5">
        <v>37173</v>
      </c>
      <c r="L63" s="5" t="s">
        <v>936</v>
      </c>
      <c r="M63" s="5" t="s">
        <v>939</v>
      </c>
    </row>
    <row r="64" spans="1:13" x14ac:dyDescent="0.3">
      <c r="A64" s="5" t="s">
        <v>777</v>
      </c>
      <c r="B64" s="5">
        <v>43</v>
      </c>
      <c r="C64" s="5">
        <v>12292098</v>
      </c>
      <c r="D64" s="5">
        <v>277236</v>
      </c>
      <c r="E64" s="5">
        <v>3600</v>
      </c>
      <c r="F64" s="5">
        <v>0</v>
      </c>
      <c r="G64" s="5">
        <v>281815009</v>
      </c>
      <c r="H64" s="5">
        <v>3716318</v>
      </c>
      <c r="I64" s="5">
        <v>85342</v>
      </c>
      <c r="J64" s="5">
        <v>5085296</v>
      </c>
      <c r="K64" s="5">
        <v>38633</v>
      </c>
      <c r="L64" s="5" t="s">
        <v>936</v>
      </c>
      <c r="M64" s="5" t="s">
        <v>940</v>
      </c>
    </row>
    <row r="65" spans="1:13" x14ac:dyDescent="0.3">
      <c r="A65" s="5" t="s">
        <v>801</v>
      </c>
      <c r="B65" s="5">
        <v>76</v>
      </c>
      <c r="C65" s="5">
        <v>15899859</v>
      </c>
      <c r="D65" s="5">
        <v>275127</v>
      </c>
      <c r="E65" s="5">
        <v>0</v>
      </c>
      <c r="F65" s="5">
        <v>0</v>
      </c>
      <c r="G65" s="5">
        <v>291561767</v>
      </c>
      <c r="H65" s="5">
        <v>3561676</v>
      </c>
      <c r="I65" s="5">
        <v>44438</v>
      </c>
      <c r="J65" s="5">
        <v>5367439</v>
      </c>
      <c r="K65" s="5">
        <v>42706</v>
      </c>
      <c r="L65" s="5" t="s">
        <v>936</v>
      </c>
      <c r="M65" s="5" t="s">
        <v>944</v>
      </c>
    </row>
    <row r="66" spans="1:13" x14ac:dyDescent="0.3">
      <c r="A66" s="5" t="s">
        <v>763</v>
      </c>
      <c r="B66" s="5">
        <v>28</v>
      </c>
      <c r="C66" s="5">
        <v>13729385</v>
      </c>
      <c r="D66" s="5">
        <v>274674</v>
      </c>
      <c r="E66" s="5">
        <v>0</v>
      </c>
      <c r="F66" s="5">
        <v>0</v>
      </c>
      <c r="G66" s="5">
        <v>287767208</v>
      </c>
      <c r="H66" s="5">
        <v>4049235</v>
      </c>
      <c r="I66" s="5">
        <v>43306</v>
      </c>
      <c r="J66" s="5">
        <v>2990195</v>
      </c>
      <c r="K66" s="5">
        <v>34923</v>
      </c>
      <c r="L66" s="5" t="s">
        <v>936</v>
      </c>
      <c r="M66" s="5" t="s">
        <v>940</v>
      </c>
    </row>
    <row r="67" spans="1:13" x14ac:dyDescent="0.3">
      <c r="A67" s="5" t="s">
        <v>780</v>
      </c>
      <c r="B67" s="5">
        <v>48</v>
      </c>
      <c r="C67" s="5">
        <v>17108764</v>
      </c>
      <c r="D67" s="5">
        <v>273238</v>
      </c>
      <c r="E67" s="5">
        <v>0</v>
      </c>
      <c r="F67" s="5">
        <v>0</v>
      </c>
      <c r="G67" s="5">
        <v>347011497</v>
      </c>
      <c r="H67" s="5">
        <v>3876577</v>
      </c>
      <c r="I67" s="5">
        <v>50577</v>
      </c>
      <c r="J67" s="5">
        <v>3385461</v>
      </c>
      <c r="K67" s="5">
        <v>37200</v>
      </c>
      <c r="L67" s="5" t="s">
        <v>936</v>
      </c>
      <c r="M67" s="5" t="s">
        <v>942</v>
      </c>
    </row>
    <row r="68" spans="1:13" x14ac:dyDescent="0.3">
      <c r="A68" s="5" t="s">
        <v>805</v>
      </c>
      <c r="B68" s="5">
        <v>80</v>
      </c>
      <c r="C68" s="5">
        <v>17716788</v>
      </c>
      <c r="D68" s="5">
        <v>273010</v>
      </c>
      <c r="E68" s="5">
        <v>50</v>
      </c>
      <c r="F68" s="5">
        <v>0</v>
      </c>
      <c r="G68" s="5">
        <v>296340071</v>
      </c>
      <c r="H68" s="5">
        <v>3493581</v>
      </c>
      <c r="I68" s="5">
        <v>28620</v>
      </c>
      <c r="J68" s="5">
        <v>3701831</v>
      </c>
      <c r="K68" s="5">
        <v>39790</v>
      </c>
      <c r="L68" s="5" t="s">
        <v>936</v>
      </c>
      <c r="M68" s="5" t="s">
        <v>940</v>
      </c>
    </row>
    <row r="69" spans="1:13" x14ac:dyDescent="0.3">
      <c r="A69" s="5" t="s">
        <v>773</v>
      </c>
      <c r="B69" s="5">
        <v>40</v>
      </c>
      <c r="C69" s="5">
        <v>11953388</v>
      </c>
      <c r="D69" s="5">
        <v>270890</v>
      </c>
      <c r="E69" s="5">
        <v>350</v>
      </c>
      <c r="F69" s="5">
        <v>0</v>
      </c>
      <c r="G69" s="5">
        <v>320201226</v>
      </c>
      <c r="H69" s="5">
        <v>3973734</v>
      </c>
      <c r="I69" s="5">
        <v>63434</v>
      </c>
      <c r="J69" s="5">
        <v>3727713</v>
      </c>
      <c r="K69" s="5">
        <v>41802</v>
      </c>
      <c r="L69" s="5" t="s">
        <v>936</v>
      </c>
      <c r="M69" s="5" t="s">
        <v>946</v>
      </c>
    </row>
    <row r="70" spans="1:13" x14ac:dyDescent="0.3">
      <c r="A70" s="5" t="s">
        <v>798</v>
      </c>
      <c r="B70" s="5">
        <v>70</v>
      </c>
      <c r="C70" s="5">
        <v>12833458</v>
      </c>
      <c r="D70" s="5">
        <v>270003</v>
      </c>
      <c r="E70" s="5">
        <v>470</v>
      </c>
      <c r="F70" s="5">
        <v>0</v>
      </c>
      <c r="G70" s="5">
        <v>293301216</v>
      </c>
      <c r="H70" s="5">
        <v>3600051</v>
      </c>
      <c r="I70" s="5">
        <v>125346</v>
      </c>
      <c r="J70" s="5">
        <v>4290497</v>
      </c>
      <c r="K70" s="5">
        <v>39296</v>
      </c>
      <c r="L70" s="5" t="s">
        <v>936</v>
      </c>
      <c r="M70" s="5" t="s">
        <v>946</v>
      </c>
    </row>
    <row r="71" spans="1:13" x14ac:dyDescent="0.3">
      <c r="A71" s="5" t="s">
        <v>953</v>
      </c>
      <c r="B71" s="5">
        <v>89</v>
      </c>
      <c r="C71" s="5">
        <v>13202975</v>
      </c>
      <c r="D71" s="5">
        <v>268681</v>
      </c>
      <c r="E71" s="5">
        <v>0</v>
      </c>
      <c r="F71" s="5">
        <v>0</v>
      </c>
      <c r="G71" s="5">
        <v>310475216</v>
      </c>
      <c r="H71" s="5">
        <v>3291782</v>
      </c>
      <c r="I71" s="5">
        <v>32106</v>
      </c>
      <c r="J71" s="5">
        <v>3306963</v>
      </c>
      <c r="K71" s="5">
        <v>40076</v>
      </c>
      <c r="L71" s="5" t="s">
        <v>936</v>
      </c>
      <c r="M71" s="5" t="s">
        <v>942</v>
      </c>
    </row>
    <row r="72" spans="1:13" x14ac:dyDescent="0.3">
      <c r="A72" s="5" t="s">
        <v>954</v>
      </c>
      <c r="B72" s="5">
        <v>105</v>
      </c>
      <c r="C72" s="5">
        <v>13385822</v>
      </c>
      <c r="D72" s="5">
        <v>267798</v>
      </c>
      <c r="E72" s="5">
        <v>0</v>
      </c>
      <c r="F72" s="5">
        <v>0</v>
      </c>
      <c r="G72" s="5">
        <v>233069776</v>
      </c>
      <c r="H72" s="5">
        <v>2695650</v>
      </c>
      <c r="I72" s="5">
        <v>42538</v>
      </c>
      <c r="J72" s="5">
        <v>6279036</v>
      </c>
      <c r="K72" s="5">
        <v>34970</v>
      </c>
      <c r="L72" s="5" t="s">
        <v>936</v>
      </c>
      <c r="M72" s="5" t="s">
        <v>945</v>
      </c>
    </row>
    <row r="73" spans="1:13" x14ac:dyDescent="0.3">
      <c r="A73" s="5" t="s">
        <v>816</v>
      </c>
      <c r="B73" s="5">
        <v>95</v>
      </c>
      <c r="C73" s="5">
        <v>12848525</v>
      </c>
      <c r="D73" s="5">
        <v>267087</v>
      </c>
      <c r="E73" s="5">
        <v>8350</v>
      </c>
      <c r="F73" s="5">
        <v>0</v>
      </c>
      <c r="G73" s="5">
        <v>239288638</v>
      </c>
      <c r="H73" s="5">
        <v>3014388</v>
      </c>
      <c r="I73" s="5">
        <v>102388</v>
      </c>
      <c r="J73" s="5">
        <v>2734459</v>
      </c>
      <c r="K73" s="5">
        <v>37386</v>
      </c>
      <c r="L73" s="5" t="s">
        <v>936</v>
      </c>
      <c r="M73" s="5" t="s">
        <v>940</v>
      </c>
    </row>
    <row r="74" spans="1:13" x14ac:dyDescent="0.3">
      <c r="A74" s="5" t="s">
        <v>813</v>
      </c>
      <c r="B74" s="5">
        <v>90</v>
      </c>
      <c r="C74" s="5">
        <v>12337315</v>
      </c>
      <c r="D74" s="5">
        <v>266429</v>
      </c>
      <c r="E74" s="5">
        <v>0</v>
      </c>
      <c r="F74" s="5">
        <v>0</v>
      </c>
      <c r="G74" s="5">
        <v>261365621</v>
      </c>
      <c r="H74" s="5">
        <v>3290461</v>
      </c>
      <c r="I74" s="5">
        <v>34705</v>
      </c>
      <c r="J74" s="5">
        <v>3365819</v>
      </c>
      <c r="K74" s="5">
        <v>34870</v>
      </c>
      <c r="L74" s="5" t="s">
        <v>936</v>
      </c>
      <c r="M74" s="5" t="s">
        <v>939</v>
      </c>
    </row>
    <row r="75" spans="1:13" x14ac:dyDescent="0.3">
      <c r="A75" s="5" t="s">
        <v>779</v>
      </c>
      <c r="B75" s="5">
        <v>50</v>
      </c>
      <c r="C75" s="5">
        <v>43036155</v>
      </c>
      <c r="D75" s="5">
        <v>263158</v>
      </c>
      <c r="E75" s="5">
        <v>400</v>
      </c>
      <c r="F75" s="5">
        <v>0</v>
      </c>
      <c r="G75" s="5">
        <v>342462102</v>
      </c>
      <c r="H75" s="5">
        <v>3783839</v>
      </c>
      <c r="I75" s="5">
        <v>35171</v>
      </c>
      <c r="J75" s="5">
        <v>3066559</v>
      </c>
      <c r="K75" s="5">
        <v>37820</v>
      </c>
      <c r="L75" s="5" t="s">
        <v>936</v>
      </c>
      <c r="M75" s="5" t="s">
        <v>940</v>
      </c>
    </row>
    <row r="76" spans="1:13" x14ac:dyDescent="0.3">
      <c r="A76" s="5" t="s">
        <v>790</v>
      </c>
      <c r="B76" s="5">
        <v>58</v>
      </c>
      <c r="C76" s="5">
        <v>13201638</v>
      </c>
      <c r="D76" s="5">
        <v>262438</v>
      </c>
      <c r="E76" s="5">
        <v>0</v>
      </c>
      <c r="F76" s="5">
        <v>0</v>
      </c>
      <c r="G76" s="5">
        <v>288914733</v>
      </c>
      <c r="H76" s="5">
        <v>3484846</v>
      </c>
      <c r="I76" s="5">
        <v>44277</v>
      </c>
      <c r="J76" s="5">
        <v>2836865</v>
      </c>
      <c r="K76" s="5">
        <v>38559</v>
      </c>
      <c r="L76" s="5" t="s">
        <v>936</v>
      </c>
      <c r="M76" s="5" t="s">
        <v>945</v>
      </c>
    </row>
    <row r="77" spans="1:13" x14ac:dyDescent="0.3">
      <c r="A77" s="5" t="s">
        <v>796</v>
      </c>
      <c r="B77" s="5">
        <v>65</v>
      </c>
      <c r="C77" s="5">
        <v>16879404</v>
      </c>
      <c r="D77" s="5">
        <v>260001</v>
      </c>
      <c r="E77" s="5">
        <v>0</v>
      </c>
      <c r="F77" s="5">
        <v>0</v>
      </c>
      <c r="G77" s="5">
        <v>307418016</v>
      </c>
      <c r="H77" s="5">
        <v>3367989</v>
      </c>
      <c r="I77" s="5">
        <v>82268</v>
      </c>
      <c r="J77" s="5">
        <v>3048789</v>
      </c>
      <c r="K77" s="5">
        <v>35010</v>
      </c>
      <c r="L77" s="5" t="s">
        <v>936</v>
      </c>
      <c r="M77" s="5" t="s">
        <v>946</v>
      </c>
    </row>
    <row r="78" spans="1:13" x14ac:dyDescent="0.3">
      <c r="A78" s="5" t="s">
        <v>754</v>
      </c>
      <c r="B78" s="5">
        <v>20</v>
      </c>
      <c r="C78" s="5">
        <v>20115503</v>
      </c>
      <c r="D78" s="5">
        <v>254077</v>
      </c>
      <c r="E78" s="5">
        <v>0</v>
      </c>
      <c r="F78" s="5">
        <v>0</v>
      </c>
      <c r="G78" s="5">
        <v>317976810</v>
      </c>
      <c r="H78" s="5">
        <v>4316105</v>
      </c>
      <c r="I78" s="5">
        <v>31376</v>
      </c>
      <c r="J78" s="5">
        <v>3859526</v>
      </c>
      <c r="K78" s="5">
        <v>39923</v>
      </c>
      <c r="L78" s="5" t="s">
        <v>936</v>
      </c>
      <c r="M78" s="5" t="s">
        <v>942</v>
      </c>
    </row>
    <row r="79" spans="1:13" x14ac:dyDescent="0.3">
      <c r="A79" s="5" t="s">
        <v>819</v>
      </c>
      <c r="B79" s="5">
        <v>98</v>
      </c>
      <c r="C79" s="5">
        <v>12611604</v>
      </c>
      <c r="D79" s="5">
        <v>252302</v>
      </c>
      <c r="E79" s="5">
        <v>0</v>
      </c>
      <c r="F79" s="5">
        <v>0</v>
      </c>
      <c r="G79" s="5">
        <v>212778371</v>
      </c>
      <c r="H79" s="5">
        <v>2704316</v>
      </c>
      <c r="I79" s="5">
        <v>61107</v>
      </c>
      <c r="J79" s="5">
        <v>8640603</v>
      </c>
      <c r="K79" s="5">
        <v>28983</v>
      </c>
      <c r="L79" s="5" t="s">
        <v>936</v>
      </c>
      <c r="M79" s="5" t="s">
        <v>946</v>
      </c>
    </row>
    <row r="80" spans="1:13" x14ac:dyDescent="0.3">
      <c r="A80" s="5" t="s">
        <v>955</v>
      </c>
      <c r="B80" s="5">
        <v>47</v>
      </c>
      <c r="C80" s="5">
        <v>19587219</v>
      </c>
      <c r="D80" s="5">
        <v>249409</v>
      </c>
      <c r="E80" s="5">
        <v>0</v>
      </c>
      <c r="F80" s="5">
        <v>0</v>
      </c>
      <c r="G80" s="5">
        <v>332945608</v>
      </c>
      <c r="H80" s="5">
        <v>3909253</v>
      </c>
      <c r="I80" s="5">
        <v>57612</v>
      </c>
      <c r="J80" s="5">
        <v>2743373</v>
      </c>
      <c r="K80" s="5">
        <v>42740</v>
      </c>
      <c r="L80" s="5" t="s">
        <v>936</v>
      </c>
      <c r="M80" s="5" t="s">
        <v>939</v>
      </c>
    </row>
    <row r="81" spans="1:13" x14ac:dyDescent="0.3">
      <c r="A81" s="5" t="s">
        <v>821</v>
      </c>
      <c r="B81" s="5">
        <v>100</v>
      </c>
      <c r="C81" s="5">
        <v>11491167</v>
      </c>
      <c r="D81" s="5">
        <v>248553</v>
      </c>
      <c r="E81" s="5">
        <v>5400</v>
      </c>
      <c r="F81" s="5">
        <v>0</v>
      </c>
      <c r="G81" s="5">
        <v>287571789</v>
      </c>
      <c r="H81" s="5">
        <v>2849477</v>
      </c>
      <c r="I81" s="5">
        <v>57593</v>
      </c>
      <c r="J81" s="5">
        <v>4680527</v>
      </c>
      <c r="K81" s="5">
        <v>39103</v>
      </c>
      <c r="L81" s="5" t="s">
        <v>936</v>
      </c>
      <c r="M81" s="5" t="s">
        <v>946</v>
      </c>
    </row>
    <row r="82" spans="1:13" x14ac:dyDescent="0.3">
      <c r="A82" s="5" t="s">
        <v>956</v>
      </c>
      <c r="B82" s="5">
        <v>115</v>
      </c>
      <c r="C82" s="5">
        <v>10964223</v>
      </c>
      <c r="D82" s="5">
        <v>247956</v>
      </c>
      <c r="E82" s="5">
        <v>3150</v>
      </c>
      <c r="F82" s="5">
        <v>0</v>
      </c>
      <c r="G82" s="5">
        <v>191735324</v>
      </c>
      <c r="H82" s="5">
        <v>2587008</v>
      </c>
      <c r="I82" s="5">
        <v>82187</v>
      </c>
      <c r="J82" s="5">
        <v>8448987</v>
      </c>
      <c r="K82" s="5">
        <v>31226</v>
      </c>
      <c r="L82" s="5" t="s">
        <v>936</v>
      </c>
      <c r="M82" s="5" t="s">
        <v>942</v>
      </c>
    </row>
    <row r="83" spans="1:13" x14ac:dyDescent="0.3">
      <c r="A83" s="5" t="s">
        <v>839</v>
      </c>
      <c r="B83" s="5">
        <v>130</v>
      </c>
      <c r="C83" s="5">
        <v>12210263</v>
      </c>
      <c r="D83" s="5">
        <v>246463</v>
      </c>
      <c r="E83" s="5">
        <v>0</v>
      </c>
      <c r="F83" s="5">
        <v>0</v>
      </c>
      <c r="G83" s="5">
        <v>263839130</v>
      </c>
      <c r="H83" s="5">
        <v>2377583</v>
      </c>
      <c r="I83" s="5">
        <v>40654</v>
      </c>
      <c r="J83" s="5">
        <v>2529773</v>
      </c>
      <c r="K83" s="5">
        <v>39630</v>
      </c>
      <c r="L83" s="5" t="s">
        <v>936</v>
      </c>
      <c r="M83" s="5" t="s">
        <v>942</v>
      </c>
    </row>
    <row r="84" spans="1:13" x14ac:dyDescent="0.3">
      <c r="A84" s="5" t="s">
        <v>837</v>
      </c>
      <c r="B84" s="5">
        <v>128</v>
      </c>
      <c r="C84" s="5">
        <v>17803552</v>
      </c>
      <c r="D84" s="5">
        <v>241686</v>
      </c>
      <c r="E84" s="5">
        <v>0</v>
      </c>
      <c r="F84" s="5">
        <v>312485</v>
      </c>
      <c r="G84" s="5">
        <v>233663705</v>
      </c>
      <c r="H84" s="5">
        <v>2183841</v>
      </c>
      <c r="I84" s="5">
        <v>34147</v>
      </c>
      <c r="J84" s="5">
        <v>9541306</v>
      </c>
      <c r="K84" s="5">
        <v>31616</v>
      </c>
      <c r="L84" s="5" t="s">
        <v>936</v>
      </c>
      <c r="M84" s="5" t="s">
        <v>937</v>
      </c>
    </row>
    <row r="85" spans="1:13" x14ac:dyDescent="0.3">
      <c r="A85" s="5" t="s">
        <v>957</v>
      </c>
      <c r="B85" s="5">
        <v>46</v>
      </c>
      <c r="C85" s="5">
        <v>22176599</v>
      </c>
      <c r="D85" s="5">
        <v>240734</v>
      </c>
      <c r="E85" s="5">
        <v>0</v>
      </c>
      <c r="F85" s="5">
        <v>0</v>
      </c>
      <c r="G85" s="5">
        <v>309030894</v>
      </c>
      <c r="H85" s="5">
        <v>3761754</v>
      </c>
      <c r="I85" s="5">
        <v>39565</v>
      </c>
      <c r="J85" s="5">
        <v>2705997</v>
      </c>
      <c r="K85" s="5">
        <v>39340</v>
      </c>
      <c r="L85" s="5" t="s">
        <v>936</v>
      </c>
      <c r="M85" s="5" t="s">
        <v>943</v>
      </c>
    </row>
    <row r="86" spans="1:13" x14ac:dyDescent="0.3">
      <c r="A86" s="5" t="s">
        <v>958</v>
      </c>
      <c r="B86" s="5">
        <v>116</v>
      </c>
      <c r="C86" s="5">
        <v>18269019</v>
      </c>
      <c r="D86" s="5">
        <v>240567</v>
      </c>
      <c r="E86" s="5">
        <v>0</v>
      </c>
      <c r="F86" s="5">
        <v>0</v>
      </c>
      <c r="G86" s="5">
        <v>208474421</v>
      </c>
      <c r="H86" s="5">
        <v>2497546</v>
      </c>
      <c r="I86" s="5">
        <v>15598</v>
      </c>
      <c r="J86" s="5">
        <v>4317550</v>
      </c>
      <c r="K86" s="5">
        <v>41560</v>
      </c>
      <c r="L86" s="5" t="s">
        <v>936</v>
      </c>
      <c r="M86" s="5" t="s">
        <v>945</v>
      </c>
    </row>
    <row r="87" spans="1:13" x14ac:dyDescent="0.3">
      <c r="A87" s="5" t="s">
        <v>834</v>
      </c>
      <c r="B87" s="5">
        <v>123</v>
      </c>
      <c r="C87" s="5">
        <v>18462338</v>
      </c>
      <c r="D87" s="5">
        <v>235077</v>
      </c>
      <c r="E87" s="5">
        <v>400</v>
      </c>
      <c r="F87" s="5">
        <v>0</v>
      </c>
      <c r="G87" s="5">
        <v>228715753</v>
      </c>
      <c r="H87" s="5">
        <v>2479491</v>
      </c>
      <c r="I87" s="5">
        <v>5143</v>
      </c>
      <c r="J87" s="5">
        <v>8914326</v>
      </c>
      <c r="K87" s="5">
        <v>31160</v>
      </c>
      <c r="L87" s="5" t="s">
        <v>936</v>
      </c>
      <c r="M87" s="5" t="s">
        <v>937</v>
      </c>
    </row>
    <row r="88" spans="1:13" x14ac:dyDescent="0.3">
      <c r="A88" s="5" t="s">
        <v>826</v>
      </c>
      <c r="B88" s="5">
        <v>110</v>
      </c>
      <c r="C88" s="5">
        <v>10223893</v>
      </c>
      <c r="D88" s="5">
        <v>234193</v>
      </c>
      <c r="E88" s="5">
        <v>0</v>
      </c>
      <c r="F88" s="5">
        <v>0</v>
      </c>
      <c r="G88" s="5">
        <v>244456759</v>
      </c>
      <c r="H88" s="5">
        <v>2908345</v>
      </c>
      <c r="I88" s="5">
        <v>25211</v>
      </c>
      <c r="J88" s="5">
        <v>2706596</v>
      </c>
      <c r="K88" s="5">
        <v>35570</v>
      </c>
      <c r="L88" s="5" t="s">
        <v>936</v>
      </c>
      <c r="M88" s="5" t="s">
        <v>940</v>
      </c>
    </row>
    <row r="89" spans="1:13" x14ac:dyDescent="0.3">
      <c r="A89" s="5" t="s">
        <v>810</v>
      </c>
      <c r="B89" s="5">
        <v>83</v>
      </c>
      <c r="C89" s="5">
        <v>17532669</v>
      </c>
      <c r="D89" s="5">
        <v>229992</v>
      </c>
      <c r="E89" s="5">
        <v>0</v>
      </c>
      <c r="F89" s="5">
        <v>289522</v>
      </c>
      <c r="G89" s="5">
        <v>312208045</v>
      </c>
      <c r="H89" s="5">
        <v>3101651</v>
      </c>
      <c r="I89" s="5">
        <v>21669</v>
      </c>
      <c r="J89" s="5">
        <v>6172317</v>
      </c>
      <c r="K89" s="5">
        <v>34070</v>
      </c>
      <c r="L89" s="5" t="s">
        <v>936</v>
      </c>
      <c r="M89" s="5" t="s">
        <v>940</v>
      </c>
    </row>
    <row r="90" spans="1:13" x14ac:dyDescent="0.3">
      <c r="A90" s="5" t="s">
        <v>827</v>
      </c>
      <c r="B90" s="5">
        <v>112</v>
      </c>
      <c r="C90" s="5">
        <v>10211801</v>
      </c>
      <c r="D90" s="5">
        <v>228426</v>
      </c>
      <c r="E90" s="5">
        <v>0</v>
      </c>
      <c r="F90" s="5">
        <v>0</v>
      </c>
      <c r="G90" s="5">
        <v>219600566</v>
      </c>
      <c r="H90" s="5">
        <v>2473124</v>
      </c>
      <c r="I90" s="5">
        <v>36659</v>
      </c>
      <c r="J90" s="5">
        <v>3415801</v>
      </c>
      <c r="K90" s="5">
        <v>33020</v>
      </c>
      <c r="L90" s="5" t="s">
        <v>936</v>
      </c>
      <c r="M90" s="5" t="s">
        <v>946</v>
      </c>
    </row>
    <row r="91" spans="1:13" x14ac:dyDescent="0.3">
      <c r="A91" s="5" t="s">
        <v>820</v>
      </c>
      <c r="B91" s="5">
        <v>99</v>
      </c>
      <c r="C91" s="5">
        <v>11341072</v>
      </c>
      <c r="D91" s="5">
        <v>226891</v>
      </c>
      <c r="E91" s="5">
        <v>870</v>
      </c>
      <c r="F91" s="5">
        <v>0</v>
      </c>
      <c r="G91" s="5">
        <v>263392695</v>
      </c>
      <c r="H91" s="5">
        <v>2841073</v>
      </c>
      <c r="I91" s="5">
        <v>42794</v>
      </c>
      <c r="J91" s="5">
        <v>4123091</v>
      </c>
      <c r="K91" s="5">
        <v>33609</v>
      </c>
      <c r="L91" s="5" t="s">
        <v>936</v>
      </c>
      <c r="M91" s="5" t="s">
        <v>946</v>
      </c>
    </row>
    <row r="92" spans="1:13" x14ac:dyDescent="0.3">
      <c r="A92" s="5" t="s">
        <v>815</v>
      </c>
      <c r="B92" s="5">
        <v>93</v>
      </c>
      <c r="C92" s="5">
        <v>21905379</v>
      </c>
      <c r="D92" s="5">
        <v>226208</v>
      </c>
      <c r="E92" s="5">
        <v>250</v>
      </c>
      <c r="F92" s="5">
        <v>0</v>
      </c>
      <c r="G92" s="5">
        <v>220946538</v>
      </c>
      <c r="H92" s="5">
        <v>3183897</v>
      </c>
      <c r="I92" s="5">
        <v>56036</v>
      </c>
      <c r="J92" s="5">
        <v>37906240</v>
      </c>
      <c r="K92" s="5">
        <v>30786</v>
      </c>
      <c r="L92" s="5" t="s">
        <v>936</v>
      </c>
      <c r="M92" s="5" t="s">
        <v>939</v>
      </c>
    </row>
    <row r="93" spans="1:13" x14ac:dyDescent="0.3">
      <c r="A93" s="5" t="s">
        <v>782</v>
      </c>
      <c r="B93" s="5">
        <v>51</v>
      </c>
      <c r="C93" s="5">
        <v>13270537</v>
      </c>
      <c r="D93" s="5">
        <v>225203</v>
      </c>
      <c r="E93" s="5">
        <v>950</v>
      </c>
      <c r="F93" s="5">
        <v>0</v>
      </c>
      <c r="G93" s="5">
        <v>353194934</v>
      </c>
      <c r="H93" s="5">
        <v>3588848</v>
      </c>
      <c r="I93" s="5">
        <v>66648</v>
      </c>
      <c r="J93" s="5">
        <v>3629210</v>
      </c>
      <c r="K93" s="5">
        <v>40990</v>
      </c>
      <c r="L93" s="5" t="s">
        <v>936</v>
      </c>
      <c r="M93" s="5" t="s">
        <v>937</v>
      </c>
    </row>
    <row r="94" spans="1:13" x14ac:dyDescent="0.3">
      <c r="A94" s="5" t="s">
        <v>863</v>
      </c>
      <c r="B94" s="5">
        <v>158</v>
      </c>
      <c r="C94" s="5">
        <v>20891786</v>
      </c>
      <c r="D94" s="5">
        <v>222946</v>
      </c>
      <c r="E94" s="5">
        <v>700</v>
      </c>
      <c r="F94" s="5">
        <v>0</v>
      </c>
      <c r="G94" s="5">
        <v>178418249</v>
      </c>
      <c r="H94" s="5">
        <v>1498820</v>
      </c>
      <c r="I94" s="5">
        <v>16930</v>
      </c>
      <c r="J94" s="5">
        <v>32311958</v>
      </c>
      <c r="K94" s="5">
        <v>43040</v>
      </c>
      <c r="L94" s="5" t="s">
        <v>936</v>
      </c>
      <c r="M94" s="5" t="s">
        <v>959</v>
      </c>
    </row>
    <row r="95" spans="1:13" x14ac:dyDescent="0.3">
      <c r="A95" s="5" t="s">
        <v>884</v>
      </c>
      <c r="B95" s="5">
        <v>181</v>
      </c>
      <c r="C95" s="5">
        <v>13160514</v>
      </c>
      <c r="D95" s="5">
        <v>215264</v>
      </c>
      <c r="E95" s="5">
        <v>14400</v>
      </c>
      <c r="F95" s="5">
        <v>0</v>
      </c>
      <c r="G95" s="5">
        <v>109665706</v>
      </c>
      <c r="H95" s="5">
        <v>1590143</v>
      </c>
      <c r="I95" s="5">
        <v>100532</v>
      </c>
      <c r="J95" s="5">
        <v>33252253</v>
      </c>
      <c r="K95" s="5">
        <v>24223</v>
      </c>
      <c r="L95" s="5" t="s">
        <v>936</v>
      </c>
      <c r="M95" s="5" t="s">
        <v>959</v>
      </c>
    </row>
    <row r="96" spans="1:13" x14ac:dyDescent="0.3">
      <c r="A96" s="5" t="s">
        <v>855</v>
      </c>
      <c r="B96" s="5">
        <v>145</v>
      </c>
      <c r="C96" s="5">
        <v>21326006</v>
      </c>
      <c r="D96" s="5">
        <v>211917</v>
      </c>
      <c r="E96" s="5">
        <v>350</v>
      </c>
      <c r="F96" s="5">
        <v>0</v>
      </c>
      <c r="G96" s="5">
        <v>206313772</v>
      </c>
      <c r="H96" s="5">
        <v>1749498</v>
      </c>
      <c r="I96" s="5">
        <v>37182</v>
      </c>
      <c r="J96" s="5">
        <v>3571075</v>
      </c>
      <c r="K96" s="5">
        <v>32590</v>
      </c>
      <c r="L96" s="5" t="s">
        <v>936</v>
      </c>
      <c r="M96" s="5" t="s">
        <v>940</v>
      </c>
    </row>
    <row r="97" spans="1:13" x14ac:dyDescent="0.3">
      <c r="A97" s="5" t="s">
        <v>829</v>
      </c>
      <c r="B97" s="5">
        <v>118</v>
      </c>
      <c r="C97" s="5">
        <v>10485040</v>
      </c>
      <c r="D97" s="5">
        <v>210320</v>
      </c>
      <c r="E97" s="5">
        <v>0</v>
      </c>
      <c r="F97" s="5">
        <v>0</v>
      </c>
      <c r="G97" s="5">
        <v>337849825</v>
      </c>
      <c r="H97" s="5">
        <v>2755278</v>
      </c>
      <c r="I97" s="5">
        <v>37756</v>
      </c>
      <c r="J97" s="5">
        <v>2736506</v>
      </c>
      <c r="K97" s="5">
        <v>47150</v>
      </c>
      <c r="L97" s="5" t="s">
        <v>936</v>
      </c>
      <c r="M97" s="5" t="s">
        <v>944</v>
      </c>
    </row>
    <row r="98" spans="1:13" x14ac:dyDescent="0.3">
      <c r="A98" s="5" t="s">
        <v>869</v>
      </c>
      <c r="B98" s="5">
        <v>166</v>
      </c>
      <c r="C98" s="5">
        <v>15292375</v>
      </c>
      <c r="D98" s="5">
        <v>209285</v>
      </c>
      <c r="E98" s="5">
        <v>3150</v>
      </c>
      <c r="F98" s="5">
        <v>0</v>
      </c>
      <c r="G98" s="5">
        <v>160823357</v>
      </c>
      <c r="H98" s="5">
        <v>1684469</v>
      </c>
      <c r="I98" s="5">
        <v>83827</v>
      </c>
      <c r="J98" s="5">
        <v>2945065</v>
      </c>
      <c r="K98" s="5">
        <v>27412</v>
      </c>
      <c r="L98" s="5" t="s">
        <v>936</v>
      </c>
      <c r="M98" s="5" t="s">
        <v>940</v>
      </c>
    </row>
    <row r="99" spans="1:13" x14ac:dyDescent="0.3">
      <c r="A99" s="5" t="s">
        <v>823</v>
      </c>
      <c r="B99" s="5">
        <v>103</v>
      </c>
      <c r="C99" s="5">
        <v>19656284</v>
      </c>
      <c r="D99" s="5">
        <v>209032</v>
      </c>
      <c r="E99" s="5">
        <v>350</v>
      </c>
      <c r="F99" s="5">
        <v>0</v>
      </c>
      <c r="G99" s="5">
        <v>263815337</v>
      </c>
      <c r="H99" s="5">
        <v>2859978</v>
      </c>
      <c r="I99" s="5">
        <v>50249</v>
      </c>
      <c r="J99" s="5">
        <v>7358082</v>
      </c>
      <c r="K99" s="5">
        <v>37033</v>
      </c>
      <c r="L99" s="5" t="s">
        <v>936</v>
      </c>
      <c r="M99" s="5" t="s">
        <v>937</v>
      </c>
    </row>
    <row r="100" spans="1:13" x14ac:dyDescent="0.3">
      <c r="A100" s="5" t="s">
        <v>836</v>
      </c>
      <c r="B100" s="5">
        <v>127</v>
      </c>
      <c r="C100" s="5">
        <v>10256803</v>
      </c>
      <c r="D100" s="5">
        <v>206692</v>
      </c>
      <c r="E100" s="5">
        <v>0</v>
      </c>
      <c r="F100" s="5">
        <v>0</v>
      </c>
      <c r="G100" s="5">
        <v>270546082</v>
      </c>
      <c r="H100" s="5">
        <v>2243506</v>
      </c>
      <c r="I100" s="5">
        <v>22159</v>
      </c>
      <c r="J100" s="5">
        <v>3937082</v>
      </c>
      <c r="K100" s="5">
        <v>38620</v>
      </c>
      <c r="L100" s="5" t="s">
        <v>936</v>
      </c>
      <c r="M100" s="5" t="s">
        <v>940</v>
      </c>
    </row>
    <row r="101" spans="1:13" x14ac:dyDescent="0.3">
      <c r="A101" s="5" t="s">
        <v>825</v>
      </c>
      <c r="B101" s="5">
        <v>108</v>
      </c>
      <c r="C101" s="5">
        <v>21808570</v>
      </c>
      <c r="D101" s="5">
        <v>205981</v>
      </c>
      <c r="E101" s="5">
        <v>0</v>
      </c>
      <c r="F101" s="5">
        <v>0</v>
      </c>
      <c r="G101" s="5">
        <v>235099612</v>
      </c>
      <c r="H101" s="5">
        <v>2545425</v>
      </c>
      <c r="I101" s="5">
        <v>54184</v>
      </c>
      <c r="J101" s="5">
        <v>3499294</v>
      </c>
      <c r="K101" s="5">
        <v>39182</v>
      </c>
      <c r="L101" s="5" t="s">
        <v>936</v>
      </c>
      <c r="M101" s="5" t="s">
        <v>937</v>
      </c>
    </row>
    <row r="102" spans="1:13" x14ac:dyDescent="0.3">
      <c r="A102" s="5" t="s">
        <v>802</v>
      </c>
      <c r="B102" s="5">
        <v>77</v>
      </c>
      <c r="C102" s="5">
        <v>14083011</v>
      </c>
      <c r="D102" s="5">
        <v>205114</v>
      </c>
      <c r="E102" s="5">
        <v>350</v>
      </c>
      <c r="F102" s="5">
        <v>0</v>
      </c>
      <c r="G102" s="5">
        <v>303025906</v>
      </c>
      <c r="H102" s="5">
        <v>3506761</v>
      </c>
      <c r="I102" s="5">
        <v>44372</v>
      </c>
      <c r="J102" s="5">
        <v>2912558</v>
      </c>
      <c r="K102" s="5">
        <v>39840</v>
      </c>
      <c r="L102" s="5" t="s">
        <v>936</v>
      </c>
      <c r="M102" s="5" t="s">
        <v>937</v>
      </c>
    </row>
    <row r="103" spans="1:13" x14ac:dyDescent="0.3">
      <c r="A103" s="5" t="s">
        <v>794</v>
      </c>
      <c r="B103" s="5">
        <v>67</v>
      </c>
      <c r="C103" s="5">
        <v>15620667</v>
      </c>
      <c r="D103" s="5">
        <v>202088</v>
      </c>
      <c r="E103" s="5">
        <v>0</v>
      </c>
      <c r="F103" s="5">
        <v>0</v>
      </c>
      <c r="G103" s="5">
        <v>281038524</v>
      </c>
      <c r="H103" s="5">
        <v>3185563</v>
      </c>
      <c r="I103" s="5">
        <v>29083</v>
      </c>
      <c r="J103" s="5">
        <v>6477417</v>
      </c>
      <c r="K103" s="5">
        <v>39030</v>
      </c>
      <c r="L103" s="5" t="s">
        <v>936</v>
      </c>
      <c r="M103" s="5" t="s">
        <v>942</v>
      </c>
    </row>
    <row r="104" spans="1:13" x14ac:dyDescent="0.3">
      <c r="A104" s="5" t="s">
        <v>833</v>
      </c>
      <c r="B104" s="5">
        <v>122</v>
      </c>
      <c r="C104" s="5">
        <v>15513755</v>
      </c>
      <c r="D104" s="5">
        <v>198468</v>
      </c>
      <c r="E104" s="5">
        <v>0</v>
      </c>
      <c r="F104" s="5">
        <v>0</v>
      </c>
      <c r="G104" s="5">
        <v>265552631</v>
      </c>
      <c r="H104" s="5">
        <v>2411318</v>
      </c>
      <c r="I104" s="5">
        <v>41424</v>
      </c>
      <c r="J104" s="5">
        <v>2144170</v>
      </c>
      <c r="K104" s="5">
        <v>42176</v>
      </c>
      <c r="L104" s="5" t="s">
        <v>936</v>
      </c>
      <c r="M104" s="5" t="s">
        <v>944</v>
      </c>
    </row>
    <row r="105" spans="1:13" x14ac:dyDescent="0.3">
      <c r="A105" s="5" t="s">
        <v>831</v>
      </c>
      <c r="B105" s="5">
        <v>121</v>
      </c>
      <c r="C105" s="5">
        <v>8587029</v>
      </c>
      <c r="D105" s="5">
        <v>197091</v>
      </c>
      <c r="E105" s="5">
        <v>3050</v>
      </c>
      <c r="F105" s="5">
        <v>10335179</v>
      </c>
      <c r="G105" s="5">
        <v>206211443</v>
      </c>
      <c r="H105" s="5">
        <v>2122995</v>
      </c>
      <c r="I105" s="5">
        <v>75527</v>
      </c>
      <c r="J105" s="5">
        <v>39610755</v>
      </c>
      <c r="K105" s="5">
        <v>36406</v>
      </c>
      <c r="L105" s="5" t="s">
        <v>936</v>
      </c>
      <c r="M105" s="5" t="s">
        <v>940</v>
      </c>
    </row>
    <row r="106" spans="1:13" x14ac:dyDescent="0.3">
      <c r="A106" s="5" t="s">
        <v>960</v>
      </c>
      <c r="B106" s="5">
        <v>85</v>
      </c>
      <c r="C106" s="5">
        <v>22012662</v>
      </c>
      <c r="D106" s="5">
        <v>196216</v>
      </c>
      <c r="E106" s="5">
        <v>0</v>
      </c>
      <c r="F106" s="5">
        <v>0</v>
      </c>
      <c r="G106" s="5">
        <v>294915057</v>
      </c>
      <c r="H106" s="5">
        <v>3148611</v>
      </c>
      <c r="I106" s="5">
        <v>23100</v>
      </c>
      <c r="J106" s="5">
        <v>6151726</v>
      </c>
      <c r="K106" s="5">
        <v>34860</v>
      </c>
      <c r="L106" s="5" t="s">
        <v>936</v>
      </c>
      <c r="M106" s="5" t="s">
        <v>945</v>
      </c>
    </row>
    <row r="107" spans="1:13" x14ac:dyDescent="0.3">
      <c r="A107" s="5" t="s">
        <v>961</v>
      </c>
      <c r="B107" s="5">
        <v>54</v>
      </c>
      <c r="C107" s="5">
        <v>9249931</v>
      </c>
      <c r="D107" s="5">
        <v>193013</v>
      </c>
      <c r="E107" s="5">
        <v>0</v>
      </c>
      <c r="F107" s="5">
        <v>0</v>
      </c>
      <c r="G107" s="5">
        <v>300054175</v>
      </c>
      <c r="H107" s="5">
        <v>3676233</v>
      </c>
      <c r="I107" s="5">
        <v>44537</v>
      </c>
      <c r="J107" s="5">
        <v>3480620</v>
      </c>
      <c r="K107" s="5">
        <v>41180</v>
      </c>
      <c r="L107" s="5" t="s">
        <v>936</v>
      </c>
      <c r="M107" s="5" t="s">
        <v>946</v>
      </c>
    </row>
    <row r="108" spans="1:13" x14ac:dyDescent="0.3">
      <c r="A108" s="5" t="s">
        <v>806</v>
      </c>
      <c r="B108" s="5">
        <v>79</v>
      </c>
      <c r="C108" s="5">
        <v>21754826</v>
      </c>
      <c r="D108" s="5">
        <v>192907</v>
      </c>
      <c r="E108" s="5">
        <v>0</v>
      </c>
      <c r="F108" s="5">
        <v>0</v>
      </c>
      <c r="G108" s="5">
        <v>356067295</v>
      </c>
      <c r="H108" s="5">
        <v>3091546</v>
      </c>
      <c r="I108" s="5">
        <v>34514</v>
      </c>
      <c r="J108" s="5">
        <v>4581119</v>
      </c>
      <c r="K108" s="5">
        <v>42640</v>
      </c>
      <c r="L108" s="5" t="s">
        <v>936</v>
      </c>
      <c r="M108" s="5" t="s">
        <v>939</v>
      </c>
    </row>
    <row r="109" spans="1:13" x14ac:dyDescent="0.3">
      <c r="A109" s="5" t="s">
        <v>857</v>
      </c>
      <c r="B109" s="5">
        <v>148</v>
      </c>
      <c r="C109" s="5">
        <v>13437513</v>
      </c>
      <c r="D109" s="5">
        <v>192378</v>
      </c>
      <c r="E109" s="5">
        <v>0</v>
      </c>
      <c r="F109" s="5">
        <v>0</v>
      </c>
      <c r="G109" s="5">
        <v>211813588</v>
      </c>
      <c r="H109" s="5">
        <v>1822342</v>
      </c>
      <c r="I109" s="5">
        <v>17571</v>
      </c>
      <c r="J109" s="5">
        <v>3835056</v>
      </c>
      <c r="K109" s="5">
        <v>40173</v>
      </c>
      <c r="L109" s="5" t="s">
        <v>936</v>
      </c>
      <c r="M109" s="5" t="s">
        <v>962</v>
      </c>
    </row>
    <row r="110" spans="1:13" x14ac:dyDescent="0.3">
      <c r="A110" s="5" t="s">
        <v>822</v>
      </c>
      <c r="B110" s="5">
        <v>101</v>
      </c>
      <c r="C110" s="5">
        <v>15041942</v>
      </c>
      <c r="D110" s="5">
        <v>191200</v>
      </c>
      <c r="E110" s="5">
        <v>350</v>
      </c>
      <c r="F110" s="5">
        <v>0</v>
      </c>
      <c r="G110" s="5">
        <v>273649003</v>
      </c>
      <c r="H110" s="5">
        <v>2748794</v>
      </c>
      <c r="I110" s="5">
        <v>82932</v>
      </c>
      <c r="J110" s="5">
        <v>2963087</v>
      </c>
      <c r="K110" s="5">
        <v>40500</v>
      </c>
      <c r="L110" s="5" t="s">
        <v>936</v>
      </c>
      <c r="M110" s="5" t="s">
        <v>944</v>
      </c>
    </row>
    <row r="111" spans="1:13" x14ac:dyDescent="0.3">
      <c r="A111" s="5" t="s">
        <v>817</v>
      </c>
      <c r="B111" s="5">
        <v>96</v>
      </c>
      <c r="C111" s="5">
        <v>9511065</v>
      </c>
      <c r="D111" s="5">
        <v>190275</v>
      </c>
      <c r="E111" s="5">
        <v>0</v>
      </c>
      <c r="F111" s="5">
        <v>0</v>
      </c>
      <c r="G111" s="5">
        <v>259768626</v>
      </c>
      <c r="H111" s="5">
        <v>2958129</v>
      </c>
      <c r="I111" s="5">
        <v>49476</v>
      </c>
      <c r="J111" s="5">
        <v>3612005</v>
      </c>
      <c r="K111" s="5">
        <v>33019</v>
      </c>
      <c r="L111" s="5" t="s">
        <v>936</v>
      </c>
      <c r="M111" s="5" t="s">
        <v>940</v>
      </c>
    </row>
    <row r="112" spans="1:13" x14ac:dyDescent="0.3">
      <c r="A112" s="5" t="s">
        <v>963</v>
      </c>
      <c r="B112" s="5">
        <v>119</v>
      </c>
      <c r="C112" s="5">
        <v>8960359</v>
      </c>
      <c r="D112" s="5">
        <v>189486</v>
      </c>
      <c r="E112" s="5">
        <v>800</v>
      </c>
      <c r="F112" s="5">
        <v>0</v>
      </c>
      <c r="G112" s="5">
        <v>267484704</v>
      </c>
      <c r="H112" s="5">
        <v>2387904</v>
      </c>
      <c r="I112" s="5">
        <v>49969</v>
      </c>
      <c r="J112" s="5">
        <v>3449800</v>
      </c>
      <c r="K112" s="5">
        <v>29760</v>
      </c>
      <c r="L112" s="5" t="s">
        <v>936</v>
      </c>
      <c r="M112" s="5" t="s">
        <v>946</v>
      </c>
    </row>
    <row r="113" spans="1:13" x14ac:dyDescent="0.3">
      <c r="A113" s="5" t="s">
        <v>964</v>
      </c>
      <c r="B113" s="5">
        <v>107</v>
      </c>
      <c r="C113" s="5">
        <v>9918732</v>
      </c>
      <c r="D113" s="5">
        <v>187734</v>
      </c>
      <c r="E113" s="5">
        <v>1050</v>
      </c>
      <c r="F113" s="5">
        <v>0</v>
      </c>
      <c r="G113" s="5">
        <v>217296847</v>
      </c>
      <c r="H113" s="5">
        <v>2675199</v>
      </c>
      <c r="I113" s="5">
        <v>54679</v>
      </c>
      <c r="J113" s="5">
        <v>3037846</v>
      </c>
      <c r="K113" s="5">
        <v>32020</v>
      </c>
      <c r="L113" s="5" t="s">
        <v>936</v>
      </c>
      <c r="M113" s="5" t="s">
        <v>939</v>
      </c>
    </row>
    <row r="114" spans="1:13" x14ac:dyDescent="0.3">
      <c r="A114" s="5" t="s">
        <v>838</v>
      </c>
      <c r="B114" s="5">
        <v>129</v>
      </c>
      <c r="C114" s="5">
        <v>14261961</v>
      </c>
      <c r="D114" s="5">
        <v>184221</v>
      </c>
      <c r="E114" s="5">
        <v>0</v>
      </c>
      <c r="F114" s="5">
        <v>935880</v>
      </c>
      <c r="G114" s="5">
        <v>203681768</v>
      </c>
      <c r="H114" s="5">
        <v>2223595</v>
      </c>
      <c r="I114" s="5">
        <v>45180</v>
      </c>
      <c r="J114" s="5">
        <v>5152246</v>
      </c>
      <c r="K114" s="5">
        <v>34510</v>
      </c>
      <c r="L114" s="5" t="s">
        <v>936</v>
      </c>
      <c r="M114" s="5" t="s">
        <v>942</v>
      </c>
    </row>
    <row r="115" spans="1:13" x14ac:dyDescent="0.3">
      <c r="A115" s="5" t="s">
        <v>872</v>
      </c>
      <c r="B115" s="5">
        <v>170</v>
      </c>
      <c r="C115" s="5">
        <v>8992227</v>
      </c>
      <c r="D115" s="5">
        <v>184182</v>
      </c>
      <c r="E115" s="5">
        <v>0</v>
      </c>
      <c r="F115" s="5">
        <v>0</v>
      </c>
      <c r="G115" s="5">
        <v>180833238</v>
      </c>
      <c r="H115" s="5">
        <v>1316361</v>
      </c>
      <c r="I115" s="5">
        <v>2600</v>
      </c>
      <c r="J115" s="5">
        <v>2749870</v>
      </c>
      <c r="K115" s="5">
        <v>35359</v>
      </c>
      <c r="L115" s="5" t="s">
        <v>936</v>
      </c>
      <c r="M115" s="5" t="s">
        <v>944</v>
      </c>
    </row>
    <row r="116" spans="1:13" x14ac:dyDescent="0.3">
      <c r="A116" s="5" t="s">
        <v>603</v>
      </c>
      <c r="B116" s="5">
        <v>114</v>
      </c>
      <c r="C116" s="5">
        <v>9162230</v>
      </c>
      <c r="D116" s="5">
        <v>183363</v>
      </c>
      <c r="E116" s="5">
        <v>700</v>
      </c>
      <c r="F116" s="5">
        <v>0</v>
      </c>
      <c r="G116" s="5">
        <v>210354067</v>
      </c>
      <c r="H116" s="5">
        <v>2595232</v>
      </c>
      <c r="I116" s="5">
        <v>40511</v>
      </c>
      <c r="J116" s="5">
        <v>5309261</v>
      </c>
      <c r="K116" s="5">
        <v>32700</v>
      </c>
      <c r="L116" s="5" t="s">
        <v>936</v>
      </c>
      <c r="M116" s="5" t="s">
        <v>945</v>
      </c>
    </row>
    <row r="117" spans="1:13" x14ac:dyDescent="0.3">
      <c r="A117" s="5" t="s">
        <v>841</v>
      </c>
      <c r="B117" s="5">
        <v>132</v>
      </c>
      <c r="C117" s="5">
        <v>9045659</v>
      </c>
      <c r="D117" s="5">
        <v>181507</v>
      </c>
      <c r="E117" s="5">
        <v>4500</v>
      </c>
      <c r="F117" s="5">
        <v>0</v>
      </c>
      <c r="G117" s="5">
        <v>148666638</v>
      </c>
      <c r="H117" s="5">
        <v>2095840</v>
      </c>
      <c r="I117" s="5">
        <v>62403</v>
      </c>
      <c r="J117" s="5">
        <v>35730221</v>
      </c>
      <c r="K117" s="5">
        <v>30030</v>
      </c>
      <c r="L117" s="5" t="s">
        <v>936</v>
      </c>
      <c r="M117" s="5" t="s">
        <v>945</v>
      </c>
    </row>
    <row r="118" spans="1:13" x14ac:dyDescent="0.3">
      <c r="A118" s="5" t="s">
        <v>778</v>
      </c>
      <c r="B118" s="5">
        <v>49</v>
      </c>
      <c r="C118" s="5">
        <v>19681404</v>
      </c>
      <c r="D118" s="5">
        <v>181503</v>
      </c>
      <c r="E118" s="5">
        <v>50</v>
      </c>
      <c r="F118" s="5">
        <v>0</v>
      </c>
      <c r="G118" s="5">
        <v>356375247</v>
      </c>
      <c r="H118" s="5">
        <v>3611300</v>
      </c>
      <c r="I118" s="5">
        <v>46784</v>
      </c>
      <c r="J118" s="5">
        <v>2712776</v>
      </c>
      <c r="K118" s="5">
        <v>36840</v>
      </c>
      <c r="L118" s="5" t="s">
        <v>936</v>
      </c>
      <c r="M118" s="5" t="s">
        <v>937</v>
      </c>
    </row>
    <row r="119" spans="1:13" x14ac:dyDescent="0.3">
      <c r="A119" s="5" t="s">
        <v>811</v>
      </c>
      <c r="B119" s="5">
        <v>91</v>
      </c>
      <c r="C119" s="5">
        <v>9021607</v>
      </c>
      <c r="D119" s="5">
        <v>180279</v>
      </c>
      <c r="E119" s="5">
        <v>100</v>
      </c>
      <c r="F119" s="5">
        <v>995732</v>
      </c>
      <c r="G119" s="5">
        <v>243086662</v>
      </c>
      <c r="H119" s="5">
        <v>2992204</v>
      </c>
      <c r="I119" s="5">
        <v>64336</v>
      </c>
      <c r="J119" s="5">
        <v>5828444</v>
      </c>
      <c r="K119" s="5">
        <v>39420</v>
      </c>
      <c r="L119" s="5" t="s">
        <v>936</v>
      </c>
      <c r="M119" s="5" t="s">
        <v>939</v>
      </c>
    </row>
    <row r="120" spans="1:13" x14ac:dyDescent="0.3">
      <c r="A120" s="5" t="s">
        <v>766</v>
      </c>
      <c r="B120" s="5">
        <v>33</v>
      </c>
      <c r="C120" s="5">
        <v>8986749</v>
      </c>
      <c r="D120" s="5">
        <v>179791</v>
      </c>
      <c r="E120" s="5">
        <v>0</v>
      </c>
      <c r="F120" s="5">
        <v>0</v>
      </c>
      <c r="G120" s="5">
        <v>327091180</v>
      </c>
      <c r="H120" s="5">
        <v>3994557</v>
      </c>
      <c r="I120" s="5">
        <v>58248</v>
      </c>
      <c r="J120" s="5">
        <v>2762450</v>
      </c>
      <c r="K120" s="5">
        <v>38430</v>
      </c>
      <c r="L120" s="5" t="s">
        <v>936</v>
      </c>
      <c r="M120" s="5" t="s">
        <v>937</v>
      </c>
    </row>
    <row r="121" spans="1:13" x14ac:dyDescent="0.3">
      <c r="A121" s="5" t="s">
        <v>768</v>
      </c>
      <c r="B121" s="5">
        <v>36</v>
      </c>
      <c r="C121" s="5">
        <v>8961588</v>
      </c>
      <c r="D121" s="5">
        <v>179282</v>
      </c>
      <c r="E121" s="5">
        <v>350</v>
      </c>
      <c r="F121" s="5">
        <v>0</v>
      </c>
      <c r="G121" s="5">
        <v>305242293</v>
      </c>
      <c r="H121" s="5">
        <v>3667046</v>
      </c>
      <c r="I121" s="5">
        <v>49944</v>
      </c>
      <c r="J121" s="5">
        <v>2817074</v>
      </c>
      <c r="K121" s="5">
        <v>41170</v>
      </c>
      <c r="L121" s="5" t="s">
        <v>936</v>
      </c>
      <c r="M121" s="5" t="s">
        <v>937</v>
      </c>
    </row>
    <row r="122" spans="1:13" x14ac:dyDescent="0.3">
      <c r="A122" s="5" t="s">
        <v>965</v>
      </c>
      <c r="B122" s="5">
        <v>136</v>
      </c>
      <c r="C122" s="5">
        <v>8121347</v>
      </c>
      <c r="D122" s="5">
        <v>178651</v>
      </c>
      <c r="E122" s="5">
        <v>0</v>
      </c>
      <c r="F122" s="5">
        <v>0</v>
      </c>
      <c r="G122" s="5">
        <v>196675296</v>
      </c>
      <c r="H122" s="5">
        <v>1971428</v>
      </c>
      <c r="I122" s="5">
        <v>48816</v>
      </c>
      <c r="J122" s="5">
        <v>2946859</v>
      </c>
      <c r="K122" s="5">
        <v>35813</v>
      </c>
      <c r="L122" s="5" t="s">
        <v>936</v>
      </c>
      <c r="M122" s="5" t="s">
        <v>942</v>
      </c>
    </row>
    <row r="123" spans="1:13" x14ac:dyDescent="0.3">
      <c r="A123" s="5" t="s">
        <v>846</v>
      </c>
      <c r="B123" s="5">
        <v>138</v>
      </c>
      <c r="C123" s="5">
        <v>15966802</v>
      </c>
      <c r="D123" s="5">
        <v>177431</v>
      </c>
      <c r="E123" s="5">
        <v>7550</v>
      </c>
      <c r="F123" s="5">
        <v>0</v>
      </c>
      <c r="G123" s="5">
        <v>203321369</v>
      </c>
      <c r="H123" s="5">
        <v>1991273</v>
      </c>
      <c r="I123" s="5">
        <v>115263</v>
      </c>
      <c r="J123" s="5">
        <v>3654670</v>
      </c>
      <c r="K123" s="5">
        <v>33940</v>
      </c>
      <c r="L123" s="5" t="s">
        <v>936</v>
      </c>
      <c r="M123" s="5" t="s">
        <v>942</v>
      </c>
    </row>
    <row r="124" spans="1:13" x14ac:dyDescent="0.3">
      <c r="A124" s="5" t="s">
        <v>865</v>
      </c>
      <c r="B124" s="5">
        <v>162</v>
      </c>
      <c r="C124" s="5">
        <v>51223587</v>
      </c>
      <c r="D124" s="5">
        <v>177235</v>
      </c>
      <c r="E124" s="5">
        <v>350</v>
      </c>
      <c r="F124" s="5">
        <v>0</v>
      </c>
      <c r="G124" s="5">
        <v>178835093</v>
      </c>
      <c r="H124" s="5">
        <v>1447183</v>
      </c>
      <c r="I124" s="5">
        <v>3525</v>
      </c>
      <c r="J124" s="5">
        <v>35083546</v>
      </c>
      <c r="K124" s="5">
        <v>37540</v>
      </c>
      <c r="L124" s="5" t="s">
        <v>936</v>
      </c>
      <c r="M124" s="5" t="s">
        <v>937</v>
      </c>
    </row>
    <row r="125" spans="1:13" x14ac:dyDescent="0.3">
      <c r="A125" s="5" t="s">
        <v>864</v>
      </c>
      <c r="B125" s="5">
        <v>159</v>
      </c>
      <c r="C125" s="5">
        <v>14358156</v>
      </c>
      <c r="D125" s="5">
        <v>174914</v>
      </c>
      <c r="E125" s="5">
        <v>350</v>
      </c>
      <c r="F125" s="5">
        <v>0</v>
      </c>
      <c r="G125" s="5">
        <v>203209573</v>
      </c>
      <c r="H125" s="5">
        <v>1691575</v>
      </c>
      <c r="I125" s="5">
        <v>14615</v>
      </c>
      <c r="J125" s="5">
        <v>3144058</v>
      </c>
      <c r="K125" s="5">
        <v>42693</v>
      </c>
      <c r="L125" s="5" t="s">
        <v>936</v>
      </c>
      <c r="M125" s="5" t="s">
        <v>937</v>
      </c>
    </row>
    <row r="126" spans="1:13" x14ac:dyDescent="0.3">
      <c r="A126" s="5" t="s">
        <v>966</v>
      </c>
      <c r="B126" s="5">
        <v>155</v>
      </c>
      <c r="C126" s="5">
        <v>8064421</v>
      </c>
      <c r="D126" s="5">
        <v>174479</v>
      </c>
      <c r="E126" s="5">
        <v>206</v>
      </c>
      <c r="F126" s="5">
        <v>969282</v>
      </c>
      <c r="G126" s="5">
        <v>209645139</v>
      </c>
      <c r="H126" s="5">
        <v>1857124</v>
      </c>
      <c r="I126" s="5">
        <v>5882</v>
      </c>
      <c r="J126" s="5">
        <v>7760734</v>
      </c>
      <c r="K126" s="5">
        <v>40813</v>
      </c>
      <c r="L126" s="5" t="s">
        <v>936</v>
      </c>
      <c r="M126" s="5" t="s">
        <v>940</v>
      </c>
    </row>
    <row r="127" spans="1:13" x14ac:dyDescent="0.3">
      <c r="A127" s="5" t="s">
        <v>870</v>
      </c>
      <c r="B127" s="5">
        <v>167</v>
      </c>
      <c r="C127" s="5">
        <v>14696357</v>
      </c>
      <c r="D127" s="5">
        <v>167753</v>
      </c>
      <c r="E127" s="5">
        <v>0</v>
      </c>
      <c r="F127" s="5">
        <v>0</v>
      </c>
      <c r="G127" s="5">
        <v>166298929</v>
      </c>
      <c r="H127" s="5">
        <v>1349819</v>
      </c>
      <c r="I127" s="5">
        <v>46489</v>
      </c>
      <c r="J127" s="5">
        <v>3293993</v>
      </c>
      <c r="K127" s="5">
        <v>31230</v>
      </c>
      <c r="L127" s="5" t="s">
        <v>936</v>
      </c>
      <c r="M127" s="5" t="s">
        <v>944</v>
      </c>
    </row>
    <row r="128" spans="1:13" x14ac:dyDescent="0.3">
      <c r="A128" s="5" t="s">
        <v>809</v>
      </c>
      <c r="B128" s="5">
        <v>84</v>
      </c>
      <c r="C128" s="5">
        <v>8206363</v>
      </c>
      <c r="D128" s="5">
        <v>166371</v>
      </c>
      <c r="E128" s="5">
        <v>0</v>
      </c>
      <c r="F128" s="5">
        <v>0</v>
      </c>
      <c r="G128" s="5">
        <v>285868675</v>
      </c>
      <c r="H128" s="5">
        <v>3034219</v>
      </c>
      <c r="I128" s="5">
        <v>48970</v>
      </c>
      <c r="J128" s="5">
        <v>3971104</v>
      </c>
      <c r="K128" s="5">
        <v>39243</v>
      </c>
      <c r="L128" s="5" t="s">
        <v>936</v>
      </c>
      <c r="M128" s="5" t="s">
        <v>939</v>
      </c>
    </row>
    <row r="129" spans="1:13" x14ac:dyDescent="0.3">
      <c r="A129" s="5" t="s">
        <v>967</v>
      </c>
      <c r="B129" s="5">
        <v>113</v>
      </c>
      <c r="C129" s="5">
        <v>17797233</v>
      </c>
      <c r="D129" s="5">
        <v>162113</v>
      </c>
      <c r="E129" s="5">
        <v>0</v>
      </c>
      <c r="F129" s="5">
        <v>0</v>
      </c>
      <c r="G129" s="5">
        <v>300191224</v>
      </c>
      <c r="H129" s="5">
        <v>2755599</v>
      </c>
      <c r="I129" s="5">
        <v>31795</v>
      </c>
      <c r="J129" s="5">
        <v>3722185</v>
      </c>
      <c r="K129" s="5">
        <v>44100</v>
      </c>
      <c r="L129" s="5" t="s">
        <v>936</v>
      </c>
      <c r="M129" s="5" t="s">
        <v>942</v>
      </c>
    </row>
    <row r="130" spans="1:13" x14ac:dyDescent="0.3">
      <c r="A130" s="5" t="s">
        <v>791</v>
      </c>
      <c r="B130" s="5">
        <v>60</v>
      </c>
      <c r="C130" s="5">
        <v>7998617</v>
      </c>
      <c r="D130" s="5">
        <v>160793</v>
      </c>
      <c r="E130" s="5">
        <v>0</v>
      </c>
      <c r="F130" s="5">
        <v>0</v>
      </c>
      <c r="G130" s="5">
        <v>292200879</v>
      </c>
      <c r="H130" s="5">
        <v>3327324</v>
      </c>
      <c r="I130" s="5">
        <v>59468</v>
      </c>
      <c r="J130" s="5">
        <v>3355651</v>
      </c>
      <c r="K130" s="5">
        <v>35070</v>
      </c>
      <c r="L130" s="5" t="s">
        <v>936</v>
      </c>
      <c r="M130" s="5" t="s">
        <v>939</v>
      </c>
    </row>
    <row r="131" spans="1:13" x14ac:dyDescent="0.3">
      <c r="A131" s="5" t="s">
        <v>830</v>
      </c>
      <c r="B131" s="5">
        <v>120</v>
      </c>
      <c r="C131" s="5">
        <v>7498327</v>
      </c>
      <c r="D131" s="5">
        <v>160011</v>
      </c>
      <c r="E131" s="5">
        <v>2250</v>
      </c>
      <c r="F131" s="5">
        <v>0</v>
      </c>
      <c r="G131" s="5">
        <v>196499500</v>
      </c>
      <c r="H131" s="5">
        <v>2377822</v>
      </c>
      <c r="I131" s="5">
        <v>53609</v>
      </c>
      <c r="J131" s="5">
        <v>4167307</v>
      </c>
      <c r="K131" s="5">
        <v>24790</v>
      </c>
      <c r="L131" s="5" t="s">
        <v>936</v>
      </c>
      <c r="M131" s="5" t="s">
        <v>945</v>
      </c>
    </row>
    <row r="132" spans="1:13" x14ac:dyDescent="0.3">
      <c r="A132" s="5" t="s">
        <v>849</v>
      </c>
      <c r="B132" s="5">
        <v>141</v>
      </c>
      <c r="C132" s="5">
        <v>15501526</v>
      </c>
      <c r="D132" s="5">
        <v>156287</v>
      </c>
      <c r="E132" s="5">
        <v>0</v>
      </c>
      <c r="F132" s="5">
        <v>0</v>
      </c>
      <c r="G132" s="5">
        <v>318385967</v>
      </c>
      <c r="H132" s="5">
        <v>1810854</v>
      </c>
      <c r="I132" s="5">
        <v>18982</v>
      </c>
      <c r="J132" s="5">
        <v>4192603</v>
      </c>
      <c r="K132" s="5">
        <v>39010</v>
      </c>
      <c r="L132" s="5" t="s">
        <v>936</v>
      </c>
      <c r="M132" s="5" t="s">
        <v>937</v>
      </c>
    </row>
    <row r="133" spans="1:13" x14ac:dyDescent="0.3">
      <c r="A133" s="5" t="s">
        <v>871</v>
      </c>
      <c r="B133" s="5">
        <v>169</v>
      </c>
      <c r="C133" s="5">
        <v>14193818</v>
      </c>
      <c r="D133" s="5">
        <v>156105</v>
      </c>
      <c r="E133" s="5">
        <v>0</v>
      </c>
      <c r="F133" s="5">
        <v>0</v>
      </c>
      <c r="G133" s="5">
        <v>153031115</v>
      </c>
      <c r="H133" s="5">
        <v>1424768</v>
      </c>
      <c r="I133" s="5">
        <v>7546</v>
      </c>
      <c r="J133" s="5">
        <v>4022349</v>
      </c>
      <c r="K133" s="5">
        <v>31776</v>
      </c>
      <c r="L133" s="5" t="s">
        <v>936</v>
      </c>
      <c r="M133" s="5" t="s">
        <v>959</v>
      </c>
    </row>
    <row r="134" spans="1:13" x14ac:dyDescent="0.3">
      <c r="A134" s="5" t="s">
        <v>886</v>
      </c>
      <c r="B134" s="5">
        <v>184</v>
      </c>
      <c r="C134" s="5">
        <v>6419764</v>
      </c>
      <c r="D134" s="5">
        <v>154424</v>
      </c>
      <c r="E134" s="5">
        <v>8670</v>
      </c>
      <c r="F134" s="5">
        <v>0</v>
      </c>
      <c r="G134" s="5">
        <v>137157538</v>
      </c>
      <c r="H134" s="5">
        <v>1054086</v>
      </c>
      <c r="I134" s="5">
        <v>39937</v>
      </c>
      <c r="J134" s="5">
        <v>6840688</v>
      </c>
      <c r="K134" s="5">
        <v>31570</v>
      </c>
      <c r="L134" s="5" t="s">
        <v>936</v>
      </c>
      <c r="M134" s="5" t="s">
        <v>959</v>
      </c>
    </row>
    <row r="135" spans="1:13" x14ac:dyDescent="0.3">
      <c r="A135" s="5" t="s">
        <v>867</v>
      </c>
      <c r="B135" s="5">
        <v>164</v>
      </c>
      <c r="C135" s="5">
        <v>7647168</v>
      </c>
      <c r="D135" s="5">
        <v>150747</v>
      </c>
      <c r="E135" s="5">
        <v>0</v>
      </c>
      <c r="F135" s="5">
        <v>0</v>
      </c>
      <c r="G135" s="5">
        <v>184738188</v>
      </c>
      <c r="H135" s="5">
        <v>1394713</v>
      </c>
      <c r="I135" s="5">
        <v>31680</v>
      </c>
      <c r="J135" s="5">
        <v>3753806</v>
      </c>
      <c r="K135" s="5">
        <v>30500</v>
      </c>
      <c r="L135" s="5" t="s">
        <v>936</v>
      </c>
      <c r="M135" s="5" t="s">
        <v>940</v>
      </c>
    </row>
    <row r="136" spans="1:13" x14ac:dyDescent="0.3">
      <c r="A136" s="5" t="s">
        <v>968</v>
      </c>
      <c r="B136" s="5">
        <v>160</v>
      </c>
      <c r="C136" s="5">
        <v>7123413</v>
      </c>
      <c r="D136" s="5">
        <v>149273</v>
      </c>
      <c r="E136" s="5">
        <v>0</v>
      </c>
      <c r="F136" s="5">
        <v>0</v>
      </c>
      <c r="G136" s="5">
        <v>165178597</v>
      </c>
      <c r="H136" s="5">
        <v>1601765</v>
      </c>
      <c r="I136" s="5">
        <v>7508</v>
      </c>
      <c r="J136" s="5">
        <v>3626092</v>
      </c>
      <c r="K136" s="5">
        <v>32870</v>
      </c>
      <c r="L136" s="5" t="s">
        <v>936</v>
      </c>
      <c r="M136" s="5" t="s">
        <v>945</v>
      </c>
    </row>
    <row r="137" spans="1:13" x14ac:dyDescent="0.3">
      <c r="A137" s="5" t="s">
        <v>835</v>
      </c>
      <c r="B137" s="5">
        <v>126</v>
      </c>
      <c r="C137" s="5">
        <v>13193594</v>
      </c>
      <c r="D137" s="5">
        <v>149114</v>
      </c>
      <c r="E137" s="5">
        <v>0</v>
      </c>
      <c r="F137" s="5">
        <v>0</v>
      </c>
      <c r="G137" s="5">
        <v>238112609</v>
      </c>
      <c r="H137" s="5">
        <v>2058434</v>
      </c>
      <c r="I137" s="5">
        <v>32568</v>
      </c>
      <c r="J137" s="5">
        <v>4525150</v>
      </c>
      <c r="K137" s="5">
        <v>36713</v>
      </c>
      <c r="L137" s="5" t="s">
        <v>936</v>
      </c>
      <c r="M137" s="5" t="s">
        <v>944</v>
      </c>
    </row>
    <row r="138" spans="1:13" x14ac:dyDescent="0.3">
      <c r="A138" s="5" t="s">
        <v>787</v>
      </c>
      <c r="B138" s="5">
        <v>57</v>
      </c>
      <c r="C138" s="5">
        <v>7361056</v>
      </c>
      <c r="D138" s="5">
        <v>147275</v>
      </c>
      <c r="E138" s="5">
        <v>0</v>
      </c>
      <c r="F138" s="5">
        <v>0</v>
      </c>
      <c r="G138" s="5">
        <v>279855294</v>
      </c>
      <c r="H138" s="5">
        <v>3453497</v>
      </c>
      <c r="I138" s="5">
        <v>42937</v>
      </c>
      <c r="J138" s="5">
        <v>3787035</v>
      </c>
      <c r="K138" s="5">
        <v>34250</v>
      </c>
      <c r="L138" s="5" t="s">
        <v>936</v>
      </c>
      <c r="M138" s="5" t="s">
        <v>939</v>
      </c>
    </row>
    <row r="139" spans="1:13" x14ac:dyDescent="0.3">
      <c r="A139" s="5" t="s">
        <v>840</v>
      </c>
      <c r="B139" s="5">
        <v>131</v>
      </c>
      <c r="C139" s="5">
        <v>8806455</v>
      </c>
      <c r="D139" s="5">
        <v>145906</v>
      </c>
      <c r="E139" s="5">
        <v>0</v>
      </c>
      <c r="F139" s="5">
        <v>0</v>
      </c>
      <c r="G139" s="5">
        <v>192504460</v>
      </c>
      <c r="H139" s="5">
        <v>2137701</v>
      </c>
      <c r="I139" s="5">
        <v>24305</v>
      </c>
      <c r="J139" s="5">
        <v>7092507</v>
      </c>
      <c r="K139" s="5">
        <v>35350</v>
      </c>
      <c r="L139" s="5" t="s">
        <v>936</v>
      </c>
      <c r="M139" s="5" t="s">
        <v>937</v>
      </c>
    </row>
    <row r="140" spans="1:13" x14ac:dyDescent="0.3">
      <c r="A140" s="5" t="s">
        <v>859</v>
      </c>
      <c r="B140" s="5">
        <v>154</v>
      </c>
      <c r="C140" s="5">
        <v>17385856</v>
      </c>
      <c r="D140" s="5">
        <v>144624</v>
      </c>
      <c r="E140" s="5">
        <v>371</v>
      </c>
      <c r="F140" s="5">
        <v>0</v>
      </c>
      <c r="G140" s="5">
        <v>239067716</v>
      </c>
      <c r="H140" s="5">
        <v>1832055</v>
      </c>
      <c r="I140" s="5">
        <v>19346</v>
      </c>
      <c r="J140" s="5">
        <v>5374699</v>
      </c>
      <c r="K140" s="5">
        <v>39333</v>
      </c>
      <c r="L140" s="5" t="s">
        <v>936</v>
      </c>
      <c r="M140" s="5" t="s">
        <v>962</v>
      </c>
    </row>
    <row r="141" spans="1:13" x14ac:dyDescent="0.3">
      <c r="A141" s="5" t="s">
        <v>969</v>
      </c>
      <c r="B141" s="5">
        <v>109</v>
      </c>
      <c r="C141" s="5">
        <v>22285797</v>
      </c>
      <c r="D141" s="5">
        <v>144377</v>
      </c>
      <c r="E141" s="5">
        <v>0</v>
      </c>
      <c r="F141" s="5">
        <v>0</v>
      </c>
      <c r="G141" s="5">
        <v>284538001</v>
      </c>
      <c r="H141" s="5">
        <v>2489118</v>
      </c>
      <c r="I141" s="5">
        <v>28126</v>
      </c>
      <c r="J141" s="5">
        <v>17338769</v>
      </c>
      <c r="K141" s="5">
        <v>34120</v>
      </c>
      <c r="L141" s="5" t="s">
        <v>936</v>
      </c>
      <c r="M141" s="5" t="s">
        <v>946</v>
      </c>
    </row>
    <row r="142" spans="1:13" x14ac:dyDescent="0.3">
      <c r="A142" s="5" t="s">
        <v>843</v>
      </c>
      <c r="B142" s="5">
        <v>135</v>
      </c>
      <c r="C142" s="5">
        <v>7296348</v>
      </c>
      <c r="D142" s="5">
        <v>140857</v>
      </c>
      <c r="E142" s="5">
        <v>1111</v>
      </c>
      <c r="F142" s="5">
        <v>0</v>
      </c>
      <c r="G142" s="5">
        <v>183627226</v>
      </c>
      <c r="H142" s="5">
        <v>2080941</v>
      </c>
      <c r="I142" s="5">
        <v>52372</v>
      </c>
      <c r="J142" s="5">
        <v>3519551</v>
      </c>
      <c r="K142" s="5">
        <v>34716</v>
      </c>
      <c r="L142" s="5" t="s">
        <v>936</v>
      </c>
      <c r="M142" s="5" t="s">
        <v>962</v>
      </c>
    </row>
    <row r="143" spans="1:13" x14ac:dyDescent="0.3">
      <c r="A143" s="5" t="s">
        <v>847</v>
      </c>
      <c r="B143" s="5">
        <v>140</v>
      </c>
      <c r="C143" s="5">
        <v>12865752</v>
      </c>
      <c r="D143" s="5">
        <v>140042</v>
      </c>
      <c r="E143" s="5">
        <v>0</v>
      </c>
      <c r="F143" s="5">
        <v>0</v>
      </c>
      <c r="G143" s="5">
        <v>173830641</v>
      </c>
      <c r="H143" s="5">
        <v>1875783</v>
      </c>
      <c r="I143" s="5">
        <v>42681</v>
      </c>
      <c r="J143" s="5">
        <v>3573341</v>
      </c>
      <c r="K143" s="5">
        <v>29863</v>
      </c>
      <c r="L143" s="5" t="s">
        <v>936</v>
      </c>
      <c r="M143" s="5" t="s">
        <v>937</v>
      </c>
    </row>
    <row r="144" spans="1:13" x14ac:dyDescent="0.3">
      <c r="A144" s="5" t="s">
        <v>852</v>
      </c>
      <c r="B144" s="5">
        <v>147</v>
      </c>
      <c r="C144" s="5">
        <v>19068562</v>
      </c>
      <c r="D144" s="5">
        <v>134707</v>
      </c>
      <c r="E144" s="5">
        <v>0</v>
      </c>
      <c r="F144" s="5">
        <v>0</v>
      </c>
      <c r="G144" s="5">
        <v>189171611</v>
      </c>
      <c r="H144" s="5">
        <v>1788699</v>
      </c>
      <c r="I144" s="5">
        <v>16492</v>
      </c>
      <c r="J144" s="5">
        <v>3417438</v>
      </c>
      <c r="K144" s="5">
        <v>32443</v>
      </c>
      <c r="L144" s="5" t="s">
        <v>936</v>
      </c>
      <c r="M144" s="5" t="s">
        <v>940</v>
      </c>
    </row>
    <row r="145" spans="1:13" x14ac:dyDescent="0.3">
      <c r="A145" s="5" t="s">
        <v>862</v>
      </c>
      <c r="B145" s="5">
        <v>161</v>
      </c>
      <c r="C145" s="5">
        <v>6917299</v>
      </c>
      <c r="D145" s="5">
        <v>132457</v>
      </c>
      <c r="E145" s="5">
        <v>0</v>
      </c>
      <c r="F145" s="5">
        <v>0</v>
      </c>
      <c r="G145" s="5">
        <v>237725834</v>
      </c>
      <c r="H145" s="5">
        <v>1516030</v>
      </c>
      <c r="I145" s="5">
        <v>21561</v>
      </c>
      <c r="J145" s="5">
        <v>2262023</v>
      </c>
      <c r="K145" s="5">
        <v>39026</v>
      </c>
      <c r="L145" s="5" t="s">
        <v>936</v>
      </c>
      <c r="M145" s="5" t="s">
        <v>944</v>
      </c>
    </row>
    <row r="146" spans="1:13" x14ac:dyDescent="0.3">
      <c r="A146" s="5" t="s">
        <v>845</v>
      </c>
      <c r="B146" s="5">
        <v>137</v>
      </c>
      <c r="C146" s="5">
        <v>16250984</v>
      </c>
      <c r="D146" s="5">
        <v>132055</v>
      </c>
      <c r="E146" s="5">
        <v>0</v>
      </c>
      <c r="F146" s="5">
        <v>0</v>
      </c>
      <c r="G146" s="5">
        <v>242385395</v>
      </c>
      <c r="H146" s="5">
        <v>1918989</v>
      </c>
      <c r="I146" s="5">
        <v>35605</v>
      </c>
      <c r="J146" s="5">
        <v>20487871</v>
      </c>
      <c r="K146" s="5">
        <v>37776</v>
      </c>
      <c r="L146" s="5" t="s">
        <v>936</v>
      </c>
      <c r="M146" s="5" t="s">
        <v>944</v>
      </c>
    </row>
    <row r="147" spans="1:13" x14ac:dyDescent="0.3">
      <c r="A147" s="5" t="s">
        <v>832</v>
      </c>
      <c r="B147" s="5">
        <v>124</v>
      </c>
      <c r="C147" s="5">
        <v>5802747</v>
      </c>
      <c r="D147" s="5">
        <v>130254</v>
      </c>
      <c r="E147" s="5">
        <v>8100</v>
      </c>
      <c r="F147" s="5">
        <v>0</v>
      </c>
      <c r="G147" s="5">
        <v>205028036</v>
      </c>
      <c r="H147" s="5">
        <v>2103438</v>
      </c>
      <c r="I147" s="5">
        <v>100452</v>
      </c>
      <c r="J147" s="5">
        <v>47067969</v>
      </c>
      <c r="K147" s="5">
        <v>30780</v>
      </c>
      <c r="L147" s="5" t="s">
        <v>936</v>
      </c>
      <c r="M147" s="5" t="s">
        <v>946</v>
      </c>
    </row>
    <row r="148" spans="1:13" x14ac:dyDescent="0.3">
      <c r="A148" s="5" t="s">
        <v>604</v>
      </c>
      <c r="B148" s="5">
        <v>133</v>
      </c>
      <c r="C148" s="5">
        <v>6104008</v>
      </c>
      <c r="D148" s="5">
        <v>129375</v>
      </c>
      <c r="E148" s="5">
        <v>350</v>
      </c>
      <c r="F148" s="5">
        <v>0</v>
      </c>
      <c r="G148" s="5">
        <v>235688775</v>
      </c>
      <c r="H148" s="5">
        <v>1977006</v>
      </c>
      <c r="I148" s="5">
        <v>25331</v>
      </c>
      <c r="J148" s="5">
        <v>6824601</v>
      </c>
      <c r="K148" s="5">
        <v>29543</v>
      </c>
      <c r="L148" s="5" t="s">
        <v>936</v>
      </c>
      <c r="M148" s="5" t="s">
        <v>945</v>
      </c>
    </row>
    <row r="149" spans="1:13" x14ac:dyDescent="0.3">
      <c r="A149" s="5" t="s">
        <v>885</v>
      </c>
      <c r="B149" s="5">
        <v>183</v>
      </c>
      <c r="C149" s="5">
        <v>11047622</v>
      </c>
      <c r="D149" s="5">
        <v>129083</v>
      </c>
      <c r="E149" s="5">
        <v>0</v>
      </c>
      <c r="F149" s="5">
        <v>0</v>
      </c>
      <c r="G149" s="5">
        <v>119031469</v>
      </c>
      <c r="H149" s="5">
        <v>1017349</v>
      </c>
      <c r="I149" s="5">
        <v>9001</v>
      </c>
      <c r="J149" s="5">
        <v>4030908</v>
      </c>
      <c r="K149" s="5">
        <v>30622</v>
      </c>
      <c r="L149" s="5" t="s">
        <v>936</v>
      </c>
      <c r="M149" s="5" t="s">
        <v>959</v>
      </c>
    </row>
    <row r="150" spans="1:13" x14ac:dyDescent="0.3">
      <c r="A150" s="5" t="s">
        <v>807</v>
      </c>
      <c r="B150" s="5">
        <v>82</v>
      </c>
      <c r="C150" s="5">
        <v>6392723</v>
      </c>
      <c r="D150" s="5">
        <v>127894</v>
      </c>
      <c r="E150" s="5">
        <v>0</v>
      </c>
      <c r="F150" s="5">
        <v>0</v>
      </c>
      <c r="G150" s="5">
        <v>275074644</v>
      </c>
      <c r="H150" s="5">
        <v>3334619</v>
      </c>
      <c r="I150" s="5">
        <v>33135</v>
      </c>
      <c r="J150" s="5">
        <v>3953012</v>
      </c>
      <c r="K150" s="5">
        <v>41473</v>
      </c>
      <c r="L150" s="5" t="s">
        <v>936</v>
      </c>
      <c r="M150" s="5" t="s">
        <v>939</v>
      </c>
    </row>
    <row r="151" spans="1:13" x14ac:dyDescent="0.3">
      <c r="A151" s="5" t="s">
        <v>828</v>
      </c>
      <c r="B151" s="5">
        <v>117</v>
      </c>
      <c r="C151" s="5">
        <v>7537336</v>
      </c>
      <c r="D151" s="5">
        <v>126857</v>
      </c>
      <c r="E151" s="5">
        <v>1350</v>
      </c>
      <c r="F151" s="5">
        <v>0</v>
      </c>
      <c r="G151" s="5">
        <v>201894571</v>
      </c>
      <c r="H151" s="5">
        <v>2229602</v>
      </c>
      <c r="I151" s="5">
        <v>53051</v>
      </c>
      <c r="J151" s="5">
        <v>13759215</v>
      </c>
      <c r="K151" s="5">
        <v>33869</v>
      </c>
      <c r="L151" s="5" t="s">
        <v>936</v>
      </c>
      <c r="M151" s="5" t="s">
        <v>946</v>
      </c>
    </row>
    <row r="152" spans="1:13" x14ac:dyDescent="0.3">
      <c r="A152" s="5" t="s">
        <v>970</v>
      </c>
      <c r="B152" s="5">
        <v>102</v>
      </c>
      <c r="C152" s="5">
        <v>5128085</v>
      </c>
      <c r="D152" s="5">
        <v>122989</v>
      </c>
      <c r="E152" s="5">
        <v>1250</v>
      </c>
      <c r="F152" s="5">
        <v>0</v>
      </c>
      <c r="G152" s="5">
        <v>210331252</v>
      </c>
      <c r="H152" s="5">
        <v>2487348</v>
      </c>
      <c r="I152" s="5">
        <v>47967</v>
      </c>
      <c r="J152" s="5">
        <v>9585335</v>
      </c>
      <c r="K152" s="5">
        <v>34420</v>
      </c>
      <c r="L152" s="5" t="s">
        <v>936</v>
      </c>
      <c r="M152" s="5" t="s">
        <v>939</v>
      </c>
    </row>
    <row r="153" spans="1:13" x14ac:dyDescent="0.3">
      <c r="A153" s="5" t="s">
        <v>858</v>
      </c>
      <c r="B153" s="5">
        <v>153</v>
      </c>
      <c r="C153" s="5">
        <v>15128068</v>
      </c>
      <c r="D153" s="5">
        <v>122557</v>
      </c>
      <c r="E153" s="5">
        <v>3150</v>
      </c>
      <c r="F153" s="5">
        <v>4760591</v>
      </c>
      <c r="G153" s="5">
        <v>246086177</v>
      </c>
      <c r="H153" s="5">
        <v>1556592</v>
      </c>
      <c r="I153" s="5">
        <v>42184</v>
      </c>
      <c r="J153" s="5">
        <v>38613980</v>
      </c>
      <c r="K153" s="5">
        <v>35010</v>
      </c>
      <c r="L153" s="5" t="s">
        <v>936</v>
      </c>
      <c r="M153" s="5" t="s">
        <v>942</v>
      </c>
    </row>
    <row r="154" spans="1:13" x14ac:dyDescent="0.3">
      <c r="A154" s="5" t="s">
        <v>882</v>
      </c>
      <c r="B154" s="5">
        <v>180</v>
      </c>
      <c r="C154" s="5">
        <v>5729191</v>
      </c>
      <c r="D154" s="5">
        <v>119589</v>
      </c>
      <c r="E154" s="5">
        <v>101</v>
      </c>
      <c r="F154" s="5">
        <v>0</v>
      </c>
      <c r="G154" s="5">
        <v>146051990</v>
      </c>
      <c r="H154" s="5">
        <v>1058086</v>
      </c>
      <c r="I154" s="5">
        <v>9990</v>
      </c>
      <c r="J154" s="5">
        <v>4024234</v>
      </c>
      <c r="K154" s="5">
        <v>30219</v>
      </c>
      <c r="L154" s="5" t="s">
        <v>936</v>
      </c>
      <c r="M154" s="5" t="s">
        <v>959</v>
      </c>
    </row>
    <row r="155" spans="1:13" x14ac:dyDescent="0.3">
      <c r="A155" s="5" t="s">
        <v>851</v>
      </c>
      <c r="B155" s="5">
        <v>144</v>
      </c>
      <c r="C155" s="5">
        <v>5901823</v>
      </c>
      <c r="D155" s="5">
        <v>119337</v>
      </c>
      <c r="E155" s="5">
        <v>4600</v>
      </c>
      <c r="F155" s="5">
        <v>0</v>
      </c>
      <c r="G155" s="5">
        <v>151178602</v>
      </c>
      <c r="H155" s="5">
        <v>1629780</v>
      </c>
      <c r="I155" s="5">
        <v>41970</v>
      </c>
      <c r="J155" s="5">
        <v>4801442</v>
      </c>
      <c r="K155" s="5">
        <v>30120</v>
      </c>
      <c r="L155" s="5" t="s">
        <v>936</v>
      </c>
      <c r="M155" s="5" t="s">
        <v>940</v>
      </c>
    </row>
    <row r="156" spans="1:13" x14ac:dyDescent="0.3">
      <c r="A156" s="5" t="s">
        <v>971</v>
      </c>
      <c r="B156" s="5">
        <v>125</v>
      </c>
      <c r="C156" s="5">
        <v>5900951</v>
      </c>
      <c r="D156" s="5">
        <v>118063</v>
      </c>
      <c r="E156" s="5">
        <v>0</v>
      </c>
      <c r="F156" s="5">
        <v>0</v>
      </c>
      <c r="G156" s="5">
        <v>228625952</v>
      </c>
      <c r="H156" s="5">
        <v>2172454</v>
      </c>
      <c r="I156" s="5">
        <v>32401</v>
      </c>
      <c r="J156" s="5">
        <v>3579744</v>
      </c>
      <c r="K156" s="5">
        <v>34430</v>
      </c>
      <c r="L156" s="5" t="s">
        <v>936</v>
      </c>
      <c r="M156" s="5" t="s">
        <v>942</v>
      </c>
    </row>
    <row r="157" spans="1:13" x14ac:dyDescent="0.3">
      <c r="A157" s="5" t="s">
        <v>887</v>
      </c>
      <c r="B157" s="5">
        <v>185</v>
      </c>
      <c r="C157" s="5">
        <v>3354504</v>
      </c>
      <c r="D157" s="5">
        <v>116047</v>
      </c>
      <c r="E157" s="5">
        <v>7800</v>
      </c>
      <c r="F157" s="5">
        <v>3755936</v>
      </c>
      <c r="G157" s="5">
        <v>91899271</v>
      </c>
      <c r="H157" s="5">
        <v>1197732</v>
      </c>
      <c r="I157" s="5">
        <v>93994</v>
      </c>
      <c r="J157" s="5">
        <v>55472702</v>
      </c>
      <c r="K157" s="5">
        <v>17291</v>
      </c>
      <c r="L157" s="5" t="s">
        <v>936</v>
      </c>
      <c r="M157" s="5" t="s">
        <v>937</v>
      </c>
    </row>
    <row r="158" spans="1:13" x14ac:dyDescent="0.3">
      <c r="A158" s="5" t="s">
        <v>877</v>
      </c>
      <c r="B158" s="5">
        <v>176</v>
      </c>
      <c r="C158" s="5">
        <v>5813457</v>
      </c>
      <c r="D158" s="5">
        <v>113065</v>
      </c>
      <c r="E158" s="5">
        <v>0</v>
      </c>
      <c r="F158" s="5">
        <v>2929423</v>
      </c>
      <c r="G158" s="5">
        <v>170256459</v>
      </c>
      <c r="H158" s="5">
        <v>1189760</v>
      </c>
      <c r="I158" s="5">
        <v>33003</v>
      </c>
      <c r="J158" s="5">
        <v>11408653</v>
      </c>
      <c r="K158" s="5">
        <v>33520</v>
      </c>
      <c r="L158" s="5" t="s">
        <v>936</v>
      </c>
      <c r="M158" s="5" t="s">
        <v>942</v>
      </c>
    </row>
    <row r="159" spans="1:13" x14ac:dyDescent="0.3">
      <c r="A159" s="5" t="s">
        <v>824</v>
      </c>
      <c r="B159" s="5">
        <v>106</v>
      </c>
      <c r="C159" s="5">
        <v>9752922</v>
      </c>
      <c r="D159" s="5">
        <v>112880</v>
      </c>
      <c r="E159" s="5">
        <v>350</v>
      </c>
      <c r="F159" s="5">
        <v>0</v>
      </c>
      <c r="G159" s="5">
        <v>216685363</v>
      </c>
      <c r="H159" s="5">
        <v>2356731</v>
      </c>
      <c r="I159" s="5">
        <v>1755</v>
      </c>
      <c r="J159" s="5">
        <v>5042586</v>
      </c>
      <c r="K159" s="5">
        <v>33513</v>
      </c>
      <c r="L159" s="5" t="s">
        <v>936</v>
      </c>
      <c r="M159" s="5" t="s">
        <v>959</v>
      </c>
    </row>
    <row r="160" spans="1:13" x14ac:dyDescent="0.3">
      <c r="A160" s="5" t="s">
        <v>879</v>
      </c>
      <c r="B160" s="5">
        <v>175</v>
      </c>
      <c r="C160" s="5">
        <v>5484453</v>
      </c>
      <c r="D160" s="5">
        <v>109729</v>
      </c>
      <c r="E160" s="5">
        <v>0</v>
      </c>
      <c r="F160" s="5">
        <v>0</v>
      </c>
      <c r="G160" s="5">
        <v>133828298</v>
      </c>
      <c r="H160" s="5">
        <v>1090103</v>
      </c>
      <c r="I160" s="5">
        <v>12762</v>
      </c>
      <c r="J160" s="5">
        <v>1523337</v>
      </c>
      <c r="K160" s="5">
        <v>28530</v>
      </c>
      <c r="L160" s="5" t="s">
        <v>936</v>
      </c>
      <c r="M160" s="5" t="s">
        <v>942</v>
      </c>
    </row>
    <row r="161" spans="1:13" x14ac:dyDescent="0.3">
      <c r="A161" s="5" t="s">
        <v>873</v>
      </c>
      <c r="B161" s="5">
        <v>171</v>
      </c>
      <c r="C161" s="5">
        <v>4522676</v>
      </c>
      <c r="D161" s="5">
        <v>108181</v>
      </c>
      <c r="E161" s="5">
        <v>0</v>
      </c>
      <c r="F161" s="5">
        <v>0</v>
      </c>
      <c r="G161" s="5">
        <v>184295438</v>
      </c>
      <c r="H161" s="5">
        <v>1413572</v>
      </c>
      <c r="I161" s="5">
        <v>32366</v>
      </c>
      <c r="J161" s="5">
        <v>6642651</v>
      </c>
      <c r="K161" s="5">
        <v>31383</v>
      </c>
      <c r="L161" s="5" t="s">
        <v>936</v>
      </c>
      <c r="M161" s="5" t="s">
        <v>937</v>
      </c>
    </row>
    <row r="162" spans="1:13" x14ac:dyDescent="0.3">
      <c r="A162" s="5" t="s">
        <v>972</v>
      </c>
      <c r="B162" s="5">
        <v>87</v>
      </c>
      <c r="C162" s="5">
        <v>12650298</v>
      </c>
      <c r="D162" s="5">
        <v>103195</v>
      </c>
      <c r="E162" s="5">
        <v>0</v>
      </c>
      <c r="F162" s="5">
        <v>0</v>
      </c>
      <c r="G162" s="5">
        <v>310830720</v>
      </c>
      <c r="H162" s="5">
        <v>3046457</v>
      </c>
      <c r="I162" s="5">
        <v>39882</v>
      </c>
      <c r="J162" s="5">
        <v>2716994</v>
      </c>
      <c r="K162" s="5">
        <v>38293</v>
      </c>
      <c r="L162" s="5" t="s">
        <v>936</v>
      </c>
      <c r="M162" s="5" t="s">
        <v>942</v>
      </c>
    </row>
    <row r="163" spans="1:13" x14ac:dyDescent="0.3">
      <c r="A163" s="5" t="s">
        <v>876</v>
      </c>
      <c r="B163" s="5">
        <v>174</v>
      </c>
      <c r="C163" s="5">
        <v>6411087</v>
      </c>
      <c r="D163" s="5">
        <v>100139</v>
      </c>
      <c r="E163" s="5">
        <v>700</v>
      </c>
      <c r="F163" s="5">
        <v>3325055</v>
      </c>
      <c r="G163" s="5">
        <v>185985516</v>
      </c>
      <c r="H163" s="5">
        <v>1116314</v>
      </c>
      <c r="I163" s="5">
        <v>28244</v>
      </c>
      <c r="J163" s="5">
        <v>13900776</v>
      </c>
      <c r="K163" s="5">
        <v>36300</v>
      </c>
      <c r="L163" s="5" t="s">
        <v>936</v>
      </c>
      <c r="M163" s="5" t="s">
        <v>945</v>
      </c>
    </row>
    <row r="164" spans="1:13" x14ac:dyDescent="0.3">
      <c r="A164" s="5" t="s">
        <v>854</v>
      </c>
      <c r="B164" s="5">
        <v>149</v>
      </c>
      <c r="C164" s="5">
        <v>4969473</v>
      </c>
      <c r="D164" s="5">
        <v>99421</v>
      </c>
      <c r="E164" s="5">
        <v>0</v>
      </c>
      <c r="F164" s="5">
        <v>0</v>
      </c>
      <c r="G164" s="5">
        <v>204279749</v>
      </c>
      <c r="H164" s="5">
        <v>1588857</v>
      </c>
      <c r="I164" s="5">
        <v>25971</v>
      </c>
      <c r="J164" s="5">
        <v>3243805</v>
      </c>
      <c r="K164" s="5">
        <v>19393</v>
      </c>
      <c r="L164" s="5" t="s">
        <v>936</v>
      </c>
      <c r="M164" s="5" t="s">
        <v>942</v>
      </c>
    </row>
    <row r="165" spans="1:13" x14ac:dyDescent="0.3">
      <c r="A165" s="5" t="s">
        <v>848</v>
      </c>
      <c r="B165" s="5">
        <v>143</v>
      </c>
      <c r="C165" s="5">
        <v>4294197</v>
      </c>
      <c r="D165" s="5">
        <v>97709</v>
      </c>
      <c r="E165" s="5">
        <v>500</v>
      </c>
      <c r="F165" s="5">
        <v>0</v>
      </c>
      <c r="G165" s="5">
        <v>197353525</v>
      </c>
      <c r="H165" s="5">
        <v>1914573</v>
      </c>
      <c r="I165" s="5">
        <v>41537</v>
      </c>
      <c r="J165" s="5">
        <v>6223868</v>
      </c>
      <c r="K165" s="5">
        <v>38239</v>
      </c>
      <c r="L165" s="5" t="s">
        <v>936</v>
      </c>
      <c r="M165" s="5" t="s">
        <v>945</v>
      </c>
    </row>
    <row r="166" spans="1:13" x14ac:dyDescent="0.3">
      <c r="A166" s="5" t="s">
        <v>891</v>
      </c>
      <c r="B166" s="5">
        <v>188</v>
      </c>
      <c r="C166" s="5">
        <v>7007680</v>
      </c>
      <c r="D166" s="5">
        <v>95032</v>
      </c>
      <c r="E166" s="5">
        <v>50</v>
      </c>
      <c r="F166" s="5">
        <v>8153338</v>
      </c>
      <c r="G166" s="5">
        <v>52082757</v>
      </c>
      <c r="H166" s="5">
        <v>401129</v>
      </c>
      <c r="I166" s="5">
        <v>12150</v>
      </c>
      <c r="J166" s="5">
        <v>39128579</v>
      </c>
      <c r="K166" s="5">
        <v>20893</v>
      </c>
      <c r="L166" s="5" t="s">
        <v>973</v>
      </c>
      <c r="M166" s="5" t="s">
        <v>959</v>
      </c>
    </row>
    <row r="167" spans="1:13" x14ac:dyDescent="0.3">
      <c r="A167" s="5" t="s">
        <v>844</v>
      </c>
      <c r="B167" s="5">
        <v>139</v>
      </c>
      <c r="C167" s="5">
        <v>5844456</v>
      </c>
      <c r="D167" s="5">
        <v>90091</v>
      </c>
      <c r="E167" s="5">
        <v>50</v>
      </c>
      <c r="F167" s="5">
        <v>0</v>
      </c>
      <c r="G167" s="5">
        <v>223725909</v>
      </c>
      <c r="H167" s="5">
        <v>1936425</v>
      </c>
      <c r="I167" s="5">
        <v>45404</v>
      </c>
      <c r="J167" s="5">
        <v>9247747</v>
      </c>
      <c r="K167" s="5">
        <v>33140</v>
      </c>
      <c r="L167" s="5" t="s">
        <v>936</v>
      </c>
      <c r="M167" s="5" t="s">
        <v>939</v>
      </c>
    </row>
    <row r="168" spans="1:13" x14ac:dyDescent="0.3">
      <c r="A168" s="5" t="s">
        <v>974</v>
      </c>
      <c r="B168" s="5">
        <v>142</v>
      </c>
      <c r="C168" s="5">
        <v>4074128</v>
      </c>
      <c r="D168" s="5">
        <v>89484</v>
      </c>
      <c r="E168" s="5">
        <v>0</v>
      </c>
      <c r="F168" s="5">
        <v>1175742</v>
      </c>
      <c r="G168" s="5">
        <v>204554934</v>
      </c>
      <c r="H168" s="5">
        <v>1894405</v>
      </c>
      <c r="I168" s="5">
        <v>22836</v>
      </c>
      <c r="J168" s="5">
        <v>7686182</v>
      </c>
      <c r="K168" s="5">
        <v>36490</v>
      </c>
      <c r="L168" s="5" t="s">
        <v>936</v>
      </c>
      <c r="M168" s="5" t="s">
        <v>942</v>
      </c>
    </row>
    <row r="169" spans="1:13" x14ac:dyDescent="0.3">
      <c r="A169" s="5" t="s">
        <v>975</v>
      </c>
      <c r="B169" s="5">
        <v>151</v>
      </c>
      <c r="C169" s="5">
        <v>3812658</v>
      </c>
      <c r="D169" s="5">
        <v>87795</v>
      </c>
      <c r="E169" s="5">
        <v>2150</v>
      </c>
      <c r="F169" s="5">
        <v>0</v>
      </c>
      <c r="G169" s="5">
        <v>156158084</v>
      </c>
      <c r="H169" s="5">
        <v>1664424</v>
      </c>
      <c r="I169" s="5">
        <v>56279</v>
      </c>
      <c r="J169" s="5">
        <v>5539743</v>
      </c>
      <c r="K169" s="5">
        <v>35100</v>
      </c>
      <c r="L169" s="5" t="s">
        <v>936</v>
      </c>
      <c r="M169" s="5" t="s">
        <v>945</v>
      </c>
    </row>
    <row r="170" spans="1:13" x14ac:dyDescent="0.3">
      <c r="A170" s="5" t="s">
        <v>976</v>
      </c>
      <c r="B170" s="5">
        <v>111</v>
      </c>
      <c r="C170" s="5">
        <v>3738516</v>
      </c>
      <c r="D170" s="5">
        <v>83847</v>
      </c>
      <c r="E170" s="5">
        <v>50</v>
      </c>
      <c r="F170" s="5">
        <v>0</v>
      </c>
      <c r="G170" s="5">
        <v>234127000</v>
      </c>
      <c r="H170" s="5">
        <v>2675175</v>
      </c>
      <c r="I170" s="5">
        <v>17822</v>
      </c>
      <c r="J170" s="5">
        <v>7382587</v>
      </c>
      <c r="K170" s="5">
        <v>36150</v>
      </c>
      <c r="L170" s="5" t="s">
        <v>936</v>
      </c>
      <c r="M170" s="5" t="s">
        <v>942</v>
      </c>
    </row>
    <row r="171" spans="1:13" x14ac:dyDescent="0.3">
      <c r="A171" s="5" t="s">
        <v>878</v>
      </c>
      <c r="B171" s="5">
        <v>177</v>
      </c>
      <c r="C171" s="5">
        <v>11971406</v>
      </c>
      <c r="D171" s="5">
        <v>83745</v>
      </c>
      <c r="E171" s="5">
        <v>0</v>
      </c>
      <c r="F171" s="5">
        <v>0</v>
      </c>
      <c r="G171" s="5">
        <v>133921302</v>
      </c>
      <c r="H171" s="5">
        <v>1040386</v>
      </c>
      <c r="I171" s="5">
        <v>26525</v>
      </c>
      <c r="J171" s="5">
        <v>3024324</v>
      </c>
      <c r="K171" s="5">
        <v>34310</v>
      </c>
      <c r="L171" s="5" t="s">
        <v>936</v>
      </c>
      <c r="M171" s="5" t="s">
        <v>962</v>
      </c>
    </row>
    <row r="172" spans="1:13" x14ac:dyDescent="0.3">
      <c r="A172" s="5" t="s">
        <v>874</v>
      </c>
      <c r="B172" s="5">
        <v>172</v>
      </c>
      <c r="C172" s="5">
        <v>12691815</v>
      </c>
      <c r="D172" s="5">
        <v>82044</v>
      </c>
      <c r="E172" s="5">
        <v>0</v>
      </c>
      <c r="F172" s="5">
        <v>0</v>
      </c>
      <c r="G172" s="5">
        <v>180276763</v>
      </c>
      <c r="H172" s="5">
        <v>1143428</v>
      </c>
      <c r="I172" s="5">
        <v>8598</v>
      </c>
      <c r="J172" s="5">
        <v>6385331</v>
      </c>
      <c r="K172" s="5">
        <v>36246</v>
      </c>
      <c r="L172" s="5" t="s">
        <v>936</v>
      </c>
      <c r="M172" s="5" t="s">
        <v>937</v>
      </c>
    </row>
    <row r="173" spans="1:13" x14ac:dyDescent="0.3">
      <c r="A173" s="5" t="s">
        <v>853</v>
      </c>
      <c r="B173" s="5">
        <v>150</v>
      </c>
      <c r="C173" s="5">
        <v>4037544</v>
      </c>
      <c r="D173" s="5">
        <v>78763</v>
      </c>
      <c r="E173" s="5">
        <v>0</v>
      </c>
      <c r="F173" s="5">
        <v>0</v>
      </c>
      <c r="G173" s="5">
        <v>145472647</v>
      </c>
      <c r="H173" s="5">
        <v>1560381</v>
      </c>
      <c r="I173" s="5">
        <v>36309</v>
      </c>
      <c r="J173" s="5">
        <v>53580116</v>
      </c>
      <c r="K173" s="5">
        <v>27530</v>
      </c>
      <c r="L173" s="5" t="s">
        <v>936</v>
      </c>
      <c r="M173" s="5" t="s">
        <v>943</v>
      </c>
    </row>
    <row r="174" spans="1:13" x14ac:dyDescent="0.3">
      <c r="A174" s="5" t="s">
        <v>860</v>
      </c>
      <c r="B174" s="5">
        <v>156</v>
      </c>
      <c r="C174" s="5">
        <v>3721807</v>
      </c>
      <c r="D174" s="5">
        <v>74955</v>
      </c>
      <c r="E174" s="5">
        <v>900</v>
      </c>
      <c r="F174" s="5">
        <v>5188039</v>
      </c>
      <c r="G174" s="5">
        <v>118675364</v>
      </c>
      <c r="H174" s="5">
        <v>1583639</v>
      </c>
      <c r="I174" s="5">
        <v>15070</v>
      </c>
      <c r="J174" s="5">
        <v>30769049</v>
      </c>
      <c r="K174" s="5">
        <v>31583</v>
      </c>
      <c r="L174" s="5" t="s">
        <v>936</v>
      </c>
      <c r="M174" s="5" t="s">
        <v>946</v>
      </c>
    </row>
    <row r="175" spans="1:13" x14ac:dyDescent="0.3">
      <c r="A175" s="5" t="s">
        <v>883</v>
      </c>
      <c r="B175" s="5">
        <v>182</v>
      </c>
      <c r="C175" s="5">
        <v>6225278</v>
      </c>
      <c r="D175" s="5">
        <v>68674</v>
      </c>
      <c r="E175" s="5">
        <v>400</v>
      </c>
      <c r="F175" s="5">
        <v>0</v>
      </c>
      <c r="G175" s="5">
        <v>118750329</v>
      </c>
      <c r="H175" s="5">
        <v>890914</v>
      </c>
      <c r="I175" s="5">
        <v>19725</v>
      </c>
      <c r="J175" s="5">
        <v>8057288</v>
      </c>
      <c r="K175" s="5">
        <v>37120</v>
      </c>
      <c r="L175" s="5" t="s">
        <v>936</v>
      </c>
      <c r="M175" s="5" t="s">
        <v>962</v>
      </c>
    </row>
    <row r="176" spans="1:13" x14ac:dyDescent="0.3">
      <c r="A176" s="5" t="s">
        <v>977</v>
      </c>
      <c r="B176" s="5">
        <v>163</v>
      </c>
      <c r="C176" s="5">
        <v>3217966</v>
      </c>
      <c r="D176" s="5">
        <v>67641</v>
      </c>
      <c r="E176" s="5">
        <v>0</v>
      </c>
      <c r="F176" s="5">
        <v>453192</v>
      </c>
      <c r="G176" s="5">
        <v>175635223</v>
      </c>
      <c r="H176" s="5">
        <v>1641361</v>
      </c>
      <c r="I176" s="5">
        <v>5892</v>
      </c>
      <c r="J176" s="5">
        <v>9466611</v>
      </c>
      <c r="K176" s="5">
        <v>36970</v>
      </c>
      <c r="L176" s="5" t="s">
        <v>936</v>
      </c>
      <c r="M176" s="5" t="s">
        <v>959</v>
      </c>
    </row>
    <row r="177" spans="1:13" x14ac:dyDescent="0.3">
      <c r="A177" s="5" t="s">
        <v>868</v>
      </c>
      <c r="B177" s="5">
        <v>168</v>
      </c>
      <c r="C177" s="5">
        <v>3319314</v>
      </c>
      <c r="D177" s="5">
        <v>66405</v>
      </c>
      <c r="E177" s="5">
        <v>350</v>
      </c>
      <c r="F177" s="5">
        <v>0</v>
      </c>
      <c r="G177" s="5">
        <v>127849451</v>
      </c>
      <c r="H177" s="5">
        <v>1256924</v>
      </c>
      <c r="I177" s="5">
        <v>15497</v>
      </c>
      <c r="J177" s="5">
        <v>28887565</v>
      </c>
      <c r="K177" s="5">
        <v>33000</v>
      </c>
      <c r="L177" s="5" t="s">
        <v>936</v>
      </c>
      <c r="M177" s="5" t="s">
        <v>962</v>
      </c>
    </row>
    <row r="178" spans="1:13" x14ac:dyDescent="0.3">
      <c r="A178" s="5" t="s">
        <v>850</v>
      </c>
      <c r="B178" s="5">
        <v>146</v>
      </c>
      <c r="C178" s="5">
        <v>3310457</v>
      </c>
      <c r="D178" s="5">
        <v>66234</v>
      </c>
      <c r="E178" s="5">
        <v>350</v>
      </c>
      <c r="F178" s="5">
        <v>0</v>
      </c>
      <c r="G178" s="5">
        <v>163071719</v>
      </c>
      <c r="H178" s="5">
        <v>1667153</v>
      </c>
      <c r="I178" s="5">
        <v>39678</v>
      </c>
      <c r="J178" s="5">
        <v>2328448</v>
      </c>
      <c r="K178" s="5">
        <v>30100</v>
      </c>
      <c r="L178" s="5" t="s">
        <v>936</v>
      </c>
      <c r="M178" s="5" t="s">
        <v>944</v>
      </c>
    </row>
    <row r="179" spans="1:13" x14ac:dyDescent="0.3">
      <c r="A179" s="5" t="s">
        <v>866</v>
      </c>
      <c r="B179" s="5">
        <v>165</v>
      </c>
      <c r="C179" s="5">
        <v>6883515</v>
      </c>
      <c r="D179" s="5">
        <v>61008</v>
      </c>
      <c r="E179" s="5">
        <v>350</v>
      </c>
      <c r="F179" s="5">
        <v>0</v>
      </c>
      <c r="G179" s="5">
        <v>196118609</v>
      </c>
      <c r="H179" s="5">
        <v>1194699</v>
      </c>
      <c r="I179" s="5">
        <v>81093</v>
      </c>
      <c r="J179" s="5">
        <v>2792897</v>
      </c>
      <c r="K179" s="5">
        <v>35160</v>
      </c>
      <c r="L179" s="5" t="s">
        <v>936</v>
      </c>
      <c r="M179" s="5" t="s">
        <v>944</v>
      </c>
    </row>
    <row r="180" spans="1:13" x14ac:dyDescent="0.3">
      <c r="A180" s="5" t="s">
        <v>875</v>
      </c>
      <c r="B180" s="5">
        <v>173</v>
      </c>
      <c r="C180" s="5">
        <v>17497906</v>
      </c>
      <c r="D180" s="5">
        <v>58626</v>
      </c>
      <c r="E180" s="5">
        <v>350</v>
      </c>
      <c r="F180" s="5">
        <v>3192867</v>
      </c>
      <c r="G180" s="5">
        <v>216317126</v>
      </c>
      <c r="H180" s="5">
        <v>1009085</v>
      </c>
      <c r="I180" s="5">
        <v>45474</v>
      </c>
      <c r="J180" s="5">
        <v>16918918</v>
      </c>
      <c r="K180" s="5">
        <v>39720</v>
      </c>
      <c r="L180" s="5" t="s">
        <v>936</v>
      </c>
      <c r="M180" s="5" t="s">
        <v>962</v>
      </c>
    </row>
    <row r="181" spans="1:13" x14ac:dyDescent="0.3">
      <c r="A181" s="5" t="s">
        <v>889</v>
      </c>
      <c r="B181" s="5">
        <v>187</v>
      </c>
      <c r="C181" s="5">
        <v>3282636</v>
      </c>
      <c r="D181" s="5">
        <v>54768</v>
      </c>
      <c r="E181" s="5">
        <v>0</v>
      </c>
      <c r="F181" s="5">
        <v>0</v>
      </c>
      <c r="G181" s="5">
        <v>127493277</v>
      </c>
      <c r="H181" s="5">
        <v>708655</v>
      </c>
      <c r="I181" s="5">
        <v>30181</v>
      </c>
      <c r="J181" s="5">
        <v>5178541</v>
      </c>
      <c r="K181" s="5">
        <v>30663</v>
      </c>
      <c r="L181" s="5" t="s">
        <v>936</v>
      </c>
      <c r="M181" s="5" t="s">
        <v>962</v>
      </c>
    </row>
    <row r="182" spans="1:13" x14ac:dyDescent="0.3">
      <c r="A182" s="5" t="s">
        <v>890</v>
      </c>
      <c r="B182" s="5">
        <v>189</v>
      </c>
      <c r="C182" s="5">
        <v>3793631</v>
      </c>
      <c r="D182" s="5">
        <v>52972</v>
      </c>
      <c r="E182" s="5">
        <v>0</v>
      </c>
      <c r="F182" s="5">
        <v>0</v>
      </c>
      <c r="G182" s="5">
        <v>92696572</v>
      </c>
      <c r="H182" s="5">
        <v>629667</v>
      </c>
      <c r="I182" s="5">
        <v>11620</v>
      </c>
      <c r="J182" s="5">
        <v>11815276</v>
      </c>
      <c r="K182" s="5">
        <v>28990</v>
      </c>
      <c r="L182" s="5" t="s">
        <v>936</v>
      </c>
      <c r="M182" s="5" t="s">
        <v>942</v>
      </c>
    </row>
    <row r="183" spans="1:13" x14ac:dyDescent="0.3">
      <c r="A183" s="5" t="s">
        <v>842</v>
      </c>
      <c r="B183" s="5">
        <v>134</v>
      </c>
      <c r="C183" s="5">
        <v>3239795</v>
      </c>
      <c r="D183" s="5">
        <v>52846</v>
      </c>
      <c r="E183" s="5">
        <v>350</v>
      </c>
      <c r="F183" s="5">
        <v>0</v>
      </c>
      <c r="G183" s="5">
        <v>202254484</v>
      </c>
      <c r="H183" s="5">
        <v>1653473</v>
      </c>
      <c r="I183" s="5">
        <v>81866</v>
      </c>
      <c r="J183" s="5">
        <v>3770795</v>
      </c>
      <c r="K183" s="5">
        <v>36440</v>
      </c>
      <c r="L183" s="5" t="s">
        <v>936</v>
      </c>
      <c r="M183" s="5" t="s">
        <v>946</v>
      </c>
    </row>
    <row r="184" spans="1:13" x14ac:dyDescent="0.3">
      <c r="A184" s="5" t="s">
        <v>880</v>
      </c>
      <c r="B184" s="5">
        <v>178</v>
      </c>
      <c r="C184" s="5">
        <v>9032587</v>
      </c>
      <c r="D184" s="5">
        <v>50313</v>
      </c>
      <c r="E184" s="5">
        <v>900</v>
      </c>
      <c r="F184" s="5">
        <v>0</v>
      </c>
      <c r="G184" s="5">
        <v>143316126</v>
      </c>
      <c r="H184" s="5">
        <v>1015768</v>
      </c>
      <c r="I184" s="5">
        <v>49572</v>
      </c>
      <c r="J184" s="5">
        <v>2022935</v>
      </c>
      <c r="K184" s="5">
        <v>32480</v>
      </c>
      <c r="L184" s="5" t="s">
        <v>936</v>
      </c>
      <c r="M184" s="5" t="s">
        <v>942</v>
      </c>
    </row>
    <row r="185" spans="1:13" x14ac:dyDescent="0.3">
      <c r="A185" s="5" t="s">
        <v>888</v>
      </c>
      <c r="B185" s="5">
        <v>186</v>
      </c>
      <c r="C185" s="5">
        <v>1957614</v>
      </c>
      <c r="D185" s="5">
        <v>37844</v>
      </c>
      <c r="E185" s="5">
        <v>0</v>
      </c>
      <c r="F185" s="5">
        <v>0</v>
      </c>
      <c r="G185" s="5">
        <v>116099682</v>
      </c>
      <c r="H185" s="5">
        <v>733910</v>
      </c>
      <c r="I185" s="5">
        <v>29022</v>
      </c>
      <c r="J185" s="5">
        <v>10097123</v>
      </c>
      <c r="K185" s="5">
        <v>30910</v>
      </c>
      <c r="L185" s="5" t="s">
        <v>936</v>
      </c>
      <c r="M185" s="5" t="s">
        <v>937</v>
      </c>
    </row>
    <row r="186" spans="1:13" x14ac:dyDescent="0.3">
      <c r="A186" s="5" t="s">
        <v>788</v>
      </c>
      <c r="B186" s="5">
        <v>61</v>
      </c>
      <c r="C186" s="5">
        <v>6186920</v>
      </c>
      <c r="D186" s="5">
        <v>35630</v>
      </c>
      <c r="E186" s="5">
        <v>0</v>
      </c>
      <c r="F186" s="5">
        <v>0</v>
      </c>
      <c r="G186" s="5">
        <v>282907735</v>
      </c>
      <c r="H186" s="5">
        <v>3253203</v>
      </c>
      <c r="I186" s="5">
        <v>47690</v>
      </c>
      <c r="J186" s="5">
        <v>3359356</v>
      </c>
      <c r="K186" s="5">
        <v>42863</v>
      </c>
      <c r="L186" s="5" t="s">
        <v>936</v>
      </c>
      <c r="M186" s="5" t="s">
        <v>944</v>
      </c>
    </row>
    <row r="187" spans="1:13" x14ac:dyDescent="0.3">
      <c r="A187" s="5" t="s">
        <v>896</v>
      </c>
      <c r="B187" s="5">
        <v>194</v>
      </c>
      <c r="C187" s="5">
        <v>5113699</v>
      </c>
      <c r="D187" s="5">
        <v>35397</v>
      </c>
      <c r="E187" s="5">
        <v>0</v>
      </c>
      <c r="F187" s="5">
        <v>0</v>
      </c>
      <c r="G187" s="5">
        <v>136722258</v>
      </c>
      <c r="H187" s="5">
        <v>458178</v>
      </c>
      <c r="I187" s="5">
        <v>11758</v>
      </c>
      <c r="J187" s="5">
        <v>3383621</v>
      </c>
      <c r="K187" s="5">
        <v>27840</v>
      </c>
      <c r="L187" s="5" t="s">
        <v>936</v>
      </c>
      <c r="M187" s="5" t="s">
        <v>962</v>
      </c>
    </row>
    <row r="188" spans="1:13" x14ac:dyDescent="0.3">
      <c r="A188" s="5" t="s">
        <v>881</v>
      </c>
      <c r="B188" s="5">
        <v>179</v>
      </c>
      <c r="C188" s="5">
        <v>1759290</v>
      </c>
      <c r="D188" s="5">
        <v>35197</v>
      </c>
      <c r="E188" s="5">
        <v>0</v>
      </c>
      <c r="F188" s="5">
        <v>0</v>
      </c>
      <c r="G188" s="5">
        <v>134966820</v>
      </c>
      <c r="H188" s="5">
        <v>955363</v>
      </c>
      <c r="I188" s="5">
        <v>5980</v>
      </c>
      <c r="J188" s="5">
        <v>3912709</v>
      </c>
      <c r="K188" s="5">
        <v>32133</v>
      </c>
      <c r="L188" s="5" t="s">
        <v>936</v>
      </c>
      <c r="M188" s="5" t="s">
        <v>940</v>
      </c>
    </row>
    <row r="189" spans="1:13" x14ac:dyDescent="0.3">
      <c r="A189" s="5" t="s">
        <v>861</v>
      </c>
      <c r="B189" s="5">
        <v>157</v>
      </c>
      <c r="C189" s="5">
        <v>3895817</v>
      </c>
      <c r="D189" s="5">
        <v>32119</v>
      </c>
      <c r="E189" s="5">
        <v>1400</v>
      </c>
      <c r="F189" s="5">
        <v>0</v>
      </c>
      <c r="G189" s="5">
        <v>170353911</v>
      </c>
      <c r="H189" s="5">
        <v>1340935</v>
      </c>
      <c r="I189" s="5">
        <v>41818</v>
      </c>
      <c r="J189" s="5">
        <v>12560636</v>
      </c>
      <c r="K189" s="5">
        <v>33233</v>
      </c>
      <c r="L189" s="5" t="s">
        <v>936</v>
      </c>
      <c r="M189" s="5" t="s">
        <v>942</v>
      </c>
    </row>
    <row r="190" spans="1:13" x14ac:dyDescent="0.3">
      <c r="A190" s="5" t="s">
        <v>898</v>
      </c>
      <c r="B190" s="5">
        <v>196</v>
      </c>
      <c r="C190" s="5">
        <v>1145757</v>
      </c>
      <c r="D190" s="5">
        <v>29959</v>
      </c>
      <c r="E190" s="5">
        <v>350</v>
      </c>
      <c r="F190" s="5">
        <v>0</v>
      </c>
      <c r="G190" s="5">
        <v>80303753</v>
      </c>
      <c r="H190" s="5">
        <v>454143</v>
      </c>
      <c r="I190" s="5">
        <v>15966</v>
      </c>
      <c r="J190" s="5">
        <v>34567796</v>
      </c>
      <c r="K190" s="5">
        <v>22563</v>
      </c>
      <c r="L190" s="5" t="s">
        <v>936</v>
      </c>
      <c r="M190" s="5" t="s">
        <v>937</v>
      </c>
    </row>
    <row r="191" spans="1:13" x14ac:dyDescent="0.3">
      <c r="A191" s="5" t="s">
        <v>899</v>
      </c>
      <c r="B191" s="5">
        <v>197</v>
      </c>
      <c r="C191" s="5">
        <v>4015541</v>
      </c>
      <c r="D191" s="5">
        <v>29579</v>
      </c>
      <c r="E191" s="5">
        <v>450</v>
      </c>
      <c r="F191" s="5">
        <v>0</v>
      </c>
      <c r="G191" s="5">
        <v>67408867</v>
      </c>
      <c r="H191" s="5">
        <v>385473</v>
      </c>
      <c r="I191" s="5">
        <v>28536</v>
      </c>
      <c r="J191" s="5">
        <v>64649956</v>
      </c>
      <c r="K191" s="5">
        <v>23403</v>
      </c>
      <c r="L191" s="5" t="s">
        <v>936</v>
      </c>
      <c r="M191" s="5" t="s">
        <v>945</v>
      </c>
    </row>
    <row r="192" spans="1:13" x14ac:dyDescent="0.3">
      <c r="A192" s="5" t="s">
        <v>764</v>
      </c>
      <c r="B192" s="5">
        <v>32</v>
      </c>
      <c r="C192" s="5">
        <v>1822798</v>
      </c>
      <c r="D192" s="5">
        <v>25282</v>
      </c>
      <c r="E192" s="5">
        <v>0</v>
      </c>
      <c r="F192" s="5">
        <v>0</v>
      </c>
      <c r="G192" s="5">
        <v>318407574</v>
      </c>
      <c r="H192" s="5">
        <v>3713739</v>
      </c>
      <c r="I192" s="5">
        <v>28495</v>
      </c>
      <c r="J192" s="5">
        <v>4597158</v>
      </c>
      <c r="K192" s="5">
        <v>31030</v>
      </c>
      <c r="L192" s="5" t="s">
        <v>936</v>
      </c>
      <c r="M192" s="5" t="s">
        <v>946</v>
      </c>
    </row>
    <row r="193" spans="1:13" x14ac:dyDescent="0.3">
      <c r="A193" s="5" t="s">
        <v>892</v>
      </c>
      <c r="B193" s="5">
        <v>190</v>
      </c>
      <c r="C193" s="5">
        <v>1148079</v>
      </c>
      <c r="D193" s="5">
        <v>22971</v>
      </c>
      <c r="E193" s="5">
        <v>0</v>
      </c>
      <c r="F193" s="5">
        <v>0</v>
      </c>
      <c r="G193" s="5">
        <v>107881253</v>
      </c>
      <c r="H193" s="5">
        <v>601873</v>
      </c>
      <c r="I193" s="5">
        <v>4977</v>
      </c>
      <c r="J193" s="5">
        <v>15924862</v>
      </c>
      <c r="K193" s="5">
        <v>33603</v>
      </c>
      <c r="L193" s="5" t="s">
        <v>936</v>
      </c>
      <c r="M193" s="5" t="s">
        <v>962</v>
      </c>
    </row>
    <row r="194" spans="1:13" x14ac:dyDescent="0.3">
      <c r="A194" s="5" t="s">
        <v>900</v>
      </c>
      <c r="B194" s="5">
        <v>198</v>
      </c>
      <c r="C194" s="5">
        <v>771323</v>
      </c>
      <c r="D194" s="5">
        <v>21938</v>
      </c>
      <c r="E194" s="5">
        <v>3050</v>
      </c>
      <c r="F194" s="5">
        <v>0</v>
      </c>
      <c r="G194" s="5">
        <v>48579177</v>
      </c>
      <c r="H194" s="5">
        <v>257730</v>
      </c>
      <c r="I194" s="5">
        <v>16375</v>
      </c>
      <c r="J194" s="5">
        <v>62304170</v>
      </c>
      <c r="K194" s="5">
        <v>17470</v>
      </c>
      <c r="L194" s="5" t="s">
        <v>936</v>
      </c>
      <c r="M194" s="5" t="s">
        <v>937</v>
      </c>
    </row>
    <row r="195" spans="1:13" x14ac:dyDescent="0.3">
      <c r="A195" s="5" t="s">
        <v>893</v>
      </c>
      <c r="B195" s="5">
        <v>191</v>
      </c>
      <c r="C195" s="5">
        <v>950545</v>
      </c>
      <c r="D195" s="5">
        <v>14294</v>
      </c>
      <c r="E195" s="5">
        <v>0</v>
      </c>
      <c r="F195" s="5">
        <v>23616899</v>
      </c>
      <c r="G195" s="5">
        <v>40681069</v>
      </c>
      <c r="H195" s="5">
        <v>417791</v>
      </c>
      <c r="I195" s="5">
        <v>75834</v>
      </c>
      <c r="J195" s="5">
        <v>250336647</v>
      </c>
      <c r="K195" s="5">
        <v>20480</v>
      </c>
      <c r="L195" s="5" t="s">
        <v>936</v>
      </c>
      <c r="M195" s="5" t="s">
        <v>937</v>
      </c>
    </row>
    <row r="196" spans="1:13" x14ac:dyDescent="0.3">
      <c r="A196" s="5" t="s">
        <v>894</v>
      </c>
      <c r="B196" s="5">
        <v>192</v>
      </c>
      <c r="C196" s="5">
        <v>696581</v>
      </c>
      <c r="D196" s="5">
        <v>13940</v>
      </c>
      <c r="E196" s="5">
        <v>350</v>
      </c>
      <c r="F196" s="5">
        <v>0</v>
      </c>
      <c r="G196" s="5">
        <v>98116901</v>
      </c>
      <c r="H196" s="5">
        <v>530601</v>
      </c>
      <c r="I196" s="5">
        <v>7644</v>
      </c>
      <c r="J196" s="5">
        <v>6188510</v>
      </c>
      <c r="K196" s="5">
        <v>25160</v>
      </c>
      <c r="L196" s="5" t="s">
        <v>936</v>
      </c>
      <c r="M196" s="5" t="s">
        <v>940</v>
      </c>
    </row>
    <row r="197" spans="1:13" x14ac:dyDescent="0.3">
      <c r="A197" s="5" t="s">
        <v>901</v>
      </c>
      <c r="B197" s="5">
        <v>199</v>
      </c>
      <c r="C197" s="5">
        <v>2800279</v>
      </c>
      <c r="D197" s="5">
        <v>4654</v>
      </c>
      <c r="E197" s="5">
        <v>0</v>
      </c>
      <c r="F197" s="5">
        <v>853698</v>
      </c>
      <c r="G197" s="5">
        <v>94710997</v>
      </c>
      <c r="H197" s="5">
        <v>224029</v>
      </c>
      <c r="I197" s="5">
        <v>23752</v>
      </c>
      <c r="J197" s="5">
        <v>51043346</v>
      </c>
      <c r="K197" s="5">
        <v>23610</v>
      </c>
      <c r="L197" s="5" t="s">
        <v>936</v>
      </c>
      <c r="M197" s="5" t="s">
        <v>937</v>
      </c>
    </row>
    <row r="198" spans="1:13" x14ac:dyDescent="0.3">
      <c r="A198" s="5" t="s">
        <v>895</v>
      </c>
      <c r="B198" s="5">
        <v>193</v>
      </c>
      <c r="C198" s="5">
        <v>1275030</v>
      </c>
      <c r="D198" s="5">
        <v>4437</v>
      </c>
      <c r="E198" s="5">
        <v>0</v>
      </c>
      <c r="F198" s="5">
        <v>0</v>
      </c>
      <c r="G198" s="5">
        <v>116145876</v>
      </c>
      <c r="H198" s="5">
        <v>449797</v>
      </c>
      <c r="I198" s="5">
        <v>12597</v>
      </c>
      <c r="J198" s="5">
        <v>9629723</v>
      </c>
      <c r="K198" s="5">
        <v>33729</v>
      </c>
      <c r="L198" s="5" t="s">
        <v>936</v>
      </c>
      <c r="M198" s="5" t="s">
        <v>962</v>
      </c>
    </row>
    <row r="199" spans="1:13" x14ac:dyDescent="0.3">
      <c r="A199" s="5" t="s">
        <v>856</v>
      </c>
      <c r="B199" s="5">
        <v>152</v>
      </c>
      <c r="C199" s="5">
        <v>0</v>
      </c>
      <c r="D199" s="5">
        <v>0</v>
      </c>
      <c r="E199" s="5">
        <v>0</v>
      </c>
      <c r="F199" s="5">
        <v>0</v>
      </c>
      <c r="G199" s="5">
        <v>116690221</v>
      </c>
      <c r="H199" s="5">
        <v>1548758</v>
      </c>
      <c r="I199" s="5">
        <v>38444</v>
      </c>
      <c r="J199" s="5">
        <v>37620030</v>
      </c>
      <c r="K199" s="5">
        <v>17328</v>
      </c>
      <c r="L199" s="5" t="s">
        <v>936</v>
      </c>
      <c r="M199" s="5" t="s">
        <v>939</v>
      </c>
    </row>
    <row r="200" spans="1:13" x14ac:dyDescent="0.3">
      <c r="A200" s="5" t="s">
        <v>897</v>
      </c>
      <c r="B200" s="5">
        <v>195</v>
      </c>
      <c r="C200" s="5">
        <v>0</v>
      </c>
      <c r="D200" s="5">
        <v>0</v>
      </c>
      <c r="E200" s="5">
        <v>0</v>
      </c>
      <c r="F200" s="5">
        <v>0</v>
      </c>
      <c r="G200" s="5">
        <v>56342414</v>
      </c>
      <c r="H200" s="5">
        <v>305271</v>
      </c>
      <c r="I200" s="5">
        <v>5816</v>
      </c>
      <c r="J200" s="5">
        <v>2216756</v>
      </c>
      <c r="K200" s="5">
        <v>23480</v>
      </c>
      <c r="L200" s="5" t="s">
        <v>936</v>
      </c>
      <c r="M200" s="5" t="s">
        <v>937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2D80-17C2-475C-83A7-AD39388DF379}">
  <dimension ref="A1:M200"/>
  <sheetViews>
    <sheetView workbookViewId="0">
      <selection activeCell="H2" sqref="H2"/>
    </sheetView>
  </sheetViews>
  <sheetFormatPr defaultRowHeight="16.5" x14ac:dyDescent="0.3"/>
  <cols>
    <col min="1" max="1" width="13" bestFit="1" customWidth="1"/>
  </cols>
  <sheetData>
    <row r="1" spans="1:13" x14ac:dyDescent="0.3">
      <c r="A1" s="19" t="s">
        <v>923</v>
      </c>
      <c r="B1" s="19" t="s">
        <v>924</v>
      </c>
      <c r="C1" s="19" t="s">
        <v>925</v>
      </c>
      <c r="D1" s="19" t="s">
        <v>926</v>
      </c>
      <c r="E1" s="19" t="s">
        <v>927</v>
      </c>
      <c r="F1" s="19" t="s">
        <v>928</v>
      </c>
      <c r="G1" s="19" t="s">
        <v>929</v>
      </c>
      <c r="H1" s="19" t="s">
        <v>930</v>
      </c>
      <c r="I1" s="19" t="s">
        <v>931</v>
      </c>
      <c r="J1" s="19" t="s">
        <v>932</v>
      </c>
      <c r="K1" s="19" t="s">
        <v>933</v>
      </c>
      <c r="L1" s="19" t="s">
        <v>934</v>
      </c>
      <c r="M1" s="19" t="s">
        <v>935</v>
      </c>
    </row>
    <row r="2" spans="1:13" x14ac:dyDescent="0.3">
      <c r="A2" s="5" t="s">
        <v>742</v>
      </c>
      <c r="B2" s="5">
        <v>3</v>
      </c>
      <c r="C2" s="5">
        <v>50150150</v>
      </c>
      <c r="D2" s="5">
        <v>890095</v>
      </c>
      <c r="E2" s="5">
        <v>125</v>
      </c>
      <c r="F2" s="5">
        <v>0</v>
      </c>
      <c r="G2" s="5">
        <v>490142316</v>
      </c>
      <c r="H2" s="5">
        <v>6806452</v>
      </c>
      <c r="I2" s="5">
        <v>53575</v>
      </c>
      <c r="J2" s="5">
        <v>2762893</v>
      </c>
      <c r="K2" s="5">
        <v>41950</v>
      </c>
      <c r="L2" s="5" t="s">
        <v>936</v>
      </c>
      <c r="M2" s="5" t="s">
        <v>937</v>
      </c>
    </row>
    <row r="3" spans="1:13" x14ac:dyDescent="0.3">
      <c r="A3" s="5" t="s">
        <v>744</v>
      </c>
      <c r="B3" s="5">
        <v>7</v>
      </c>
      <c r="C3" s="5">
        <v>41387959</v>
      </c>
      <c r="D3" s="5">
        <v>847511</v>
      </c>
      <c r="E3" s="5">
        <v>350</v>
      </c>
      <c r="F3" s="5">
        <v>0</v>
      </c>
      <c r="G3" s="5">
        <v>468590818</v>
      </c>
      <c r="H3" s="5">
        <v>6156071</v>
      </c>
      <c r="I3" s="5">
        <v>46053</v>
      </c>
      <c r="J3" s="5">
        <v>8203813</v>
      </c>
      <c r="K3" s="5">
        <v>47140</v>
      </c>
      <c r="L3" s="5" t="s">
        <v>936</v>
      </c>
      <c r="M3" s="5" t="s">
        <v>939</v>
      </c>
    </row>
    <row r="4" spans="1:13" x14ac:dyDescent="0.3">
      <c r="A4" s="5" t="s">
        <v>938</v>
      </c>
      <c r="B4" s="5">
        <v>4</v>
      </c>
      <c r="C4" s="5">
        <v>39769998</v>
      </c>
      <c r="D4" s="5">
        <v>830233</v>
      </c>
      <c r="E4" s="5">
        <v>138</v>
      </c>
      <c r="F4" s="5">
        <v>0</v>
      </c>
      <c r="G4" s="5">
        <v>486629945</v>
      </c>
      <c r="H4" s="5">
        <v>6448555</v>
      </c>
      <c r="I4" s="5">
        <v>34799</v>
      </c>
      <c r="J4" s="5">
        <v>3237273</v>
      </c>
      <c r="K4" s="5">
        <v>45123</v>
      </c>
      <c r="L4" s="5" t="s">
        <v>936</v>
      </c>
      <c r="M4" s="5" t="s">
        <v>939</v>
      </c>
    </row>
    <row r="5" spans="1:13" x14ac:dyDescent="0.3">
      <c r="A5" s="5" t="s">
        <v>746</v>
      </c>
      <c r="B5" s="5">
        <v>9</v>
      </c>
      <c r="C5" s="5">
        <v>40903624</v>
      </c>
      <c r="D5" s="5">
        <v>790157</v>
      </c>
      <c r="E5" s="5">
        <v>625</v>
      </c>
      <c r="F5" s="5">
        <v>0</v>
      </c>
      <c r="G5" s="5">
        <v>403525175</v>
      </c>
      <c r="H5" s="5">
        <v>5823589</v>
      </c>
      <c r="I5" s="5">
        <v>53047</v>
      </c>
      <c r="J5" s="5">
        <v>2964363</v>
      </c>
      <c r="K5" s="5">
        <v>37629</v>
      </c>
      <c r="L5" s="5" t="s">
        <v>936</v>
      </c>
      <c r="M5" s="5" t="s">
        <v>943</v>
      </c>
    </row>
    <row r="6" spans="1:13" x14ac:dyDescent="0.3">
      <c r="A6" s="5" t="s">
        <v>941</v>
      </c>
      <c r="B6" s="5">
        <v>8</v>
      </c>
      <c r="C6" s="5">
        <v>40019371</v>
      </c>
      <c r="D6" s="5">
        <v>789788</v>
      </c>
      <c r="E6" s="5">
        <v>520</v>
      </c>
      <c r="F6" s="5">
        <v>0</v>
      </c>
      <c r="G6" s="5">
        <v>424102249</v>
      </c>
      <c r="H6" s="5">
        <v>5957482</v>
      </c>
      <c r="I6" s="5">
        <v>40689</v>
      </c>
      <c r="J6" s="5">
        <v>2702688</v>
      </c>
      <c r="K6" s="5">
        <v>41530</v>
      </c>
      <c r="L6" s="5" t="s">
        <v>936</v>
      </c>
      <c r="M6" s="5" t="s">
        <v>942</v>
      </c>
    </row>
    <row r="7" spans="1:13" x14ac:dyDescent="0.3">
      <c r="A7" s="5" t="s">
        <v>740</v>
      </c>
      <c r="B7" s="5">
        <v>1</v>
      </c>
      <c r="C7" s="5">
        <v>50239792</v>
      </c>
      <c r="D7" s="5">
        <v>785148</v>
      </c>
      <c r="E7" s="5">
        <v>4118</v>
      </c>
      <c r="F7" s="5">
        <v>0</v>
      </c>
      <c r="G7" s="5">
        <v>500321515</v>
      </c>
      <c r="H7" s="5">
        <v>7215765</v>
      </c>
      <c r="I7" s="5">
        <v>106552</v>
      </c>
      <c r="J7" s="5">
        <v>2709594</v>
      </c>
      <c r="K7" s="5">
        <v>40166</v>
      </c>
      <c r="L7" s="5" t="s">
        <v>936</v>
      </c>
      <c r="M7" s="5" t="s">
        <v>944</v>
      </c>
    </row>
    <row r="8" spans="1:13" x14ac:dyDescent="0.3">
      <c r="A8" s="5" t="s">
        <v>743</v>
      </c>
      <c r="B8" s="5">
        <v>6</v>
      </c>
      <c r="C8" s="5">
        <v>40519437</v>
      </c>
      <c r="D8" s="5">
        <v>767622</v>
      </c>
      <c r="E8" s="5">
        <v>0</v>
      </c>
      <c r="F8" s="5">
        <v>0</v>
      </c>
      <c r="G8" s="5">
        <v>432061858</v>
      </c>
      <c r="H8" s="5">
        <v>6293940</v>
      </c>
      <c r="I8" s="5">
        <v>53333</v>
      </c>
      <c r="J8" s="5">
        <v>2727930</v>
      </c>
      <c r="K8" s="5">
        <v>39800</v>
      </c>
      <c r="L8" s="5" t="s">
        <v>936</v>
      </c>
      <c r="M8" s="5" t="s">
        <v>940</v>
      </c>
    </row>
    <row r="9" spans="1:13" x14ac:dyDescent="0.3">
      <c r="A9" s="5" t="s">
        <v>598</v>
      </c>
      <c r="B9" s="5">
        <v>2</v>
      </c>
      <c r="C9" s="5">
        <v>44110017</v>
      </c>
      <c r="D9" s="5">
        <v>687373</v>
      </c>
      <c r="E9" s="5">
        <v>3640</v>
      </c>
      <c r="F9" s="5">
        <v>0</v>
      </c>
      <c r="G9" s="5">
        <v>470893127</v>
      </c>
      <c r="H9" s="5">
        <v>6370390</v>
      </c>
      <c r="I9" s="5">
        <v>53097</v>
      </c>
      <c r="J9" s="5">
        <v>3882655</v>
      </c>
      <c r="K9" s="5">
        <v>41340</v>
      </c>
      <c r="L9" s="5" t="s">
        <v>936</v>
      </c>
      <c r="M9" s="5" t="s">
        <v>945</v>
      </c>
    </row>
    <row r="10" spans="1:13" x14ac:dyDescent="0.3">
      <c r="A10" s="5" t="s">
        <v>751</v>
      </c>
      <c r="B10" s="5">
        <v>14</v>
      </c>
      <c r="C10" s="5">
        <v>32833868</v>
      </c>
      <c r="D10" s="5">
        <v>671974</v>
      </c>
      <c r="E10" s="5">
        <v>450</v>
      </c>
      <c r="F10" s="5">
        <v>0</v>
      </c>
      <c r="G10" s="5">
        <v>366937662</v>
      </c>
      <c r="H10" s="5">
        <v>5298521</v>
      </c>
      <c r="I10" s="5">
        <v>46596</v>
      </c>
      <c r="J10" s="5">
        <v>4819625</v>
      </c>
      <c r="K10" s="5">
        <v>40060</v>
      </c>
      <c r="L10" s="5" t="s">
        <v>936</v>
      </c>
      <c r="M10" s="5" t="s">
        <v>939</v>
      </c>
    </row>
    <row r="11" spans="1:13" x14ac:dyDescent="0.3">
      <c r="A11" s="5" t="s">
        <v>755</v>
      </c>
      <c r="B11" s="5">
        <v>19</v>
      </c>
      <c r="C11" s="5">
        <v>33279810</v>
      </c>
      <c r="D11" s="5">
        <v>663717</v>
      </c>
      <c r="E11" s="5">
        <v>8568</v>
      </c>
      <c r="F11" s="5">
        <v>0</v>
      </c>
      <c r="G11" s="5">
        <v>384333723</v>
      </c>
      <c r="H11" s="5">
        <v>4854691</v>
      </c>
      <c r="I11" s="5">
        <v>114587</v>
      </c>
      <c r="J11" s="5">
        <v>6912971</v>
      </c>
      <c r="K11" s="5">
        <v>40453</v>
      </c>
      <c r="L11" s="5" t="s">
        <v>936</v>
      </c>
      <c r="M11" s="5" t="s">
        <v>940</v>
      </c>
    </row>
    <row r="12" spans="1:13" x14ac:dyDescent="0.3">
      <c r="A12" s="5" t="s">
        <v>804</v>
      </c>
      <c r="B12" s="5">
        <v>70</v>
      </c>
      <c r="C12" s="5">
        <v>40336896</v>
      </c>
      <c r="D12" s="5">
        <v>645839</v>
      </c>
      <c r="E12" s="5">
        <v>350</v>
      </c>
      <c r="F12" s="5">
        <v>0</v>
      </c>
      <c r="G12" s="5">
        <v>361288318</v>
      </c>
      <c r="H12" s="5">
        <v>3945740</v>
      </c>
      <c r="I12" s="5">
        <v>15261</v>
      </c>
      <c r="J12" s="5">
        <v>12260817</v>
      </c>
      <c r="K12" s="5">
        <v>39300</v>
      </c>
      <c r="L12" s="5" t="s">
        <v>936</v>
      </c>
      <c r="M12" s="5" t="s">
        <v>937</v>
      </c>
    </row>
    <row r="13" spans="1:13" x14ac:dyDescent="0.3">
      <c r="A13" s="5" t="s">
        <v>783</v>
      </c>
      <c r="B13" s="5">
        <v>42</v>
      </c>
      <c r="C13" s="5">
        <v>38445422</v>
      </c>
      <c r="D13" s="5">
        <v>644738</v>
      </c>
      <c r="E13" s="5">
        <v>0</v>
      </c>
      <c r="F13" s="5">
        <v>0</v>
      </c>
      <c r="G13" s="5">
        <v>324596875</v>
      </c>
      <c r="H13" s="5">
        <v>3981442</v>
      </c>
      <c r="I13" s="5">
        <v>57291</v>
      </c>
      <c r="J13" s="5">
        <v>2823608</v>
      </c>
      <c r="K13" s="5">
        <v>42463</v>
      </c>
      <c r="L13" s="5" t="s">
        <v>936</v>
      </c>
      <c r="M13" s="5" t="s">
        <v>945</v>
      </c>
    </row>
    <row r="14" spans="1:13" x14ac:dyDescent="0.3">
      <c r="A14" s="5" t="s">
        <v>745</v>
      </c>
      <c r="B14" s="5">
        <v>10</v>
      </c>
      <c r="C14" s="5">
        <v>29754568</v>
      </c>
      <c r="D14" s="5">
        <v>637483</v>
      </c>
      <c r="E14" s="5">
        <v>700</v>
      </c>
      <c r="F14" s="5">
        <v>0</v>
      </c>
      <c r="G14" s="5">
        <v>412515388</v>
      </c>
      <c r="H14" s="5">
        <v>5964336</v>
      </c>
      <c r="I14" s="5">
        <v>61760</v>
      </c>
      <c r="J14" s="5">
        <v>3058362</v>
      </c>
      <c r="K14" s="5">
        <v>41390</v>
      </c>
      <c r="L14" s="5" t="s">
        <v>936</v>
      </c>
      <c r="M14" s="5" t="s">
        <v>943</v>
      </c>
    </row>
    <row r="15" spans="1:13" x14ac:dyDescent="0.3">
      <c r="A15" s="5" t="s">
        <v>752</v>
      </c>
      <c r="B15" s="5">
        <v>16</v>
      </c>
      <c r="C15" s="5">
        <v>31483727</v>
      </c>
      <c r="D15" s="5">
        <v>634083</v>
      </c>
      <c r="E15" s="5">
        <v>2640</v>
      </c>
      <c r="F15" s="5">
        <v>0</v>
      </c>
      <c r="G15" s="5">
        <v>395488753</v>
      </c>
      <c r="H15" s="5">
        <v>5299923</v>
      </c>
      <c r="I15" s="5">
        <v>61933</v>
      </c>
      <c r="J15" s="5">
        <v>3457225</v>
      </c>
      <c r="K15" s="5">
        <v>43480</v>
      </c>
      <c r="L15" s="5" t="s">
        <v>936</v>
      </c>
      <c r="M15" s="5" t="s">
        <v>943</v>
      </c>
    </row>
    <row r="16" spans="1:13" x14ac:dyDescent="0.3">
      <c r="A16" s="5" t="s">
        <v>750</v>
      </c>
      <c r="B16" s="5">
        <v>15</v>
      </c>
      <c r="C16" s="5">
        <v>31209194</v>
      </c>
      <c r="D16" s="5">
        <v>624467</v>
      </c>
      <c r="E16" s="5">
        <v>877</v>
      </c>
      <c r="F16" s="5">
        <v>0</v>
      </c>
      <c r="G16" s="5">
        <v>335488243</v>
      </c>
      <c r="H16" s="5">
        <v>4897525</v>
      </c>
      <c r="I16" s="5">
        <v>37568</v>
      </c>
      <c r="J16" s="5">
        <v>2726006</v>
      </c>
      <c r="K16" s="5">
        <v>40720</v>
      </c>
      <c r="L16" s="5" t="s">
        <v>936</v>
      </c>
      <c r="M16" s="5" t="s">
        <v>940</v>
      </c>
    </row>
    <row r="17" spans="1:13" x14ac:dyDescent="0.3">
      <c r="A17" s="5" t="s">
        <v>747</v>
      </c>
      <c r="B17" s="5">
        <v>11</v>
      </c>
      <c r="C17" s="5">
        <v>46810644</v>
      </c>
      <c r="D17" s="5">
        <v>609158</v>
      </c>
      <c r="E17" s="5">
        <v>9000</v>
      </c>
      <c r="F17" s="5">
        <v>0</v>
      </c>
      <c r="G17" s="5">
        <v>439206094</v>
      </c>
      <c r="H17" s="5">
        <v>5464890</v>
      </c>
      <c r="I17" s="5">
        <v>96672</v>
      </c>
      <c r="J17" s="5">
        <v>2761789</v>
      </c>
      <c r="K17" s="5">
        <v>41710</v>
      </c>
      <c r="L17" s="5" t="s">
        <v>936</v>
      </c>
      <c r="M17" s="5" t="s">
        <v>943</v>
      </c>
    </row>
    <row r="18" spans="1:13" x14ac:dyDescent="0.3">
      <c r="A18" s="5" t="s">
        <v>765</v>
      </c>
      <c r="B18" s="5">
        <v>27</v>
      </c>
      <c r="C18" s="5">
        <v>33791233</v>
      </c>
      <c r="D18" s="5">
        <v>595673</v>
      </c>
      <c r="E18" s="5">
        <v>3550</v>
      </c>
      <c r="F18" s="5">
        <v>0</v>
      </c>
      <c r="G18" s="5">
        <v>353973666</v>
      </c>
      <c r="H18" s="5">
        <v>4568340</v>
      </c>
      <c r="I18" s="5">
        <v>73724</v>
      </c>
      <c r="J18" s="5">
        <v>3463910</v>
      </c>
      <c r="K18" s="5">
        <v>43740</v>
      </c>
      <c r="L18" s="5" t="s">
        <v>936</v>
      </c>
      <c r="M18" s="5" t="s">
        <v>946</v>
      </c>
    </row>
    <row r="19" spans="1:13" x14ac:dyDescent="0.3">
      <c r="A19" s="5" t="s">
        <v>793</v>
      </c>
      <c r="B19" s="5">
        <v>59</v>
      </c>
      <c r="C19" s="5">
        <v>29133112</v>
      </c>
      <c r="D19" s="5">
        <v>592739</v>
      </c>
      <c r="E19" s="5">
        <v>96</v>
      </c>
      <c r="F19" s="5">
        <v>0</v>
      </c>
      <c r="G19" s="5">
        <v>317717987</v>
      </c>
      <c r="H19" s="5">
        <v>3787992</v>
      </c>
      <c r="I19" s="5">
        <v>43760</v>
      </c>
      <c r="J19" s="5">
        <v>3522751</v>
      </c>
      <c r="K19" s="5">
        <v>39460</v>
      </c>
      <c r="L19" s="5" t="s">
        <v>936</v>
      </c>
      <c r="M19" s="5" t="s">
        <v>937</v>
      </c>
    </row>
    <row r="20" spans="1:13" x14ac:dyDescent="0.3">
      <c r="A20" s="5" t="s">
        <v>785</v>
      </c>
      <c r="B20" s="5">
        <v>49</v>
      </c>
      <c r="C20" s="5">
        <v>26035537</v>
      </c>
      <c r="D20" s="5">
        <v>587922</v>
      </c>
      <c r="E20" s="5">
        <v>12150</v>
      </c>
      <c r="F20" s="5">
        <v>0</v>
      </c>
      <c r="G20" s="5">
        <v>281847894</v>
      </c>
      <c r="H20" s="5">
        <v>4450365</v>
      </c>
      <c r="I20" s="5">
        <v>122164</v>
      </c>
      <c r="J20" s="5">
        <v>3404300</v>
      </c>
      <c r="K20" s="5">
        <v>38710</v>
      </c>
      <c r="L20" s="5" t="s">
        <v>936</v>
      </c>
      <c r="M20" s="5" t="s">
        <v>946</v>
      </c>
    </row>
    <row r="21" spans="1:13" x14ac:dyDescent="0.3">
      <c r="A21" s="5" t="s">
        <v>757</v>
      </c>
      <c r="B21" s="5">
        <v>22</v>
      </c>
      <c r="C21" s="5">
        <v>29222188</v>
      </c>
      <c r="D21" s="5">
        <v>575651</v>
      </c>
      <c r="E21" s="5">
        <v>0</v>
      </c>
      <c r="F21" s="5">
        <v>0</v>
      </c>
      <c r="G21" s="5">
        <v>343985643</v>
      </c>
      <c r="H21" s="5">
        <v>4684661</v>
      </c>
      <c r="I21" s="5">
        <v>36341</v>
      </c>
      <c r="J21" s="5">
        <v>2782290</v>
      </c>
      <c r="K21" s="5">
        <v>36440</v>
      </c>
      <c r="L21" s="5" t="s">
        <v>936</v>
      </c>
      <c r="M21" s="5" t="s">
        <v>942</v>
      </c>
    </row>
    <row r="22" spans="1:13" x14ac:dyDescent="0.3">
      <c r="A22" s="5" t="s">
        <v>758</v>
      </c>
      <c r="B22" s="5">
        <v>23</v>
      </c>
      <c r="C22" s="5">
        <v>36837950</v>
      </c>
      <c r="D22" s="5">
        <v>569152</v>
      </c>
      <c r="E22" s="5">
        <v>3050</v>
      </c>
      <c r="F22" s="5">
        <v>0</v>
      </c>
      <c r="G22" s="5">
        <v>352881807</v>
      </c>
      <c r="H22" s="5">
        <v>4780678</v>
      </c>
      <c r="I22" s="5">
        <v>44844</v>
      </c>
      <c r="J22" s="5">
        <v>2705074</v>
      </c>
      <c r="K22" s="5">
        <v>40263</v>
      </c>
      <c r="L22" s="5" t="s">
        <v>936</v>
      </c>
      <c r="M22" s="5" t="s">
        <v>939</v>
      </c>
    </row>
    <row r="23" spans="1:13" x14ac:dyDescent="0.3">
      <c r="A23" s="5" t="s">
        <v>749</v>
      </c>
      <c r="B23" s="5">
        <v>13</v>
      </c>
      <c r="C23" s="5">
        <v>27674632</v>
      </c>
      <c r="D23" s="5">
        <v>562023</v>
      </c>
      <c r="E23" s="5">
        <v>350</v>
      </c>
      <c r="F23" s="5">
        <v>0</v>
      </c>
      <c r="G23" s="5">
        <v>393173736</v>
      </c>
      <c r="H23" s="5">
        <v>5113085</v>
      </c>
      <c r="I23" s="5">
        <v>42729</v>
      </c>
      <c r="J23" s="5">
        <v>3448225</v>
      </c>
      <c r="K23" s="5">
        <v>43943</v>
      </c>
      <c r="L23" s="5" t="s">
        <v>936</v>
      </c>
      <c r="M23" s="5" t="s">
        <v>940</v>
      </c>
    </row>
    <row r="24" spans="1:13" x14ac:dyDescent="0.3">
      <c r="A24" s="5" t="s">
        <v>599</v>
      </c>
      <c r="B24" s="5">
        <v>17</v>
      </c>
      <c r="C24" s="5">
        <v>26203060</v>
      </c>
      <c r="D24" s="5">
        <v>556187</v>
      </c>
      <c r="E24" s="5">
        <v>500</v>
      </c>
      <c r="F24" s="5">
        <v>0</v>
      </c>
      <c r="G24" s="5">
        <v>393567737</v>
      </c>
      <c r="H24" s="5">
        <v>5130655</v>
      </c>
      <c r="I24" s="5">
        <v>43441</v>
      </c>
      <c r="J24" s="5">
        <v>2707023</v>
      </c>
      <c r="K24" s="5">
        <v>41230</v>
      </c>
      <c r="L24" s="5" t="s">
        <v>936</v>
      </c>
      <c r="M24" s="5" t="s">
        <v>945</v>
      </c>
    </row>
    <row r="25" spans="1:13" x14ac:dyDescent="0.3">
      <c r="A25" s="5" t="s">
        <v>761</v>
      </c>
      <c r="B25" s="5">
        <v>25</v>
      </c>
      <c r="C25" s="5">
        <v>25284289</v>
      </c>
      <c r="D25" s="5">
        <v>553015</v>
      </c>
      <c r="E25" s="5">
        <v>4496</v>
      </c>
      <c r="F25" s="5">
        <v>133675</v>
      </c>
      <c r="G25" s="5">
        <v>382797484</v>
      </c>
      <c r="H25" s="5">
        <v>4710400</v>
      </c>
      <c r="I25" s="5">
        <v>59622</v>
      </c>
      <c r="J25" s="5">
        <v>5426407</v>
      </c>
      <c r="K25" s="5">
        <v>40750</v>
      </c>
      <c r="L25" s="5" t="s">
        <v>936</v>
      </c>
      <c r="M25" s="5" t="s">
        <v>945</v>
      </c>
    </row>
    <row r="26" spans="1:13" x14ac:dyDescent="0.3">
      <c r="A26" s="5" t="s">
        <v>748</v>
      </c>
      <c r="B26" s="5">
        <v>12</v>
      </c>
      <c r="C26" s="5">
        <v>27583236</v>
      </c>
      <c r="D26" s="5">
        <v>552203</v>
      </c>
      <c r="E26" s="5">
        <v>120</v>
      </c>
      <c r="F26" s="5">
        <v>0</v>
      </c>
      <c r="G26" s="5">
        <v>440375001</v>
      </c>
      <c r="H26" s="5">
        <v>5145610</v>
      </c>
      <c r="I26" s="5">
        <v>28845</v>
      </c>
      <c r="J26" s="5">
        <v>2770716</v>
      </c>
      <c r="K26" s="5">
        <v>35530</v>
      </c>
      <c r="L26" s="5" t="s">
        <v>936</v>
      </c>
      <c r="M26" s="5" t="s">
        <v>937</v>
      </c>
    </row>
    <row r="27" spans="1:13" x14ac:dyDescent="0.3">
      <c r="A27" s="5" t="s">
        <v>774</v>
      </c>
      <c r="B27" s="5">
        <v>34</v>
      </c>
      <c r="C27" s="5">
        <v>30942446</v>
      </c>
      <c r="D27" s="5">
        <v>551137</v>
      </c>
      <c r="E27" s="5">
        <v>350</v>
      </c>
      <c r="F27" s="5">
        <v>0</v>
      </c>
      <c r="G27" s="5">
        <v>338984888</v>
      </c>
      <c r="H27" s="5">
        <v>4097989</v>
      </c>
      <c r="I27" s="5">
        <v>32608</v>
      </c>
      <c r="J27" s="5">
        <v>4422108</v>
      </c>
      <c r="K27" s="5">
        <v>37480</v>
      </c>
      <c r="L27" s="5" t="s">
        <v>936</v>
      </c>
      <c r="M27" s="5" t="s">
        <v>946</v>
      </c>
    </row>
    <row r="28" spans="1:13" x14ac:dyDescent="0.3">
      <c r="A28" s="5" t="s">
        <v>800</v>
      </c>
      <c r="B28" s="5">
        <v>69</v>
      </c>
      <c r="C28" s="5">
        <v>30098788</v>
      </c>
      <c r="D28" s="5">
        <v>550847</v>
      </c>
      <c r="E28" s="5">
        <v>77</v>
      </c>
      <c r="F28" s="5">
        <v>0</v>
      </c>
      <c r="G28" s="5">
        <v>298672191</v>
      </c>
      <c r="H28" s="5">
        <v>3743891</v>
      </c>
      <c r="I28" s="5">
        <v>127638</v>
      </c>
      <c r="J28" s="5">
        <v>6872085</v>
      </c>
      <c r="K28" s="5">
        <v>38730</v>
      </c>
      <c r="L28" s="5" t="s">
        <v>936</v>
      </c>
      <c r="M28" s="5" t="s">
        <v>945</v>
      </c>
    </row>
    <row r="29" spans="1:13" x14ac:dyDescent="0.3">
      <c r="A29" s="5" t="s">
        <v>947</v>
      </c>
      <c r="B29" s="5">
        <v>60</v>
      </c>
      <c r="C29" s="5">
        <v>39777768</v>
      </c>
      <c r="D29" s="5">
        <v>548873</v>
      </c>
      <c r="E29" s="5">
        <v>275</v>
      </c>
      <c r="F29" s="5">
        <v>0</v>
      </c>
      <c r="G29" s="5">
        <v>325529425</v>
      </c>
      <c r="H29" s="5">
        <v>3889738</v>
      </c>
      <c r="I29" s="5">
        <v>44820</v>
      </c>
      <c r="J29" s="5">
        <v>9110940</v>
      </c>
      <c r="K29" s="5">
        <v>42370</v>
      </c>
      <c r="L29" s="5" t="s">
        <v>936</v>
      </c>
      <c r="M29" s="5" t="s">
        <v>939</v>
      </c>
    </row>
    <row r="30" spans="1:13" x14ac:dyDescent="0.3">
      <c r="A30" s="5" t="s">
        <v>741</v>
      </c>
      <c r="B30" s="5">
        <v>5</v>
      </c>
      <c r="C30" s="5">
        <v>27731386</v>
      </c>
      <c r="D30" s="5">
        <v>548384</v>
      </c>
      <c r="E30" s="5">
        <v>0</v>
      </c>
      <c r="F30" s="5">
        <v>0</v>
      </c>
      <c r="G30" s="5">
        <v>415205425</v>
      </c>
      <c r="H30" s="5">
        <v>6107926</v>
      </c>
      <c r="I30" s="5">
        <v>31273</v>
      </c>
      <c r="J30" s="5">
        <v>2802676</v>
      </c>
      <c r="K30" s="5">
        <v>35770</v>
      </c>
      <c r="L30" s="5" t="s">
        <v>936</v>
      </c>
      <c r="M30" s="5" t="s">
        <v>940</v>
      </c>
    </row>
    <row r="31" spans="1:13" x14ac:dyDescent="0.3">
      <c r="A31" s="5" t="s">
        <v>772</v>
      </c>
      <c r="B31" s="5">
        <v>38</v>
      </c>
      <c r="C31" s="5">
        <v>25068918</v>
      </c>
      <c r="D31" s="5">
        <v>547179</v>
      </c>
      <c r="E31" s="5">
        <v>0</v>
      </c>
      <c r="F31" s="5">
        <v>0</v>
      </c>
      <c r="G31" s="5">
        <v>337066752</v>
      </c>
      <c r="H31" s="5">
        <v>4067455</v>
      </c>
      <c r="I31" s="5">
        <v>61566</v>
      </c>
      <c r="J31" s="5">
        <v>2504414</v>
      </c>
      <c r="K31" s="5">
        <v>40360</v>
      </c>
      <c r="L31" s="5" t="s">
        <v>936</v>
      </c>
      <c r="M31" s="5" t="s">
        <v>946</v>
      </c>
    </row>
    <row r="32" spans="1:13" x14ac:dyDescent="0.3">
      <c r="A32" s="5" t="s">
        <v>812</v>
      </c>
      <c r="B32" s="5">
        <v>85</v>
      </c>
      <c r="C32" s="5">
        <v>24749162</v>
      </c>
      <c r="D32" s="5">
        <v>541381</v>
      </c>
      <c r="E32" s="5">
        <v>800</v>
      </c>
      <c r="F32" s="5">
        <v>0</v>
      </c>
      <c r="G32" s="5">
        <v>290857785</v>
      </c>
      <c r="H32" s="5">
        <v>3608232</v>
      </c>
      <c r="I32" s="5">
        <v>4461</v>
      </c>
      <c r="J32" s="5">
        <v>10589521</v>
      </c>
      <c r="K32" s="5">
        <v>42900</v>
      </c>
      <c r="L32" s="5" t="s">
        <v>936</v>
      </c>
      <c r="M32" s="5" t="s">
        <v>940</v>
      </c>
    </row>
    <row r="33" spans="1:13" x14ac:dyDescent="0.3">
      <c r="A33" s="5" t="s">
        <v>948</v>
      </c>
      <c r="B33" s="5">
        <v>84</v>
      </c>
      <c r="C33" s="5">
        <v>24717811</v>
      </c>
      <c r="D33" s="5">
        <v>539370</v>
      </c>
      <c r="E33" s="5">
        <v>451</v>
      </c>
      <c r="F33" s="5">
        <v>0</v>
      </c>
      <c r="G33" s="5">
        <v>302507649</v>
      </c>
      <c r="H33" s="5">
        <v>3425901</v>
      </c>
      <c r="I33" s="5">
        <v>59662</v>
      </c>
      <c r="J33" s="5">
        <v>3007799</v>
      </c>
      <c r="K33" s="5">
        <v>40093</v>
      </c>
      <c r="L33" s="5" t="s">
        <v>936</v>
      </c>
      <c r="M33" s="5" t="s">
        <v>942</v>
      </c>
    </row>
    <row r="34" spans="1:13" x14ac:dyDescent="0.3">
      <c r="A34" s="5" t="s">
        <v>776</v>
      </c>
      <c r="B34" s="5">
        <v>41</v>
      </c>
      <c r="C34" s="5">
        <v>33730330</v>
      </c>
      <c r="D34" s="5">
        <v>538583</v>
      </c>
      <c r="E34" s="5">
        <v>350</v>
      </c>
      <c r="F34" s="5">
        <v>0</v>
      </c>
      <c r="G34" s="5">
        <v>331196085</v>
      </c>
      <c r="H34" s="5">
        <v>4193471</v>
      </c>
      <c r="I34" s="5">
        <v>31360</v>
      </c>
      <c r="J34" s="5">
        <v>19401162</v>
      </c>
      <c r="K34" s="5">
        <v>43210</v>
      </c>
      <c r="L34" s="5" t="s">
        <v>936</v>
      </c>
      <c r="M34" s="5" t="s">
        <v>939</v>
      </c>
    </row>
    <row r="35" spans="1:13" x14ac:dyDescent="0.3">
      <c r="A35" s="5" t="s">
        <v>753</v>
      </c>
      <c r="B35" s="5">
        <v>18</v>
      </c>
      <c r="C35" s="5">
        <v>44517600</v>
      </c>
      <c r="D35" s="5">
        <v>532178</v>
      </c>
      <c r="E35" s="5">
        <v>555</v>
      </c>
      <c r="F35" s="5">
        <v>0</v>
      </c>
      <c r="G35" s="5">
        <v>441576344</v>
      </c>
      <c r="H35" s="5">
        <v>5115691</v>
      </c>
      <c r="I35" s="5">
        <v>40451</v>
      </c>
      <c r="J35" s="5">
        <v>2702231</v>
      </c>
      <c r="K35" s="5">
        <v>37790</v>
      </c>
      <c r="L35" s="5" t="s">
        <v>936</v>
      </c>
      <c r="M35" s="5" t="s">
        <v>939</v>
      </c>
    </row>
    <row r="36" spans="1:13" x14ac:dyDescent="0.3">
      <c r="A36" s="5" t="s">
        <v>756</v>
      </c>
      <c r="B36" s="5">
        <v>21</v>
      </c>
      <c r="C36" s="5">
        <v>24120939</v>
      </c>
      <c r="D36" s="5">
        <v>527175</v>
      </c>
      <c r="E36" s="5">
        <v>801</v>
      </c>
      <c r="F36" s="5">
        <v>0</v>
      </c>
      <c r="G36" s="5">
        <v>335081000</v>
      </c>
      <c r="H36" s="5">
        <v>4743385</v>
      </c>
      <c r="I36" s="5">
        <v>55504</v>
      </c>
      <c r="J36" s="5">
        <v>2997945</v>
      </c>
      <c r="K36" s="5">
        <v>39733</v>
      </c>
      <c r="L36" s="5" t="s">
        <v>936</v>
      </c>
      <c r="M36" s="5" t="s">
        <v>945</v>
      </c>
    </row>
    <row r="37" spans="1:13" x14ac:dyDescent="0.3">
      <c r="A37" s="5" t="s">
        <v>760</v>
      </c>
      <c r="B37" s="5">
        <v>24</v>
      </c>
      <c r="C37" s="5">
        <v>33794544</v>
      </c>
      <c r="D37" s="5">
        <v>527115</v>
      </c>
      <c r="E37" s="5">
        <v>700</v>
      </c>
      <c r="F37" s="5">
        <v>0</v>
      </c>
      <c r="G37" s="5">
        <v>571163730</v>
      </c>
      <c r="H37" s="5">
        <v>4512069</v>
      </c>
      <c r="I37" s="5">
        <v>35184</v>
      </c>
      <c r="J37" s="5">
        <v>4082120</v>
      </c>
      <c r="K37" s="5">
        <v>42873</v>
      </c>
      <c r="L37" s="5" t="s">
        <v>936</v>
      </c>
      <c r="M37" s="5" t="s">
        <v>940</v>
      </c>
    </row>
    <row r="38" spans="1:13" x14ac:dyDescent="0.3">
      <c r="A38" s="5" t="s">
        <v>797</v>
      </c>
      <c r="B38" s="5">
        <v>67</v>
      </c>
      <c r="C38" s="5">
        <v>23064335</v>
      </c>
      <c r="D38" s="5">
        <v>525293</v>
      </c>
      <c r="E38" s="5">
        <v>16391</v>
      </c>
      <c r="F38" s="5">
        <v>0</v>
      </c>
      <c r="G38" s="5">
        <v>302722997</v>
      </c>
      <c r="H38" s="5">
        <v>4245112</v>
      </c>
      <c r="I38" s="5">
        <v>140192</v>
      </c>
      <c r="J38" s="5">
        <v>5856448</v>
      </c>
      <c r="K38" s="5">
        <v>39733</v>
      </c>
      <c r="L38" s="5" t="s">
        <v>936</v>
      </c>
      <c r="M38" s="5" t="s">
        <v>939</v>
      </c>
    </row>
    <row r="39" spans="1:13" x14ac:dyDescent="0.3">
      <c r="A39" s="5" t="s">
        <v>769</v>
      </c>
      <c r="B39" s="5">
        <v>33</v>
      </c>
      <c r="C39" s="5">
        <v>24808979</v>
      </c>
      <c r="D39" s="5">
        <v>516333</v>
      </c>
      <c r="E39" s="5">
        <v>750</v>
      </c>
      <c r="F39" s="5">
        <v>0</v>
      </c>
      <c r="G39" s="5">
        <v>310753642</v>
      </c>
      <c r="H39" s="5">
        <v>4322650</v>
      </c>
      <c r="I39" s="5">
        <v>44886</v>
      </c>
      <c r="J39" s="5">
        <v>3310084</v>
      </c>
      <c r="K39" s="5">
        <v>41430</v>
      </c>
      <c r="L39" s="5" t="s">
        <v>936</v>
      </c>
      <c r="M39" s="5" t="s">
        <v>939</v>
      </c>
    </row>
    <row r="40" spans="1:13" x14ac:dyDescent="0.3">
      <c r="A40" s="5" t="s">
        <v>950</v>
      </c>
      <c r="B40" s="5">
        <v>74</v>
      </c>
      <c r="C40" s="5">
        <v>24044580</v>
      </c>
      <c r="D40" s="5">
        <v>514608</v>
      </c>
      <c r="E40" s="5">
        <v>350</v>
      </c>
      <c r="F40" s="5">
        <v>0</v>
      </c>
      <c r="G40" s="5">
        <v>318162445</v>
      </c>
      <c r="H40" s="5">
        <v>3814289</v>
      </c>
      <c r="I40" s="5">
        <v>34506</v>
      </c>
      <c r="J40" s="5">
        <v>3348287</v>
      </c>
      <c r="K40" s="5">
        <v>36760</v>
      </c>
      <c r="L40" s="5" t="s">
        <v>936</v>
      </c>
      <c r="M40" s="5" t="s">
        <v>942</v>
      </c>
    </row>
    <row r="41" spans="1:13" x14ac:dyDescent="0.3">
      <c r="A41" s="5" t="s">
        <v>786</v>
      </c>
      <c r="B41" s="5">
        <v>54</v>
      </c>
      <c r="C41" s="5">
        <v>39409958</v>
      </c>
      <c r="D41" s="5">
        <v>511385</v>
      </c>
      <c r="E41" s="5">
        <v>6330</v>
      </c>
      <c r="F41" s="5">
        <v>0</v>
      </c>
      <c r="G41" s="5">
        <v>359349725</v>
      </c>
      <c r="H41" s="5">
        <v>3989750</v>
      </c>
      <c r="I41" s="5">
        <v>66925</v>
      </c>
      <c r="J41" s="5">
        <v>2065216</v>
      </c>
      <c r="K41" s="5">
        <v>36813</v>
      </c>
      <c r="L41" s="5" t="s">
        <v>936</v>
      </c>
      <c r="M41" s="5" t="s">
        <v>940</v>
      </c>
    </row>
    <row r="42" spans="1:13" x14ac:dyDescent="0.3">
      <c r="A42" s="5" t="s">
        <v>952</v>
      </c>
      <c r="B42" s="5">
        <v>73</v>
      </c>
      <c r="C42" s="5">
        <v>23802285</v>
      </c>
      <c r="D42" s="5">
        <v>507998</v>
      </c>
      <c r="E42" s="5">
        <v>1100</v>
      </c>
      <c r="F42" s="5">
        <v>0</v>
      </c>
      <c r="G42" s="5">
        <v>351203144</v>
      </c>
      <c r="H42" s="5">
        <v>3855844</v>
      </c>
      <c r="I42" s="5">
        <v>54639</v>
      </c>
      <c r="J42" s="5">
        <v>3312487</v>
      </c>
      <c r="K42" s="5">
        <v>35500</v>
      </c>
      <c r="L42" s="5" t="s">
        <v>936</v>
      </c>
      <c r="M42" s="5" t="s">
        <v>942</v>
      </c>
    </row>
    <row r="43" spans="1:13" x14ac:dyDescent="0.3">
      <c r="A43" s="5" t="s">
        <v>792</v>
      </c>
      <c r="B43" s="5">
        <v>61</v>
      </c>
      <c r="C43" s="5">
        <v>25978549</v>
      </c>
      <c r="D43" s="5">
        <v>505865</v>
      </c>
      <c r="E43" s="5">
        <v>700</v>
      </c>
      <c r="F43" s="5">
        <v>0</v>
      </c>
      <c r="G43" s="5">
        <v>290715345</v>
      </c>
      <c r="H43" s="5">
        <v>3852092</v>
      </c>
      <c r="I43" s="5">
        <v>122247</v>
      </c>
      <c r="J43" s="5">
        <v>5387592</v>
      </c>
      <c r="K43" s="5">
        <v>38280</v>
      </c>
      <c r="L43" s="5" t="s">
        <v>936</v>
      </c>
      <c r="M43" s="5" t="s">
        <v>943</v>
      </c>
    </row>
    <row r="44" spans="1:13" x14ac:dyDescent="0.3">
      <c r="A44" s="5" t="s">
        <v>784</v>
      </c>
      <c r="B44" s="5">
        <v>51</v>
      </c>
      <c r="C44" s="5">
        <v>26957820</v>
      </c>
      <c r="D44" s="5">
        <v>500634</v>
      </c>
      <c r="E44" s="5">
        <v>0</v>
      </c>
      <c r="F44" s="5">
        <v>0</v>
      </c>
      <c r="G44" s="5">
        <v>340896724</v>
      </c>
      <c r="H44" s="5">
        <v>3967979</v>
      </c>
      <c r="I44" s="5">
        <v>69120</v>
      </c>
      <c r="J44" s="5">
        <v>5913914</v>
      </c>
      <c r="K44" s="5">
        <v>40530</v>
      </c>
      <c r="L44" s="5" t="s">
        <v>936</v>
      </c>
      <c r="M44" s="5" t="s">
        <v>942</v>
      </c>
    </row>
    <row r="45" spans="1:13" x14ac:dyDescent="0.3">
      <c r="A45" s="5" t="s">
        <v>949</v>
      </c>
      <c r="B45" s="5">
        <v>31</v>
      </c>
      <c r="C45" s="5">
        <v>23167647</v>
      </c>
      <c r="D45" s="5">
        <v>496621</v>
      </c>
      <c r="E45" s="5">
        <v>350</v>
      </c>
      <c r="F45" s="5">
        <v>0</v>
      </c>
      <c r="G45" s="5">
        <v>316133475</v>
      </c>
      <c r="H45" s="5">
        <v>4358488</v>
      </c>
      <c r="I45" s="5">
        <v>61739</v>
      </c>
      <c r="J45" s="5">
        <v>3815296</v>
      </c>
      <c r="K45" s="5">
        <v>39300</v>
      </c>
      <c r="L45" s="5" t="s">
        <v>936</v>
      </c>
      <c r="M45" s="5" t="s">
        <v>945</v>
      </c>
    </row>
    <row r="46" spans="1:13" x14ac:dyDescent="0.3">
      <c r="A46" s="5" t="s">
        <v>754</v>
      </c>
      <c r="B46" s="5">
        <v>20</v>
      </c>
      <c r="C46" s="5">
        <v>41758369</v>
      </c>
      <c r="D46" s="5">
        <v>495628</v>
      </c>
      <c r="E46" s="5">
        <v>131</v>
      </c>
      <c r="F46" s="5">
        <v>0</v>
      </c>
      <c r="G46" s="5">
        <v>339619676</v>
      </c>
      <c r="H46" s="5">
        <v>4557656</v>
      </c>
      <c r="I46" s="5">
        <v>31507</v>
      </c>
      <c r="J46" s="5">
        <v>3859526</v>
      </c>
      <c r="K46" s="5">
        <v>39963</v>
      </c>
      <c r="L46" s="5" t="s">
        <v>936</v>
      </c>
      <c r="M46" s="5" t="s">
        <v>942</v>
      </c>
    </row>
    <row r="47" spans="1:13" x14ac:dyDescent="0.3">
      <c r="A47" s="5" t="s">
        <v>814</v>
      </c>
      <c r="B47" s="5">
        <v>91</v>
      </c>
      <c r="C47" s="5">
        <v>22923799</v>
      </c>
      <c r="D47" s="5">
        <v>491869</v>
      </c>
      <c r="E47" s="5">
        <v>0</v>
      </c>
      <c r="F47" s="5">
        <v>0</v>
      </c>
      <c r="G47" s="5">
        <v>283153842</v>
      </c>
      <c r="H47" s="5">
        <v>3030218</v>
      </c>
      <c r="I47" s="5">
        <v>37199</v>
      </c>
      <c r="J47" s="5">
        <v>6353831</v>
      </c>
      <c r="K47" s="5">
        <v>40750</v>
      </c>
      <c r="L47" s="5" t="s">
        <v>936</v>
      </c>
      <c r="M47" s="5" t="s">
        <v>940</v>
      </c>
    </row>
    <row r="48" spans="1:13" x14ac:dyDescent="0.3">
      <c r="A48" s="5" t="s">
        <v>767</v>
      </c>
      <c r="B48" s="5">
        <v>30</v>
      </c>
      <c r="C48" s="5">
        <v>23973557</v>
      </c>
      <c r="D48" s="5">
        <v>488099</v>
      </c>
      <c r="E48" s="5">
        <v>2350</v>
      </c>
      <c r="F48" s="5">
        <v>0</v>
      </c>
      <c r="G48" s="5">
        <v>330618246</v>
      </c>
      <c r="H48" s="5">
        <v>4372979</v>
      </c>
      <c r="I48" s="5">
        <v>69664</v>
      </c>
      <c r="J48" s="5">
        <v>3135417</v>
      </c>
      <c r="K48" s="5">
        <v>37370</v>
      </c>
      <c r="L48" s="5" t="s">
        <v>936</v>
      </c>
      <c r="M48" s="5" t="s">
        <v>944</v>
      </c>
    </row>
    <row r="49" spans="1:13" x14ac:dyDescent="0.3">
      <c r="A49" s="5" t="s">
        <v>799</v>
      </c>
      <c r="B49" s="5">
        <v>72</v>
      </c>
      <c r="C49" s="5">
        <v>40738217</v>
      </c>
      <c r="D49" s="5">
        <v>484955</v>
      </c>
      <c r="E49" s="5">
        <v>50</v>
      </c>
      <c r="F49" s="5">
        <v>0</v>
      </c>
      <c r="G49" s="5">
        <v>459064765</v>
      </c>
      <c r="H49" s="5">
        <v>3727819</v>
      </c>
      <c r="I49" s="5">
        <v>49475</v>
      </c>
      <c r="J49" s="5">
        <v>3345422</v>
      </c>
      <c r="K49" s="5">
        <v>45390</v>
      </c>
      <c r="L49" s="5" t="s">
        <v>936</v>
      </c>
      <c r="M49" s="5" t="s">
        <v>940</v>
      </c>
    </row>
    <row r="50" spans="1:13" x14ac:dyDescent="0.3">
      <c r="A50" s="5" t="s">
        <v>803</v>
      </c>
      <c r="B50" s="5">
        <v>75</v>
      </c>
      <c r="C50" s="5">
        <v>25588009</v>
      </c>
      <c r="D50" s="5">
        <v>482963</v>
      </c>
      <c r="E50" s="5">
        <v>3050</v>
      </c>
      <c r="F50" s="5">
        <v>0</v>
      </c>
      <c r="G50" s="5">
        <v>281011733</v>
      </c>
      <c r="H50" s="5">
        <v>3585348</v>
      </c>
      <c r="I50" s="5">
        <v>46993</v>
      </c>
      <c r="J50" s="5">
        <v>52282692</v>
      </c>
      <c r="K50" s="5">
        <v>41690</v>
      </c>
      <c r="L50" s="5" t="s">
        <v>936</v>
      </c>
      <c r="M50" s="5" t="s">
        <v>939</v>
      </c>
    </row>
    <row r="51" spans="1:13" x14ac:dyDescent="0.3">
      <c r="A51" s="5" t="s">
        <v>771</v>
      </c>
      <c r="B51" s="5">
        <v>39</v>
      </c>
      <c r="C51" s="5">
        <v>23054358</v>
      </c>
      <c r="D51" s="5">
        <v>477827</v>
      </c>
      <c r="E51" s="5">
        <v>500</v>
      </c>
      <c r="F51" s="5">
        <v>0</v>
      </c>
      <c r="G51" s="5">
        <v>290977054</v>
      </c>
      <c r="H51" s="5">
        <v>4014288</v>
      </c>
      <c r="I51" s="5">
        <v>48301</v>
      </c>
      <c r="J51" s="5">
        <v>3978341</v>
      </c>
      <c r="K51" s="5">
        <v>29066</v>
      </c>
      <c r="L51" s="5" t="s">
        <v>936</v>
      </c>
      <c r="M51" s="5" t="s">
        <v>939</v>
      </c>
    </row>
    <row r="52" spans="1:13" x14ac:dyDescent="0.3">
      <c r="A52" s="5" t="s">
        <v>781</v>
      </c>
      <c r="B52" s="5">
        <v>45</v>
      </c>
      <c r="C52" s="5">
        <v>28684360</v>
      </c>
      <c r="D52" s="5">
        <v>470974</v>
      </c>
      <c r="E52" s="5">
        <v>101</v>
      </c>
      <c r="F52" s="5">
        <v>0</v>
      </c>
      <c r="G52" s="5">
        <v>313877266</v>
      </c>
      <c r="H52" s="5">
        <v>3806503</v>
      </c>
      <c r="I52" s="5">
        <v>44811</v>
      </c>
      <c r="J52" s="5">
        <v>2870594</v>
      </c>
      <c r="K52" s="5">
        <v>41940</v>
      </c>
      <c r="L52" s="5" t="s">
        <v>936</v>
      </c>
      <c r="M52" s="5" t="s">
        <v>944</v>
      </c>
    </row>
    <row r="53" spans="1:13" x14ac:dyDescent="0.3">
      <c r="A53" s="5" t="s">
        <v>951</v>
      </c>
      <c r="B53" s="5">
        <v>66</v>
      </c>
      <c r="C53" s="5">
        <v>21529660</v>
      </c>
      <c r="D53" s="5">
        <v>466008</v>
      </c>
      <c r="E53" s="5">
        <v>387</v>
      </c>
      <c r="F53" s="5">
        <v>0</v>
      </c>
      <c r="G53" s="5">
        <v>272486859</v>
      </c>
      <c r="H53" s="5">
        <v>3825998</v>
      </c>
      <c r="I53" s="5">
        <v>109192</v>
      </c>
      <c r="J53" s="5">
        <v>2944971</v>
      </c>
      <c r="K53" s="5">
        <v>37080</v>
      </c>
      <c r="L53" s="5" t="s">
        <v>936</v>
      </c>
      <c r="M53" s="5" t="s">
        <v>940</v>
      </c>
    </row>
    <row r="54" spans="1:13" x14ac:dyDescent="0.3">
      <c r="A54" s="5" t="s">
        <v>770</v>
      </c>
      <c r="B54" s="5">
        <v>35</v>
      </c>
      <c r="C54" s="5">
        <v>24606522</v>
      </c>
      <c r="D54" s="5">
        <v>464818</v>
      </c>
      <c r="E54" s="5">
        <v>870</v>
      </c>
      <c r="F54" s="5">
        <v>0</v>
      </c>
      <c r="G54" s="5">
        <v>357652718</v>
      </c>
      <c r="H54" s="5">
        <v>4073785</v>
      </c>
      <c r="I54" s="5">
        <v>61877</v>
      </c>
      <c r="J54" s="5">
        <v>2702575</v>
      </c>
      <c r="K54" s="5">
        <v>39570</v>
      </c>
      <c r="L54" s="5" t="s">
        <v>936</v>
      </c>
      <c r="M54" s="5" t="s">
        <v>940</v>
      </c>
    </row>
    <row r="55" spans="1:13" x14ac:dyDescent="0.3">
      <c r="A55" s="5" t="s">
        <v>808</v>
      </c>
      <c r="B55" s="5">
        <v>79</v>
      </c>
      <c r="C55" s="5">
        <v>26133875</v>
      </c>
      <c r="D55" s="5">
        <v>464685</v>
      </c>
      <c r="E55" s="5">
        <v>350</v>
      </c>
      <c r="F55" s="5">
        <v>0</v>
      </c>
      <c r="G55" s="5">
        <v>316416018</v>
      </c>
      <c r="H55" s="5">
        <v>3648359</v>
      </c>
      <c r="I55" s="5">
        <v>30871</v>
      </c>
      <c r="J55" s="5">
        <v>3174407</v>
      </c>
      <c r="K55" s="5">
        <v>34490</v>
      </c>
      <c r="L55" s="5" t="s">
        <v>936</v>
      </c>
      <c r="M55" s="5" t="s">
        <v>946</v>
      </c>
    </row>
    <row r="56" spans="1:13" x14ac:dyDescent="0.3">
      <c r="A56" s="5" t="s">
        <v>818</v>
      </c>
      <c r="B56" s="5">
        <v>96</v>
      </c>
      <c r="C56" s="5">
        <v>20426384</v>
      </c>
      <c r="D56" s="5">
        <v>458128</v>
      </c>
      <c r="E56" s="5">
        <v>17290</v>
      </c>
      <c r="F56" s="5">
        <v>0</v>
      </c>
      <c r="G56" s="5">
        <v>268322700</v>
      </c>
      <c r="H56" s="5">
        <v>3201943</v>
      </c>
      <c r="I56" s="5">
        <v>119727</v>
      </c>
      <c r="J56" s="5">
        <v>4891434</v>
      </c>
      <c r="K56" s="5">
        <v>40240</v>
      </c>
      <c r="L56" s="5" t="s">
        <v>936</v>
      </c>
      <c r="M56" s="5" t="s">
        <v>946</v>
      </c>
    </row>
    <row r="57" spans="1:13" x14ac:dyDescent="0.3">
      <c r="A57" s="5" t="s">
        <v>762</v>
      </c>
      <c r="B57" s="5">
        <v>29</v>
      </c>
      <c r="C57" s="5">
        <v>27650850</v>
      </c>
      <c r="D57" s="5">
        <v>455747</v>
      </c>
      <c r="E57" s="5">
        <v>3075</v>
      </c>
      <c r="F57" s="5">
        <v>0</v>
      </c>
      <c r="G57" s="5">
        <v>369518081</v>
      </c>
      <c r="H57" s="5">
        <v>4227966</v>
      </c>
      <c r="I57" s="5">
        <v>66244</v>
      </c>
      <c r="J57" s="5">
        <v>4079718</v>
      </c>
      <c r="K57" s="5">
        <v>42499</v>
      </c>
      <c r="L57" s="5" t="s">
        <v>936</v>
      </c>
      <c r="M57" s="5" t="s">
        <v>937</v>
      </c>
    </row>
    <row r="58" spans="1:13" x14ac:dyDescent="0.3">
      <c r="A58" s="5" t="s">
        <v>795</v>
      </c>
      <c r="B58" s="5">
        <v>64</v>
      </c>
      <c r="C58" s="5">
        <v>21634950</v>
      </c>
      <c r="D58" s="5">
        <v>448052</v>
      </c>
      <c r="E58" s="5">
        <v>350</v>
      </c>
      <c r="F58" s="5">
        <v>0</v>
      </c>
      <c r="G58" s="5">
        <v>300221927</v>
      </c>
      <c r="H58" s="5">
        <v>3713212</v>
      </c>
      <c r="I58" s="5">
        <v>41091</v>
      </c>
      <c r="J58" s="5">
        <v>3989749</v>
      </c>
      <c r="K58" s="5">
        <v>41443</v>
      </c>
      <c r="L58" s="5" t="s">
        <v>936</v>
      </c>
      <c r="M58" s="5" t="s">
        <v>939</v>
      </c>
    </row>
    <row r="59" spans="1:13" x14ac:dyDescent="0.3">
      <c r="A59" s="5" t="s">
        <v>805</v>
      </c>
      <c r="B59" s="5">
        <v>78</v>
      </c>
      <c r="C59" s="5">
        <v>35816936</v>
      </c>
      <c r="D59" s="5">
        <v>447024</v>
      </c>
      <c r="E59" s="5">
        <v>50</v>
      </c>
      <c r="F59" s="5">
        <v>0</v>
      </c>
      <c r="G59" s="5">
        <v>314440219</v>
      </c>
      <c r="H59" s="5">
        <v>3667595</v>
      </c>
      <c r="I59" s="5">
        <v>28620</v>
      </c>
      <c r="J59" s="5">
        <v>3701831</v>
      </c>
      <c r="K59" s="5">
        <v>41350</v>
      </c>
      <c r="L59" s="5" t="s">
        <v>936</v>
      </c>
      <c r="M59" s="5" t="s">
        <v>940</v>
      </c>
    </row>
    <row r="60" spans="1:13" x14ac:dyDescent="0.3">
      <c r="A60" s="5" t="s">
        <v>773</v>
      </c>
      <c r="B60" s="5">
        <v>40</v>
      </c>
      <c r="C60" s="5">
        <v>19956496</v>
      </c>
      <c r="D60" s="5">
        <v>445287</v>
      </c>
      <c r="E60" s="5">
        <v>350</v>
      </c>
      <c r="F60" s="5">
        <v>0</v>
      </c>
      <c r="G60" s="5">
        <v>328204334</v>
      </c>
      <c r="H60" s="5">
        <v>4148131</v>
      </c>
      <c r="I60" s="5">
        <v>63434</v>
      </c>
      <c r="J60" s="5">
        <v>3727713</v>
      </c>
      <c r="K60" s="5">
        <v>41996</v>
      </c>
      <c r="L60" s="5" t="s">
        <v>936</v>
      </c>
      <c r="M60" s="5" t="s">
        <v>946</v>
      </c>
    </row>
    <row r="61" spans="1:13" x14ac:dyDescent="0.3">
      <c r="A61" s="5" t="s">
        <v>601</v>
      </c>
      <c r="B61" s="5">
        <v>94</v>
      </c>
      <c r="C61" s="5">
        <v>20811514</v>
      </c>
      <c r="D61" s="5">
        <v>443040</v>
      </c>
      <c r="E61" s="5">
        <v>796</v>
      </c>
      <c r="F61" s="5">
        <v>0</v>
      </c>
      <c r="G61" s="5">
        <v>245316580</v>
      </c>
      <c r="H61" s="5">
        <v>3371206</v>
      </c>
      <c r="I61" s="5">
        <v>46972</v>
      </c>
      <c r="J61" s="5">
        <v>4578043</v>
      </c>
      <c r="K61" s="5">
        <v>35850</v>
      </c>
      <c r="L61" s="5" t="s">
        <v>936</v>
      </c>
      <c r="M61" s="5" t="s">
        <v>945</v>
      </c>
    </row>
    <row r="62" spans="1:13" x14ac:dyDescent="0.3">
      <c r="A62" s="5" t="s">
        <v>798</v>
      </c>
      <c r="B62" s="5">
        <v>71</v>
      </c>
      <c r="C62" s="5">
        <v>20583341</v>
      </c>
      <c r="D62" s="5">
        <v>440683</v>
      </c>
      <c r="E62" s="5">
        <v>640</v>
      </c>
      <c r="F62" s="5">
        <v>0</v>
      </c>
      <c r="G62" s="5">
        <v>301051099</v>
      </c>
      <c r="H62" s="5">
        <v>3770731</v>
      </c>
      <c r="I62" s="5">
        <v>125516</v>
      </c>
      <c r="J62" s="5">
        <v>4290497</v>
      </c>
      <c r="K62" s="5">
        <v>39316</v>
      </c>
      <c r="L62" s="5" t="s">
        <v>936</v>
      </c>
      <c r="M62" s="5" t="s">
        <v>946</v>
      </c>
    </row>
    <row r="63" spans="1:13" x14ac:dyDescent="0.3">
      <c r="A63" s="5" t="s">
        <v>763</v>
      </c>
      <c r="B63" s="5">
        <v>28</v>
      </c>
      <c r="C63" s="5">
        <v>21862487</v>
      </c>
      <c r="D63" s="5">
        <v>434124</v>
      </c>
      <c r="E63" s="5">
        <v>350</v>
      </c>
      <c r="F63" s="5">
        <v>0</v>
      </c>
      <c r="G63" s="5">
        <v>295900310</v>
      </c>
      <c r="H63" s="5">
        <v>4208685</v>
      </c>
      <c r="I63" s="5">
        <v>43656</v>
      </c>
      <c r="J63" s="5">
        <v>2990195</v>
      </c>
      <c r="K63" s="5">
        <v>34720</v>
      </c>
      <c r="L63" s="5" t="s">
        <v>936</v>
      </c>
      <c r="M63" s="5" t="s">
        <v>940</v>
      </c>
    </row>
    <row r="64" spans="1:13" x14ac:dyDescent="0.3">
      <c r="A64" s="5" t="s">
        <v>953</v>
      </c>
      <c r="B64" s="5">
        <v>88</v>
      </c>
      <c r="C64" s="5">
        <v>20618672</v>
      </c>
      <c r="D64" s="5">
        <v>432954</v>
      </c>
      <c r="E64" s="5">
        <v>50</v>
      </c>
      <c r="F64" s="5">
        <v>0</v>
      </c>
      <c r="G64" s="5">
        <v>317890913</v>
      </c>
      <c r="H64" s="5">
        <v>3456055</v>
      </c>
      <c r="I64" s="5">
        <v>32156</v>
      </c>
      <c r="J64" s="5">
        <v>3306963</v>
      </c>
      <c r="K64" s="5">
        <v>40276</v>
      </c>
      <c r="L64" s="5" t="s">
        <v>936</v>
      </c>
      <c r="M64" s="5" t="s">
        <v>942</v>
      </c>
    </row>
    <row r="65" spans="1:13" x14ac:dyDescent="0.3">
      <c r="A65" s="5" t="s">
        <v>777</v>
      </c>
      <c r="B65" s="5">
        <v>43</v>
      </c>
      <c r="C65" s="5">
        <v>19814917</v>
      </c>
      <c r="D65" s="5">
        <v>432255</v>
      </c>
      <c r="E65" s="5">
        <v>3950</v>
      </c>
      <c r="F65" s="5">
        <v>0</v>
      </c>
      <c r="G65" s="5">
        <v>289337828</v>
      </c>
      <c r="H65" s="5">
        <v>3871337</v>
      </c>
      <c r="I65" s="5">
        <v>85692</v>
      </c>
      <c r="J65" s="5">
        <v>5085296</v>
      </c>
      <c r="K65" s="5">
        <v>37550</v>
      </c>
      <c r="L65" s="5" t="s">
        <v>936</v>
      </c>
      <c r="M65" s="5" t="s">
        <v>940</v>
      </c>
    </row>
    <row r="66" spans="1:13" x14ac:dyDescent="0.3">
      <c r="A66" s="5" t="s">
        <v>780</v>
      </c>
      <c r="B66" s="5">
        <v>48</v>
      </c>
      <c r="C66" s="5">
        <v>35881896</v>
      </c>
      <c r="D66" s="5">
        <v>428573</v>
      </c>
      <c r="E66" s="5">
        <v>0</v>
      </c>
      <c r="F66" s="5">
        <v>0</v>
      </c>
      <c r="G66" s="5">
        <v>365784629</v>
      </c>
      <c r="H66" s="5">
        <v>4031912</v>
      </c>
      <c r="I66" s="5">
        <v>50577</v>
      </c>
      <c r="J66" s="5">
        <v>3385461</v>
      </c>
      <c r="K66" s="5">
        <v>37200</v>
      </c>
      <c r="L66" s="5" t="s">
        <v>936</v>
      </c>
      <c r="M66" s="5" t="s">
        <v>942</v>
      </c>
    </row>
    <row r="67" spans="1:13" x14ac:dyDescent="0.3">
      <c r="A67" s="5" t="s">
        <v>789</v>
      </c>
      <c r="B67" s="5">
        <v>56</v>
      </c>
      <c r="C67" s="5">
        <v>29142552</v>
      </c>
      <c r="D67" s="5">
        <v>425037</v>
      </c>
      <c r="E67" s="5">
        <v>350</v>
      </c>
      <c r="F67" s="5">
        <v>0</v>
      </c>
      <c r="G67" s="5">
        <v>331246745</v>
      </c>
      <c r="H67" s="5">
        <v>3894995</v>
      </c>
      <c r="I67" s="5">
        <v>87189</v>
      </c>
      <c r="J67" s="5">
        <v>3538091</v>
      </c>
      <c r="K67" s="5">
        <v>41290</v>
      </c>
      <c r="L67" s="5" t="s">
        <v>936</v>
      </c>
      <c r="M67" s="5" t="s">
        <v>945</v>
      </c>
    </row>
    <row r="68" spans="1:13" x14ac:dyDescent="0.3">
      <c r="A68" s="5" t="s">
        <v>790</v>
      </c>
      <c r="B68" s="5">
        <v>58</v>
      </c>
      <c r="C68" s="5">
        <v>21827811</v>
      </c>
      <c r="D68" s="5">
        <v>419480</v>
      </c>
      <c r="E68" s="5">
        <v>350</v>
      </c>
      <c r="F68" s="5">
        <v>0</v>
      </c>
      <c r="G68" s="5">
        <v>297540906</v>
      </c>
      <c r="H68" s="5">
        <v>3641888</v>
      </c>
      <c r="I68" s="5">
        <v>44627</v>
      </c>
      <c r="J68" s="5">
        <v>2836865</v>
      </c>
      <c r="K68" s="5">
        <v>38570</v>
      </c>
      <c r="L68" s="5" t="s">
        <v>936</v>
      </c>
      <c r="M68" s="5" t="s">
        <v>945</v>
      </c>
    </row>
    <row r="69" spans="1:13" x14ac:dyDescent="0.3">
      <c r="A69" s="5" t="s">
        <v>602</v>
      </c>
      <c r="B69" s="5">
        <v>105</v>
      </c>
      <c r="C69" s="5">
        <v>36845313</v>
      </c>
      <c r="D69" s="5">
        <v>419350</v>
      </c>
      <c r="E69" s="5">
        <v>0</v>
      </c>
      <c r="F69" s="5">
        <v>0</v>
      </c>
      <c r="G69" s="5">
        <v>259989942</v>
      </c>
      <c r="H69" s="5">
        <v>2907819</v>
      </c>
      <c r="I69" s="5">
        <v>62512</v>
      </c>
      <c r="J69" s="5">
        <v>6527035</v>
      </c>
      <c r="K69" s="5">
        <v>35500</v>
      </c>
      <c r="L69" s="5" t="s">
        <v>936</v>
      </c>
      <c r="M69" s="5" t="s">
        <v>945</v>
      </c>
    </row>
    <row r="70" spans="1:13" x14ac:dyDescent="0.3">
      <c r="A70" s="5" t="s">
        <v>839</v>
      </c>
      <c r="B70" s="5">
        <v>130</v>
      </c>
      <c r="C70" s="5">
        <v>21938743</v>
      </c>
      <c r="D70" s="5">
        <v>416204</v>
      </c>
      <c r="E70" s="5">
        <v>302</v>
      </c>
      <c r="F70" s="5">
        <v>0</v>
      </c>
      <c r="G70" s="5">
        <v>273567610</v>
      </c>
      <c r="H70" s="5">
        <v>2547324</v>
      </c>
      <c r="I70" s="5">
        <v>40956</v>
      </c>
      <c r="J70" s="5">
        <v>2529773</v>
      </c>
      <c r="K70" s="5">
        <v>39653</v>
      </c>
      <c r="L70" s="5" t="s">
        <v>936</v>
      </c>
      <c r="M70" s="5" t="s">
        <v>942</v>
      </c>
    </row>
    <row r="71" spans="1:13" x14ac:dyDescent="0.3">
      <c r="A71" s="5" t="s">
        <v>759</v>
      </c>
      <c r="B71" s="5">
        <v>26</v>
      </c>
      <c r="C71" s="5">
        <v>20473139</v>
      </c>
      <c r="D71" s="5">
        <v>412514</v>
      </c>
      <c r="E71" s="5">
        <v>2701</v>
      </c>
      <c r="F71" s="5">
        <v>0</v>
      </c>
      <c r="G71" s="5">
        <v>365029620</v>
      </c>
      <c r="H71" s="5">
        <v>4440712</v>
      </c>
      <c r="I71" s="5">
        <v>64188</v>
      </c>
      <c r="J71" s="5">
        <v>3467961</v>
      </c>
      <c r="K71" s="5">
        <v>45790</v>
      </c>
      <c r="L71" s="5" t="s">
        <v>936</v>
      </c>
      <c r="M71" s="5" t="s">
        <v>946</v>
      </c>
    </row>
    <row r="72" spans="1:13" x14ac:dyDescent="0.3">
      <c r="A72" s="5" t="s">
        <v>600</v>
      </c>
      <c r="B72" s="5">
        <v>80</v>
      </c>
      <c r="C72" s="5">
        <v>19447720</v>
      </c>
      <c r="D72" s="5">
        <v>409750</v>
      </c>
      <c r="E72" s="5">
        <v>50</v>
      </c>
      <c r="F72" s="5">
        <v>0</v>
      </c>
      <c r="G72" s="5">
        <v>283523847</v>
      </c>
      <c r="H72" s="5">
        <v>3512402</v>
      </c>
      <c r="I72" s="5">
        <v>27891</v>
      </c>
      <c r="J72" s="5">
        <v>4821497</v>
      </c>
      <c r="K72" s="5">
        <v>40113</v>
      </c>
      <c r="L72" s="5" t="s">
        <v>936</v>
      </c>
      <c r="M72" s="5" t="s">
        <v>945</v>
      </c>
    </row>
    <row r="73" spans="1:13" x14ac:dyDescent="0.3">
      <c r="A73" s="5" t="s">
        <v>816</v>
      </c>
      <c r="B73" s="5">
        <v>95</v>
      </c>
      <c r="C73" s="5">
        <v>19901319</v>
      </c>
      <c r="D73" s="5">
        <v>409340</v>
      </c>
      <c r="E73" s="5">
        <v>9050</v>
      </c>
      <c r="F73" s="5">
        <v>0</v>
      </c>
      <c r="G73" s="5">
        <v>246341432</v>
      </c>
      <c r="H73" s="5">
        <v>3156641</v>
      </c>
      <c r="I73" s="5">
        <v>103088</v>
      </c>
      <c r="J73" s="5">
        <v>2734459</v>
      </c>
      <c r="K73" s="5">
        <v>37360</v>
      </c>
      <c r="L73" s="5" t="s">
        <v>936</v>
      </c>
      <c r="M73" s="5" t="s">
        <v>940</v>
      </c>
    </row>
    <row r="74" spans="1:13" x14ac:dyDescent="0.3">
      <c r="A74" s="5" t="s">
        <v>775</v>
      </c>
      <c r="B74" s="5">
        <v>44</v>
      </c>
      <c r="C74" s="5">
        <v>19312396</v>
      </c>
      <c r="D74" s="5">
        <v>408974</v>
      </c>
      <c r="E74" s="5">
        <v>0</v>
      </c>
      <c r="F74" s="5">
        <v>0</v>
      </c>
      <c r="G74" s="5">
        <v>278965042</v>
      </c>
      <c r="H74" s="5">
        <v>3943843</v>
      </c>
      <c r="I74" s="5">
        <v>49460</v>
      </c>
      <c r="J74" s="5">
        <v>3406692</v>
      </c>
      <c r="K74" s="5">
        <v>37173</v>
      </c>
      <c r="L74" s="5" t="s">
        <v>936</v>
      </c>
      <c r="M74" s="5" t="s">
        <v>939</v>
      </c>
    </row>
    <row r="75" spans="1:13" x14ac:dyDescent="0.3">
      <c r="A75" s="5" t="s">
        <v>954</v>
      </c>
      <c r="B75" s="5">
        <v>104</v>
      </c>
      <c r="C75" s="5">
        <v>21010259</v>
      </c>
      <c r="D75" s="5">
        <v>407745</v>
      </c>
      <c r="E75" s="5">
        <v>172</v>
      </c>
      <c r="F75" s="5">
        <v>0</v>
      </c>
      <c r="G75" s="5">
        <v>240694213</v>
      </c>
      <c r="H75" s="5">
        <v>2835597</v>
      </c>
      <c r="I75" s="5">
        <v>42710</v>
      </c>
      <c r="J75" s="5">
        <v>6279036</v>
      </c>
      <c r="K75" s="5">
        <v>37050</v>
      </c>
      <c r="L75" s="5" t="s">
        <v>936</v>
      </c>
      <c r="M75" s="5" t="s">
        <v>945</v>
      </c>
    </row>
    <row r="76" spans="1:13" x14ac:dyDescent="0.3">
      <c r="A76" s="5" t="s">
        <v>955</v>
      </c>
      <c r="B76" s="5">
        <v>46</v>
      </c>
      <c r="C76" s="5">
        <v>32915607</v>
      </c>
      <c r="D76" s="5">
        <v>403820</v>
      </c>
      <c r="E76" s="5">
        <v>0</v>
      </c>
      <c r="F76" s="5">
        <v>0</v>
      </c>
      <c r="G76" s="5">
        <v>346273996</v>
      </c>
      <c r="H76" s="5">
        <v>4063664</v>
      </c>
      <c r="I76" s="5">
        <v>57612</v>
      </c>
      <c r="J76" s="5">
        <v>2743373</v>
      </c>
      <c r="K76" s="5">
        <v>42260</v>
      </c>
      <c r="L76" s="5" t="s">
        <v>936</v>
      </c>
      <c r="M76" s="5" t="s">
        <v>939</v>
      </c>
    </row>
    <row r="77" spans="1:13" x14ac:dyDescent="0.3">
      <c r="A77" s="5" t="s">
        <v>779</v>
      </c>
      <c r="B77" s="5">
        <v>52</v>
      </c>
      <c r="C77" s="5">
        <v>49982331</v>
      </c>
      <c r="D77" s="5">
        <v>403795</v>
      </c>
      <c r="E77" s="5">
        <v>400</v>
      </c>
      <c r="F77" s="5">
        <v>0</v>
      </c>
      <c r="G77" s="5">
        <v>349408278</v>
      </c>
      <c r="H77" s="5">
        <v>3924476</v>
      </c>
      <c r="I77" s="5">
        <v>35171</v>
      </c>
      <c r="J77" s="5">
        <v>3066559</v>
      </c>
      <c r="K77" s="5">
        <v>37780</v>
      </c>
      <c r="L77" s="5" t="s">
        <v>936</v>
      </c>
      <c r="M77" s="5" t="s">
        <v>940</v>
      </c>
    </row>
    <row r="78" spans="1:13" x14ac:dyDescent="0.3">
      <c r="A78" s="5" t="s">
        <v>796</v>
      </c>
      <c r="B78" s="5">
        <v>65</v>
      </c>
      <c r="C78" s="5">
        <v>24380297</v>
      </c>
      <c r="D78" s="5">
        <v>403563</v>
      </c>
      <c r="E78" s="5">
        <v>101</v>
      </c>
      <c r="F78" s="5">
        <v>0</v>
      </c>
      <c r="G78" s="5">
        <v>314918909</v>
      </c>
      <c r="H78" s="5">
        <v>3511551</v>
      </c>
      <c r="I78" s="5">
        <v>82369</v>
      </c>
      <c r="J78" s="5">
        <v>3048789</v>
      </c>
      <c r="K78" s="5">
        <v>34450</v>
      </c>
      <c r="L78" s="5" t="s">
        <v>936</v>
      </c>
      <c r="M78" s="5" t="s">
        <v>946</v>
      </c>
    </row>
    <row r="79" spans="1:13" x14ac:dyDescent="0.3">
      <c r="A79" s="5" t="s">
        <v>837</v>
      </c>
      <c r="B79" s="5">
        <v>126</v>
      </c>
      <c r="C79" s="5">
        <v>25707909</v>
      </c>
      <c r="D79" s="5">
        <v>401542</v>
      </c>
      <c r="E79" s="5">
        <v>350</v>
      </c>
      <c r="F79" s="5">
        <v>1818888</v>
      </c>
      <c r="G79" s="5">
        <v>241568062</v>
      </c>
      <c r="H79" s="5">
        <v>2343697</v>
      </c>
      <c r="I79" s="5">
        <v>34497</v>
      </c>
      <c r="J79" s="5">
        <v>11047709</v>
      </c>
      <c r="K79" s="5">
        <v>31633</v>
      </c>
      <c r="L79" s="5" t="s">
        <v>936</v>
      </c>
      <c r="M79" s="5" t="s">
        <v>937</v>
      </c>
    </row>
    <row r="80" spans="1:13" x14ac:dyDescent="0.3">
      <c r="A80" s="5" t="s">
        <v>801</v>
      </c>
      <c r="B80" s="5">
        <v>76</v>
      </c>
      <c r="C80" s="5">
        <v>24940697</v>
      </c>
      <c r="D80" s="5">
        <v>399779</v>
      </c>
      <c r="E80" s="5">
        <v>120</v>
      </c>
      <c r="F80" s="5">
        <v>0</v>
      </c>
      <c r="G80" s="5">
        <v>300602605</v>
      </c>
      <c r="H80" s="5">
        <v>3686328</v>
      </c>
      <c r="I80" s="5">
        <v>44558</v>
      </c>
      <c r="J80" s="5">
        <v>5367439</v>
      </c>
      <c r="K80" s="5">
        <v>42800</v>
      </c>
      <c r="L80" s="5" t="s">
        <v>936</v>
      </c>
      <c r="M80" s="5" t="s">
        <v>944</v>
      </c>
    </row>
    <row r="81" spans="1:13" x14ac:dyDescent="0.3">
      <c r="A81" s="5" t="s">
        <v>826</v>
      </c>
      <c r="B81" s="5">
        <v>110</v>
      </c>
      <c r="C81" s="5">
        <v>17777998</v>
      </c>
      <c r="D81" s="5">
        <v>395782</v>
      </c>
      <c r="E81" s="5">
        <v>136</v>
      </c>
      <c r="F81" s="5">
        <v>0</v>
      </c>
      <c r="G81" s="5">
        <v>252010864</v>
      </c>
      <c r="H81" s="5">
        <v>3069934</v>
      </c>
      <c r="I81" s="5">
        <v>25347</v>
      </c>
      <c r="J81" s="5">
        <v>2706596</v>
      </c>
      <c r="K81" s="5">
        <v>36660</v>
      </c>
      <c r="L81" s="5" t="s">
        <v>936</v>
      </c>
      <c r="M81" s="5" t="s">
        <v>940</v>
      </c>
    </row>
    <row r="82" spans="1:13" x14ac:dyDescent="0.3">
      <c r="A82" s="5" t="s">
        <v>813</v>
      </c>
      <c r="B82" s="5">
        <v>92</v>
      </c>
      <c r="C82" s="5">
        <v>17626234</v>
      </c>
      <c r="D82" s="5">
        <v>390059</v>
      </c>
      <c r="E82" s="5">
        <v>0</v>
      </c>
      <c r="F82" s="5">
        <v>0</v>
      </c>
      <c r="G82" s="5">
        <v>266654540</v>
      </c>
      <c r="H82" s="5">
        <v>3414091</v>
      </c>
      <c r="I82" s="5">
        <v>34705</v>
      </c>
      <c r="J82" s="5">
        <v>3365819</v>
      </c>
      <c r="K82" s="5">
        <v>34930</v>
      </c>
      <c r="L82" s="5" t="s">
        <v>936</v>
      </c>
      <c r="M82" s="5" t="s">
        <v>939</v>
      </c>
    </row>
    <row r="83" spans="1:13" x14ac:dyDescent="0.3">
      <c r="A83" s="5" t="s">
        <v>956</v>
      </c>
      <c r="B83" s="5">
        <v>114</v>
      </c>
      <c r="C83" s="5">
        <v>24310328</v>
      </c>
      <c r="D83" s="5">
        <v>387895</v>
      </c>
      <c r="E83" s="5">
        <v>9250</v>
      </c>
      <c r="F83" s="5">
        <v>0</v>
      </c>
      <c r="G83" s="5">
        <v>205081429</v>
      </c>
      <c r="H83" s="5">
        <v>2726947</v>
      </c>
      <c r="I83" s="5">
        <v>88287</v>
      </c>
      <c r="J83" s="5">
        <v>8448987</v>
      </c>
      <c r="K83" s="5">
        <v>32509</v>
      </c>
      <c r="L83" s="5" t="s">
        <v>936</v>
      </c>
      <c r="M83" s="5" t="s">
        <v>942</v>
      </c>
    </row>
    <row r="84" spans="1:13" x14ac:dyDescent="0.3">
      <c r="A84" s="5" t="s">
        <v>782</v>
      </c>
      <c r="B84" s="5">
        <v>50</v>
      </c>
      <c r="C84" s="5">
        <v>21212598</v>
      </c>
      <c r="D84" s="5">
        <v>384242</v>
      </c>
      <c r="E84" s="5">
        <v>1750</v>
      </c>
      <c r="F84" s="5">
        <v>0</v>
      </c>
      <c r="G84" s="5">
        <v>361136995</v>
      </c>
      <c r="H84" s="5">
        <v>3747887</v>
      </c>
      <c r="I84" s="5">
        <v>67448</v>
      </c>
      <c r="J84" s="5">
        <v>3629210</v>
      </c>
      <c r="K84" s="5">
        <v>41010</v>
      </c>
      <c r="L84" s="5" t="s">
        <v>936</v>
      </c>
      <c r="M84" s="5" t="s">
        <v>937</v>
      </c>
    </row>
    <row r="85" spans="1:13" x14ac:dyDescent="0.3">
      <c r="A85" s="5" t="s">
        <v>957</v>
      </c>
      <c r="B85" s="5">
        <v>47</v>
      </c>
      <c r="C85" s="5">
        <v>33157402</v>
      </c>
      <c r="D85" s="5">
        <v>381386</v>
      </c>
      <c r="E85" s="5">
        <v>90</v>
      </c>
      <c r="F85" s="5">
        <v>0</v>
      </c>
      <c r="G85" s="5">
        <v>320011697</v>
      </c>
      <c r="H85" s="5">
        <v>3902406</v>
      </c>
      <c r="I85" s="5">
        <v>39655</v>
      </c>
      <c r="J85" s="5">
        <v>2705997</v>
      </c>
      <c r="K85" s="5">
        <v>39340</v>
      </c>
      <c r="L85" s="5" t="s">
        <v>936</v>
      </c>
      <c r="M85" s="5" t="s">
        <v>943</v>
      </c>
    </row>
    <row r="86" spans="1:13" x14ac:dyDescent="0.3">
      <c r="A86" s="5" t="s">
        <v>810</v>
      </c>
      <c r="B86" s="5">
        <v>83</v>
      </c>
      <c r="C86" s="5">
        <v>26305820</v>
      </c>
      <c r="D86" s="5">
        <v>376176</v>
      </c>
      <c r="E86" s="5">
        <v>0</v>
      </c>
      <c r="F86" s="5">
        <v>289522</v>
      </c>
      <c r="G86" s="5">
        <v>320981196</v>
      </c>
      <c r="H86" s="5">
        <v>3247835</v>
      </c>
      <c r="I86" s="5">
        <v>21669</v>
      </c>
      <c r="J86" s="5">
        <v>6172317</v>
      </c>
      <c r="K86" s="5">
        <v>34070</v>
      </c>
      <c r="L86" s="5" t="s">
        <v>936</v>
      </c>
      <c r="M86" s="5" t="s">
        <v>940</v>
      </c>
    </row>
    <row r="87" spans="1:13" x14ac:dyDescent="0.3">
      <c r="A87" s="5" t="s">
        <v>811</v>
      </c>
      <c r="B87" s="5">
        <v>89</v>
      </c>
      <c r="C87" s="5">
        <v>17925197</v>
      </c>
      <c r="D87" s="5">
        <v>371615</v>
      </c>
      <c r="E87" s="5">
        <v>550</v>
      </c>
      <c r="F87" s="5">
        <v>995732</v>
      </c>
      <c r="G87" s="5">
        <v>251990252</v>
      </c>
      <c r="H87" s="5">
        <v>3183540</v>
      </c>
      <c r="I87" s="5">
        <v>64786</v>
      </c>
      <c r="J87" s="5">
        <v>5828444</v>
      </c>
      <c r="K87" s="5">
        <v>39060</v>
      </c>
      <c r="L87" s="5" t="s">
        <v>936</v>
      </c>
      <c r="M87" s="5" t="s">
        <v>939</v>
      </c>
    </row>
    <row r="88" spans="1:13" x14ac:dyDescent="0.3">
      <c r="A88" s="5" t="s">
        <v>821</v>
      </c>
      <c r="B88" s="5">
        <v>100</v>
      </c>
      <c r="C88" s="5">
        <v>16899696</v>
      </c>
      <c r="D88" s="5">
        <v>366795</v>
      </c>
      <c r="E88" s="5">
        <v>6800</v>
      </c>
      <c r="F88" s="5">
        <v>0</v>
      </c>
      <c r="G88" s="5">
        <v>292980318</v>
      </c>
      <c r="H88" s="5">
        <v>2967719</v>
      </c>
      <c r="I88" s="5">
        <v>58993</v>
      </c>
      <c r="J88" s="5">
        <v>4680527</v>
      </c>
      <c r="K88" s="5">
        <v>39083</v>
      </c>
      <c r="L88" s="5" t="s">
        <v>936</v>
      </c>
      <c r="M88" s="5" t="s">
        <v>946</v>
      </c>
    </row>
    <row r="89" spans="1:13" x14ac:dyDescent="0.3">
      <c r="A89" s="5" t="s">
        <v>815</v>
      </c>
      <c r="B89" s="5">
        <v>93</v>
      </c>
      <c r="C89" s="5">
        <v>28922421</v>
      </c>
      <c r="D89" s="5">
        <v>366585</v>
      </c>
      <c r="E89" s="5">
        <v>250</v>
      </c>
      <c r="F89" s="5">
        <v>0</v>
      </c>
      <c r="G89" s="5">
        <v>227963580</v>
      </c>
      <c r="H89" s="5">
        <v>3324274</v>
      </c>
      <c r="I89" s="5">
        <v>56036</v>
      </c>
      <c r="J89" s="5">
        <v>37906240</v>
      </c>
      <c r="K89" s="5">
        <v>30620</v>
      </c>
      <c r="L89" s="5" t="s">
        <v>936</v>
      </c>
      <c r="M89" s="5" t="s">
        <v>939</v>
      </c>
    </row>
    <row r="90" spans="1:13" x14ac:dyDescent="0.3">
      <c r="A90" s="5" t="s">
        <v>820</v>
      </c>
      <c r="B90" s="5">
        <v>98</v>
      </c>
      <c r="C90" s="5">
        <v>17950422</v>
      </c>
      <c r="D90" s="5">
        <v>360437</v>
      </c>
      <c r="E90" s="5">
        <v>870</v>
      </c>
      <c r="F90" s="5">
        <v>0</v>
      </c>
      <c r="G90" s="5">
        <v>270002045</v>
      </c>
      <c r="H90" s="5">
        <v>2974619</v>
      </c>
      <c r="I90" s="5">
        <v>42794</v>
      </c>
      <c r="J90" s="5">
        <v>4123091</v>
      </c>
      <c r="K90" s="5">
        <v>33632</v>
      </c>
      <c r="L90" s="5" t="s">
        <v>936</v>
      </c>
      <c r="M90" s="5" t="s">
        <v>946</v>
      </c>
    </row>
    <row r="91" spans="1:13" x14ac:dyDescent="0.3">
      <c r="A91" s="5" t="s">
        <v>827</v>
      </c>
      <c r="B91" s="5">
        <v>112</v>
      </c>
      <c r="C91" s="5">
        <v>15828552</v>
      </c>
      <c r="D91" s="5">
        <v>357058</v>
      </c>
      <c r="E91" s="5">
        <v>0</v>
      </c>
      <c r="F91" s="5">
        <v>0</v>
      </c>
      <c r="G91" s="5">
        <v>225217317</v>
      </c>
      <c r="H91" s="5">
        <v>2601756</v>
      </c>
      <c r="I91" s="5">
        <v>36659</v>
      </c>
      <c r="J91" s="5">
        <v>3415801</v>
      </c>
      <c r="K91" s="5">
        <v>33020</v>
      </c>
      <c r="L91" s="5" t="s">
        <v>936</v>
      </c>
      <c r="M91" s="5" t="s">
        <v>946</v>
      </c>
    </row>
    <row r="92" spans="1:13" x14ac:dyDescent="0.3">
      <c r="A92" s="5" t="s">
        <v>863</v>
      </c>
      <c r="B92" s="5">
        <v>157</v>
      </c>
      <c r="C92" s="5">
        <v>27451369</v>
      </c>
      <c r="D92" s="5">
        <v>355514</v>
      </c>
      <c r="E92" s="5">
        <v>700</v>
      </c>
      <c r="F92" s="5">
        <v>0</v>
      </c>
      <c r="G92" s="5">
        <v>184977832</v>
      </c>
      <c r="H92" s="5">
        <v>1631388</v>
      </c>
      <c r="I92" s="5">
        <v>16930</v>
      </c>
      <c r="J92" s="5">
        <v>32311958</v>
      </c>
      <c r="K92" s="5">
        <v>43060</v>
      </c>
      <c r="L92" s="5" t="s">
        <v>936</v>
      </c>
      <c r="M92" s="5" t="s">
        <v>959</v>
      </c>
    </row>
    <row r="93" spans="1:13" x14ac:dyDescent="0.3">
      <c r="A93" s="5" t="s">
        <v>823</v>
      </c>
      <c r="B93" s="5">
        <v>103</v>
      </c>
      <c r="C93" s="5">
        <v>28186871</v>
      </c>
      <c r="D93" s="5">
        <v>355496</v>
      </c>
      <c r="E93" s="5">
        <v>350</v>
      </c>
      <c r="F93" s="5">
        <v>500399</v>
      </c>
      <c r="G93" s="5">
        <v>272345924</v>
      </c>
      <c r="H93" s="5">
        <v>3006442</v>
      </c>
      <c r="I93" s="5">
        <v>50249</v>
      </c>
      <c r="J93" s="5">
        <v>7858481</v>
      </c>
      <c r="K93" s="5">
        <v>37033</v>
      </c>
      <c r="L93" s="5" t="s">
        <v>936</v>
      </c>
      <c r="M93" s="5" t="s">
        <v>937</v>
      </c>
    </row>
    <row r="94" spans="1:13" x14ac:dyDescent="0.3">
      <c r="A94" s="5" t="s">
        <v>958</v>
      </c>
      <c r="B94" s="5">
        <v>116</v>
      </c>
      <c r="C94" s="5">
        <v>23884068</v>
      </c>
      <c r="D94" s="5">
        <v>353349</v>
      </c>
      <c r="E94" s="5">
        <v>0</v>
      </c>
      <c r="F94" s="5">
        <v>0</v>
      </c>
      <c r="G94" s="5">
        <v>214089470</v>
      </c>
      <c r="H94" s="5">
        <v>2610328</v>
      </c>
      <c r="I94" s="5">
        <v>15598</v>
      </c>
      <c r="J94" s="5">
        <v>4317550</v>
      </c>
      <c r="K94" s="5">
        <v>41560</v>
      </c>
      <c r="L94" s="5" t="s">
        <v>936</v>
      </c>
      <c r="M94" s="5" t="s">
        <v>945</v>
      </c>
    </row>
    <row r="95" spans="1:13" x14ac:dyDescent="0.3">
      <c r="A95" s="5" t="s">
        <v>829</v>
      </c>
      <c r="B95" s="5">
        <v>117</v>
      </c>
      <c r="C95" s="5">
        <v>16585384</v>
      </c>
      <c r="D95" s="5">
        <v>351080</v>
      </c>
      <c r="E95" s="5">
        <v>50</v>
      </c>
      <c r="F95" s="5">
        <v>0</v>
      </c>
      <c r="G95" s="5">
        <v>343950169</v>
      </c>
      <c r="H95" s="5">
        <v>2896038</v>
      </c>
      <c r="I95" s="5">
        <v>37806</v>
      </c>
      <c r="J95" s="5">
        <v>2736506</v>
      </c>
      <c r="K95" s="5">
        <v>46853</v>
      </c>
      <c r="L95" s="5" t="s">
        <v>936</v>
      </c>
      <c r="M95" s="5" t="s">
        <v>944</v>
      </c>
    </row>
    <row r="96" spans="1:13" x14ac:dyDescent="0.3">
      <c r="A96" s="5" t="s">
        <v>768</v>
      </c>
      <c r="B96" s="5">
        <v>36</v>
      </c>
      <c r="C96" s="5">
        <v>17409367</v>
      </c>
      <c r="D96" s="5">
        <v>349498</v>
      </c>
      <c r="E96" s="5">
        <v>350</v>
      </c>
      <c r="F96" s="5">
        <v>0</v>
      </c>
      <c r="G96" s="5">
        <v>313690072</v>
      </c>
      <c r="H96" s="5">
        <v>3837262</v>
      </c>
      <c r="I96" s="5">
        <v>49944</v>
      </c>
      <c r="J96" s="5">
        <v>2817074</v>
      </c>
      <c r="K96" s="5">
        <v>41270</v>
      </c>
      <c r="L96" s="5" t="s">
        <v>936</v>
      </c>
      <c r="M96" s="5" t="s">
        <v>937</v>
      </c>
    </row>
    <row r="97" spans="1:13" x14ac:dyDescent="0.3">
      <c r="A97" s="5" t="s">
        <v>834</v>
      </c>
      <c r="B97" s="5">
        <v>122</v>
      </c>
      <c r="C97" s="5">
        <v>26946004</v>
      </c>
      <c r="D97" s="5">
        <v>344592</v>
      </c>
      <c r="E97" s="5">
        <v>400</v>
      </c>
      <c r="F97" s="5">
        <v>0</v>
      </c>
      <c r="G97" s="5">
        <v>237199419</v>
      </c>
      <c r="H97" s="5">
        <v>2589006</v>
      </c>
      <c r="I97" s="5">
        <v>5143</v>
      </c>
      <c r="J97" s="5">
        <v>8914326</v>
      </c>
      <c r="K97" s="5">
        <v>31100</v>
      </c>
      <c r="L97" s="5" t="s">
        <v>936</v>
      </c>
      <c r="M97" s="5" t="s">
        <v>937</v>
      </c>
    </row>
    <row r="98" spans="1:13" x14ac:dyDescent="0.3">
      <c r="A98" s="5" t="s">
        <v>794</v>
      </c>
      <c r="B98" s="5">
        <v>68</v>
      </c>
      <c r="C98" s="5">
        <v>24072113</v>
      </c>
      <c r="D98" s="5">
        <v>342234</v>
      </c>
      <c r="E98" s="5">
        <v>0</v>
      </c>
      <c r="F98" s="5">
        <v>0</v>
      </c>
      <c r="G98" s="5">
        <v>289489970</v>
      </c>
      <c r="H98" s="5">
        <v>3325709</v>
      </c>
      <c r="I98" s="5">
        <v>29083</v>
      </c>
      <c r="J98" s="5">
        <v>6477417</v>
      </c>
      <c r="K98" s="5">
        <v>40616</v>
      </c>
      <c r="L98" s="5" t="s">
        <v>936</v>
      </c>
      <c r="M98" s="5" t="s">
        <v>942</v>
      </c>
    </row>
    <row r="99" spans="1:13" x14ac:dyDescent="0.3">
      <c r="A99" s="5" t="s">
        <v>961</v>
      </c>
      <c r="B99" s="5">
        <v>55</v>
      </c>
      <c r="C99" s="5">
        <v>15729542</v>
      </c>
      <c r="D99" s="5">
        <v>336128</v>
      </c>
      <c r="E99" s="5">
        <v>0</v>
      </c>
      <c r="F99" s="5">
        <v>0</v>
      </c>
      <c r="G99" s="5">
        <v>306533786</v>
      </c>
      <c r="H99" s="5">
        <v>3819348</v>
      </c>
      <c r="I99" s="5">
        <v>44537</v>
      </c>
      <c r="J99" s="5">
        <v>3480620</v>
      </c>
      <c r="K99" s="5">
        <v>41660</v>
      </c>
      <c r="L99" s="5" t="s">
        <v>936</v>
      </c>
      <c r="M99" s="5" t="s">
        <v>946</v>
      </c>
    </row>
    <row r="100" spans="1:13" x14ac:dyDescent="0.3">
      <c r="A100" s="5" t="s">
        <v>960</v>
      </c>
      <c r="B100" s="5">
        <v>87</v>
      </c>
      <c r="C100" s="5">
        <v>30241292</v>
      </c>
      <c r="D100" s="5">
        <v>327180</v>
      </c>
      <c r="E100" s="5">
        <v>0</v>
      </c>
      <c r="F100" s="5">
        <v>0</v>
      </c>
      <c r="G100" s="5">
        <v>303143687</v>
      </c>
      <c r="H100" s="5">
        <v>3279575</v>
      </c>
      <c r="I100" s="5">
        <v>23100</v>
      </c>
      <c r="J100" s="5">
        <v>6151726</v>
      </c>
      <c r="K100" s="5">
        <v>35660</v>
      </c>
      <c r="L100" s="5" t="s">
        <v>936</v>
      </c>
      <c r="M100" s="5" t="s">
        <v>945</v>
      </c>
    </row>
    <row r="101" spans="1:13" x14ac:dyDescent="0.3">
      <c r="A101" s="5" t="s">
        <v>865</v>
      </c>
      <c r="B101" s="5">
        <v>161</v>
      </c>
      <c r="C101" s="5">
        <v>59298515</v>
      </c>
      <c r="D101" s="5">
        <v>326044</v>
      </c>
      <c r="E101" s="5">
        <v>350</v>
      </c>
      <c r="F101" s="5">
        <v>0</v>
      </c>
      <c r="G101" s="5">
        <v>186910021</v>
      </c>
      <c r="H101" s="5">
        <v>1595992</v>
      </c>
      <c r="I101" s="5">
        <v>3525</v>
      </c>
      <c r="J101" s="5">
        <v>35083546</v>
      </c>
      <c r="K101" s="5">
        <v>37303</v>
      </c>
      <c r="L101" s="5" t="s">
        <v>936</v>
      </c>
      <c r="M101" s="5" t="s">
        <v>937</v>
      </c>
    </row>
    <row r="102" spans="1:13" x14ac:dyDescent="0.3">
      <c r="A102" s="5" t="s">
        <v>825</v>
      </c>
      <c r="B102" s="5">
        <v>109</v>
      </c>
      <c r="C102" s="5">
        <v>27681665</v>
      </c>
      <c r="D102" s="5">
        <v>324273</v>
      </c>
      <c r="E102" s="5">
        <v>0</v>
      </c>
      <c r="F102" s="5">
        <v>0</v>
      </c>
      <c r="G102" s="5">
        <v>240972707</v>
      </c>
      <c r="H102" s="5">
        <v>2663717</v>
      </c>
      <c r="I102" s="5">
        <v>54184</v>
      </c>
      <c r="J102" s="5">
        <v>3499294</v>
      </c>
      <c r="K102" s="5">
        <v>39122</v>
      </c>
      <c r="L102" s="5" t="s">
        <v>936</v>
      </c>
      <c r="M102" s="5" t="s">
        <v>937</v>
      </c>
    </row>
    <row r="103" spans="1:13" x14ac:dyDescent="0.3">
      <c r="A103" s="5" t="s">
        <v>822</v>
      </c>
      <c r="B103" s="5">
        <v>101</v>
      </c>
      <c r="C103" s="5">
        <v>28959755</v>
      </c>
      <c r="D103" s="5">
        <v>323678</v>
      </c>
      <c r="E103" s="5">
        <v>700</v>
      </c>
      <c r="F103" s="5">
        <v>0</v>
      </c>
      <c r="G103" s="5">
        <v>287566816</v>
      </c>
      <c r="H103" s="5">
        <v>2881272</v>
      </c>
      <c r="I103" s="5">
        <v>83282</v>
      </c>
      <c r="J103" s="5">
        <v>2963087</v>
      </c>
      <c r="K103" s="5">
        <v>39623</v>
      </c>
      <c r="L103" s="5" t="s">
        <v>936</v>
      </c>
      <c r="M103" s="5" t="s">
        <v>944</v>
      </c>
    </row>
    <row r="104" spans="1:13" x14ac:dyDescent="0.3">
      <c r="A104" s="5" t="s">
        <v>836</v>
      </c>
      <c r="B104" s="5">
        <v>127</v>
      </c>
      <c r="C104" s="5">
        <v>15965984</v>
      </c>
      <c r="D104" s="5">
        <v>323335</v>
      </c>
      <c r="E104" s="5">
        <v>0</v>
      </c>
      <c r="F104" s="5">
        <v>0</v>
      </c>
      <c r="G104" s="5">
        <v>276255263</v>
      </c>
      <c r="H104" s="5">
        <v>2360149</v>
      </c>
      <c r="I104" s="5">
        <v>22159</v>
      </c>
      <c r="J104" s="5">
        <v>3937082</v>
      </c>
      <c r="K104" s="5">
        <v>39120</v>
      </c>
      <c r="L104" s="5" t="s">
        <v>936</v>
      </c>
      <c r="M104" s="5" t="s">
        <v>940</v>
      </c>
    </row>
    <row r="105" spans="1:13" x14ac:dyDescent="0.3">
      <c r="A105" s="5" t="s">
        <v>766</v>
      </c>
      <c r="B105" s="5">
        <v>32</v>
      </c>
      <c r="C105" s="5">
        <v>16018760</v>
      </c>
      <c r="D105" s="5">
        <v>321206</v>
      </c>
      <c r="E105" s="5">
        <v>0</v>
      </c>
      <c r="F105" s="5">
        <v>0</v>
      </c>
      <c r="G105" s="5">
        <v>334123191</v>
      </c>
      <c r="H105" s="5">
        <v>4135972</v>
      </c>
      <c r="I105" s="5">
        <v>58248</v>
      </c>
      <c r="J105" s="5">
        <v>2762450</v>
      </c>
      <c r="K105" s="5">
        <v>37430</v>
      </c>
      <c r="L105" s="5" t="s">
        <v>936</v>
      </c>
      <c r="M105" s="5" t="s">
        <v>937</v>
      </c>
    </row>
    <row r="106" spans="1:13" x14ac:dyDescent="0.3">
      <c r="A106" s="5" t="s">
        <v>869</v>
      </c>
      <c r="B106" s="5">
        <v>165</v>
      </c>
      <c r="C106" s="5">
        <v>19330915</v>
      </c>
      <c r="D106" s="5">
        <v>316625</v>
      </c>
      <c r="E106" s="5">
        <v>8100</v>
      </c>
      <c r="F106" s="5">
        <v>0</v>
      </c>
      <c r="G106" s="5">
        <v>164861897</v>
      </c>
      <c r="H106" s="5">
        <v>1791809</v>
      </c>
      <c r="I106" s="5">
        <v>88777</v>
      </c>
      <c r="J106" s="5">
        <v>2945065</v>
      </c>
      <c r="K106" s="5">
        <v>27240</v>
      </c>
      <c r="L106" s="5" t="s">
        <v>936</v>
      </c>
      <c r="M106" s="5" t="s">
        <v>940</v>
      </c>
    </row>
    <row r="107" spans="1:13" x14ac:dyDescent="0.3">
      <c r="A107" s="5" t="s">
        <v>967</v>
      </c>
      <c r="B107" s="5">
        <v>113</v>
      </c>
      <c r="C107" s="5">
        <v>27516339</v>
      </c>
      <c r="D107" s="5">
        <v>310812</v>
      </c>
      <c r="E107" s="5">
        <v>0</v>
      </c>
      <c r="F107" s="5">
        <v>0</v>
      </c>
      <c r="G107" s="5">
        <v>309910330</v>
      </c>
      <c r="H107" s="5">
        <v>2904298</v>
      </c>
      <c r="I107" s="5">
        <v>31795</v>
      </c>
      <c r="J107" s="5">
        <v>3722185</v>
      </c>
      <c r="K107" s="5">
        <v>44820</v>
      </c>
      <c r="L107" s="5" t="s">
        <v>936</v>
      </c>
      <c r="M107" s="5" t="s">
        <v>942</v>
      </c>
    </row>
    <row r="108" spans="1:13" x14ac:dyDescent="0.3">
      <c r="A108" s="5" t="s">
        <v>969</v>
      </c>
      <c r="B108" s="5">
        <v>106</v>
      </c>
      <c r="C108" s="5">
        <v>30519965</v>
      </c>
      <c r="D108" s="5">
        <v>309537</v>
      </c>
      <c r="E108" s="5">
        <v>0</v>
      </c>
      <c r="F108" s="5">
        <v>0</v>
      </c>
      <c r="G108" s="5">
        <v>292772169</v>
      </c>
      <c r="H108" s="5">
        <v>2654278</v>
      </c>
      <c r="I108" s="5">
        <v>28126</v>
      </c>
      <c r="J108" s="5">
        <v>17338769</v>
      </c>
      <c r="K108" s="5">
        <v>34120</v>
      </c>
      <c r="L108" s="5" t="s">
        <v>936</v>
      </c>
      <c r="M108" s="5" t="s">
        <v>946</v>
      </c>
    </row>
    <row r="109" spans="1:13" x14ac:dyDescent="0.3">
      <c r="A109" s="5" t="s">
        <v>963</v>
      </c>
      <c r="B109" s="5">
        <v>119</v>
      </c>
      <c r="C109" s="5">
        <v>14893477</v>
      </c>
      <c r="D109" s="5">
        <v>309069</v>
      </c>
      <c r="E109" s="5">
        <v>800</v>
      </c>
      <c r="F109" s="5">
        <v>0</v>
      </c>
      <c r="G109" s="5">
        <v>273417822</v>
      </c>
      <c r="H109" s="5">
        <v>2507487</v>
      </c>
      <c r="I109" s="5">
        <v>49969</v>
      </c>
      <c r="J109" s="5">
        <v>3449800</v>
      </c>
      <c r="K109" s="5">
        <v>30660</v>
      </c>
      <c r="L109" s="5" t="s">
        <v>936</v>
      </c>
      <c r="M109" s="5" t="s">
        <v>946</v>
      </c>
    </row>
    <row r="110" spans="1:13" x14ac:dyDescent="0.3">
      <c r="A110" s="5" t="s">
        <v>855</v>
      </c>
      <c r="B110" s="5">
        <v>144</v>
      </c>
      <c r="C110" s="5">
        <v>27502668</v>
      </c>
      <c r="D110" s="5">
        <v>302799</v>
      </c>
      <c r="E110" s="5">
        <v>350</v>
      </c>
      <c r="F110" s="5">
        <v>0</v>
      </c>
      <c r="G110" s="5">
        <v>212490434</v>
      </c>
      <c r="H110" s="5">
        <v>1840380</v>
      </c>
      <c r="I110" s="5">
        <v>37182</v>
      </c>
      <c r="J110" s="5">
        <v>3571075</v>
      </c>
      <c r="K110" s="5">
        <v>33813</v>
      </c>
      <c r="L110" s="5" t="s">
        <v>936</v>
      </c>
      <c r="M110" s="5" t="s">
        <v>940</v>
      </c>
    </row>
    <row r="111" spans="1:13" x14ac:dyDescent="0.3">
      <c r="A111" s="5" t="s">
        <v>806</v>
      </c>
      <c r="B111" s="5">
        <v>81</v>
      </c>
      <c r="C111" s="5">
        <v>30388706</v>
      </c>
      <c r="D111" s="5">
        <v>300678</v>
      </c>
      <c r="E111" s="5">
        <v>50</v>
      </c>
      <c r="F111" s="5">
        <v>0</v>
      </c>
      <c r="G111" s="5">
        <v>364701175</v>
      </c>
      <c r="H111" s="5">
        <v>3199317</v>
      </c>
      <c r="I111" s="5">
        <v>34564</v>
      </c>
      <c r="J111" s="5">
        <v>4581119</v>
      </c>
      <c r="K111" s="5">
        <v>43943</v>
      </c>
      <c r="L111" s="5" t="s">
        <v>936</v>
      </c>
      <c r="M111" s="5" t="s">
        <v>939</v>
      </c>
    </row>
    <row r="112" spans="1:13" x14ac:dyDescent="0.3">
      <c r="A112" s="5" t="s">
        <v>802</v>
      </c>
      <c r="B112" s="5">
        <v>77</v>
      </c>
      <c r="C112" s="5">
        <v>33089730</v>
      </c>
      <c r="D112" s="5">
        <v>299673</v>
      </c>
      <c r="E112" s="5">
        <v>350</v>
      </c>
      <c r="F112" s="5">
        <v>0</v>
      </c>
      <c r="G112" s="5">
        <v>322032625</v>
      </c>
      <c r="H112" s="5">
        <v>3601320</v>
      </c>
      <c r="I112" s="5">
        <v>44372</v>
      </c>
      <c r="J112" s="5">
        <v>2912558</v>
      </c>
      <c r="K112" s="5">
        <v>39840</v>
      </c>
      <c r="L112" s="5" t="s">
        <v>936</v>
      </c>
      <c r="M112" s="5" t="s">
        <v>937</v>
      </c>
    </row>
    <row r="113" spans="1:13" x14ac:dyDescent="0.3">
      <c r="A113" s="5" t="s">
        <v>819</v>
      </c>
      <c r="B113" s="5">
        <v>99</v>
      </c>
      <c r="C113" s="5">
        <v>14660822</v>
      </c>
      <c r="D113" s="5">
        <v>294774</v>
      </c>
      <c r="E113" s="5">
        <v>0</v>
      </c>
      <c r="F113" s="5">
        <v>0</v>
      </c>
      <c r="G113" s="5">
        <v>214827589</v>
      </c>
      <c r="H113" s="5">
        <v>2746788</v>
      </c>
      <c r="I113" s="5">
        <v>61107</v>
      </c>
      <c r="J113" s="5">
        <v>8640603</v>
      </c>
      <c r="K113" s="5">
        <v>28983</v>
      </c>
      <c r="L113" s="5" t="s">
        <v>936</v>
      </c>
      <c r="M113" s="5" t="s">
        <v>946</v>
      </c>
    </row>
    <row r="114" spans="1:13" x14ac:dyDescent="0.3">
      <c r="A114" s="5" t="s">
        <v>964</v>
      </c>
      <c r="B114" s="5">
        <v>108</v>
      </c>
      <c r="C114" s="5">
        <v>14980527</v>
      </c>
      <c r="D114" s="5">
        <v>293860</v>
      </c>
      <c r="E114" s="5">
        <v>1750</v>
      </c>
      <c r="F114" s="5">
        <v>0</v>
      </c>
      <c r="G114" s="5">
        <v>222358642</v>
      </c>
      <c r="H114" s="5">
        <v>2781325</v>
      </c>
      <c r="I114" s="5">
        <v>55379</v>
      </c>
      <c r="J114" s="5">
        <v>3037846</v>
      </c>
      <c r="K114" s="5">
        <v>32740</v>
      </c>
      <c r="L114" s="5" t="s">
        <v>936</v>
      </c>
      <c r="M114" s="5" t="s">
        <v>939</v>
      </c>
    </row>
    <row r="115" spans="1:13" x14ac:dyDescent="0.3">
      <c r="A115" s="5" t="s">
        <v>846</v>
      </c>
      <c r="B115" s="5">
        <v>137</v>
      </c>
      <c r="C115" s="5">
        <v>21911563</v>
      </c>
      <c r="D115" s="5">
        <v>293600</v>
      </c>
      <c r="E115" s="5">
        <v>12805</v>
      </c>
      <c r="F115" s="5">
        <v>0</v>
      </c>
      <c r="G115" s="5">
        <v>209266130</v>
      </c>
      <c r="H115" s="5">
        <v>2107442</v>
      </c>
      <c r="I115" s="5">
        <v>120518</v>
      </c>
      <c r="J115" s="5">
        <v>3654670</v>
      </c>
      <c r="K115" s="5">
        <v>33940</v>
      </c>
      <c r="L115" s="5" t="s">
        <v>936</v>
      </c>
      <c r="M115" s="5" t="s">
        <v>942</v>
      </c>
    </row>
    <row r="116" spans="1:13" x14ac:dyDescent="0.3">
      <c r="A116" s="5" t="s">
        <v>838</v>
      </c>
      <c r="B116" s="5">
        <v>129</v>
      </c>
      <c r="C116" s="5">
        <v>19120153</v>
      </c>
      <c r="D116" s="5">
        <v>288419</v>
      </c>
      <c r="E116" s="5">
        <v>340</v>
      </c>
      <c r="F116" s="5">
        <v>935880</v>
      </c>
      <c r="G116" s="5">
        <v>208539960</v>
      </c>
      <c r="H116" s="5">
        <v>2327793</v>
      </c>
      <c r="I116" s="5">
        <v>45520</v>
      </c>
      <c r="J116" s="5">
        <v>5152246</v>
      </c>
      <c r="K116" s="5">
        <v>34510</v>
      </c>
      <c r="L116" s="5" t="s">
        <v>936</v>
      </c>
      <c r="M116" s="5" t="s">
        <v>942</v>
      </c>
    </row>
    <row r="117" spans="1:13" x14ac:dyDescent="0.3">
      <c r="A117" s="5" t="s">
        <v>833</v>
      </c>
      <c r="B117" s="5">
        <v>121</v>
      </c>
      <c r="C117" s="5">
        <v>24011693</v>
      </c>
      <c r="D117" s="5">
        <v>287427</v>
      </c>
      <c r="E117" s="5">
        <v>0</v>
      </c>
      <c r="F117" s="5">
        <v>0</v>
      </c>
      <c r="G117" s="5">
        <v>274050569</v>
      </c>
      <c r="H117" s="5">
        <v>2500277</v>
      </c>
      <c r="I117" s="5">
        <v>41424</v>
      </c>
      <c r="J117" s="5">
        <v>2144170</v>
      </c>
      <c r="K117" s="5">
        <v>43040</v>
      </c>
      <c r="L117" s="5" t="s">
        <v>936</v>
      </c>
      <c r="M117" s="5" t="s">
        <v>944</v>
      </c>
    </row>
    <row r="118" spans="1:13" x14ac:dyDescent="0.3">
      <c r="A118" s="5" t="s">
        <v>603</v>
      </c>
      <c r="B118" s="5">
        <v>115</v>
      </c>
      <c r="C118" s="5">
        <v>14058418</v>
      </c>
      <c r="D118" s="5">
        <v>286222</v>
      </c>
      <c r="E118" s="5">
        <v>700</v>
      </c>
      <c r="F118" s="5">
        <v>0</v>
      </c>
      <c r="G118" s="5">
        <v>215250255</v>
      </c>
      <c r="H118" s="5">
        <v>2698091</v>
      </c>
      <c r="I118" s="5">
        <v>40511</v>
      </c>
      <c r="J118" s="5">
        <v>5309261</v>
      </c>
      <c r="K118" s="5">
        <v>32700</v>
      </c>
      <c r="L118" s="5" t="s">
        <v>936</v>
      </c>
      <c r="M118" s="5" t="s">
        <v>945</v>
      </c>
    </row>
    <row r="119" spans="1:13" x14ac:dyDescent="0.3">
      <c r="A119" s="5" t="s">
        <v>791</v>
      </c>
      <c r="B119" s="5">
        <v>62</v>
      </c>
      <c r="C119" s="5">
        <v>14797483</v>
      </c>
      <c r="D119" s="5">
        <v>286145</v>
      </c>
      <c r="E119" s="5">
        <v>0</v>
      </c>
      <c r="F119" s="5">
        <v>0</v>
      </c>
      <c r="G119" s="5">
        <v>298999745</v>
      </c>
      <c r="H119" s="5">
        <v>3452676</v>
      </c>
      <c r="I119" s="5">
        <v>59468</v>
      </c>
      <c r="J119" s="5">
        <v>3355651</v>
      </c>
      <c r="K119" s="5">
        <v>36070</v>
      </c>
      <c r="L119" s="5" t="s">
        <v>936</v>
      </c>
      <c r="M119" s="5" t="s">
        <v>939</v>
      </c>
    </row>
    <row r="120" spans="1:13" x14ac:dyDescent="0.3">
      <c r="A120" s="5" t="s">
        <v>966</v>
      </c>
      <c r="B120" s="5">
        <v>154</v>
      </c>
      <c r="C120" s="5">
        <v>13394353</v>
      </c>
      <c r="D120" s="5">
        <v>286089</v>
      </c>
      <c r="E120" s="5">
        <v>206</v>
      </c>
      <c r="F120" s="5">
        <v>969282</v>
      </c>
      <c r="G120" s="5">
        <v>214975071</v>
      </c>
      <c r="H120" s="5">
        <v>1968734</v>
      </c>
      <c r="I120" s="5">
        <v>5882</v>
      </c>
      <c r="J120" s="5">
        <v>7760734</v>
      </c>
      <c r="K120" s="5">
        <v>40810</v>
      </c>
      <c r="L120" s="5" t="s">
        <v>936</v>
      </c>
      <c r="M120" s="5" t="s">
        <v>940</v>
      </c>
    </row>
    <row r="121" spans="1:13" x14ac:dyDescent="0.3">
      <c r="A121" s="5" t="s">
        <v>864</v>
      </c>
      <c r="B121" s="5">
        <v>159</v>
      </c>
      <c r="C121" s="5">
        <v>21972176</v>
      </c>
      <c r="D121" s="5">
        <v>283790</v>
      </c>
      <c r="E121" s="5">
        <v>350</v>
      </c>
      <c r="F121" s="5">
        <v>0</v>
      </c>
      <c r="G121" s="5">
        <v>210823593</v>
      </c>
      <c r="H121" s="5">
        <v>1800451</v>
      </c>
      <c r="I121" s="5">
        <v>14615</v>
      </c>
      <c r="J121" s="5">
        <v>3144058</v>
      </c>
      <c r="K121" s="5">
        <v>42693</v>
      </c>
      <c r="L121" s="5" t="s">
        <v>936</v>
      </c>
      <c r="M121" s="5" t="s">
        <v>937</v>
      </c>
    </row>
    <row r="122" spans="1:13" x14ac:dyDescent="0.3">
      <c r="A122" s="5" t="s">
        <v>884</v>
      </c>
      <c r="B122" s="5">
        <v>181</v>
      </c>
      <c r="C122" s="5">
        <v>17072644</v>
      </c>
      <c r="D122" s="5">
        <v>283077</v>
      </c>
      <c r="E122" s="5">
        <v>14800</v>
      </c>
      <c r="F122" s="5">
        <v>0</v>
      </c>
      <c r="G122" s="5">
        <v>113577836</v>
      </c>
      <c r="H122" s="5">
        <v>1657956</v>
      </c>
      <c r="I122" s="5">
        <v>100932</v>
      </c>
      <c r="J122" s="5">
        <v>33252253</v>
      </c>
      <c r="K122" s="5">
        <v>26095</v>
      </c>
      <c r="L122" s="5" t="s">
        <v>936</v>
      </c>
      <c r="M122" s="5" t="s">
        <v>959</v>
      </c>
    </row>
    <row r="123" spans="1:13" x14ac:dyDescent="0.3">
      <c r="A123" s="5" t="s">
        <v>778</v>
      </c>
      <c r="B123" s="5">
        <v>53</v>
      </c>
      <c r="C123" s="5">
        <v>38285105</v>
      </c>
      <c r="D123" s="5">
        <v>282083</v>
      </c>
      <c r="E123" s="5">
        <v>50</v>
      </c>
      <c r="F123" s="5">
        <v>0</v>
      </c>
      <c r="G123" s="5">
        <v>374978948</v>
      </c>
      <c r="H123" s="5">
        <v>3711880</v>
      </c>
      <c r="I123" s="5">
        <v>46784</v>
      </c>
      <c r="J123" s="5">
        <v>2712776</v>
      </c>
      <c r="K123" s="5">
        <v>36840</v>
      </c>
      <c r="L123" s="5" t="s">
        <v>936</v>
      </c>
      <c r="M123" s="5" t="s">
        <v>937</v>
      </c>
    </row>
    <row r="124" spans="1:13" x14ac:dyDescent="0.3">
      <c r="A124" s="5" t="s">
        <v>807</v>
      </c>
      <c r="B124" s="5">
        <v>82</v>
      </c>
      <c r="C124" s="5">
        <v>13062984</v>
      </c>
      <c r="D124" s="5">
        <v>276828</v>
      </c>
      <c r="E124" s="5">
        <v>0</v>
      </c>
      <c r="F124" s="5">
        <v>0</v>
      </c>
      <c r="G124" s="5">
        <v>281744905</v>
      </c>
      <c r="H124" s="5">
        <v>3483553</v>
      </c>
      <c r="I124" s="5">
        <v>33135</v>
      </c>
      <c r="J124" s="5">
        <v>3953012</v>
      </c>
      <c r="K124" s="5">
        <v>41540</v>
      </c>
      <c r="L124" s="5" t="s">
        <v>936</v>
      </c>
      <c r="M124" s="5" t="s">
        <v>939</v>
      </c>
    </row>
    <row r="125" spans="1:13" x14ac:dyDescent="0.3">
      <c r="A125" s="5" t="s">
        <v>845</v>
      </c>
      <c r="B125" s="5">
        <v>134</v>
      </c>
      <c r="C125" s="5">
        <v>26224729</v>
      </c>
      <c r="D125" s="5">
        <v>275325</v>
      </c>
      <c r="E125" s="5">
        <v>0</v>
      </c>
      <c r="F125" s="5">
        <v>0</v>
      </c>
      <c r="G125" s="5">
        <v>252359140</v>
      </c>
      <c r="H125" s="5">
        <v>2062259</v>
      </c>
      <c r="I125" s="5">
        <v>35605</v>
      </c>
      <c r="J125" s="5">
        <v>20487871</v>
      </c>
      <c r="K125" s="5">
        <v>38016</v>
      </c>
      <c r="L125" s="5" t="s">
        <v>936</v>
      </c>
      <c r="M125" s="5" t="s">
        <v>944</v>
      </c>
    </row>
    <row r="126" spans="1:13" x14ac:dyDescent="0.3">
      <c r="A126" s="5" t="s">
        <v>857</v>
      </c>
      <c r="B126" s="5">
        <v>147</v>
      </c>
      <c r="C126" s="5">
        <v>18034235</v>
      </c>
      <c r="D126" s="5">
        <v>272847</v>
      </c>
      <c r="E126" s="5">
        <v>96</v>
      </c>
      <c r="F126" s="5">
        <v>0</v>
      </c>
      <c r="G126" s="5">
        <v>216410310</v>
      </c>
      <c r="H126" s="5">
        <v>1902811</v>
      </c>
      <c r="I126" s="5">
        <v>17667</v>
      </c>
      <c r="J126" s="5">
        <v>3835056</v>
      </c>
      <c r="K126" s="5">
        <v>40673</v>
      </c>
      <c r="L126" s="5" t="s">
        <v>936</v>
      </c>
      <c r="M126" s="5" t="s">
        <v>962</v>
      </c>
    </row>
    <row r="127" spans="1:13" x14ac:dyDescent="0.3">
      <c r="A127" s="5" t="s">
        <v>787</v>
      </c>
      <c r="B127" s="5">
        <v>57</v>
      </c>
      <c r="C127" s="5">
        <v>13591112</v>
      </c>
      <c r="D127" s="5">
        <v>272499</v>
      </c>
      <c r="E127" s="5">
        <v>0</v>
      </c>
      <c r="F127" s="5">
        <v>0</v>
      </c>
      <c r="G127" s="5">
        <v>286085350</v>
      </c>
      <c r="H127" s="5">
        <v>3578721</v>
      </c>
      <c r="I127" s="5">
        <v>42937</v>
      </c>
      <c r="J127" s="5">
        <v>3787035</v>
      </c>
      <c r="K127" s="5">
        <v>32990</v>
      </c>
      <c r="L127" s="5" t="s">
        <v>936</v>
      </c>
      <c r="M127" s="5" t="s">
        <v>939</v>
      </c>
    </row>
    <row r="128" spans="1:13" x14ac:dyDescent="0.3">
      <c r="A128" s="5" t="s">
        <v>840</v>
      </c>
      <c r="B128" s="5">
        <v>131</v>
      </c>
      <c r="C128" s="5">
        <v>15470863</v>
      </c>
      <c r="D128" s="5">
        <v>269712</v>
      </c>
      <c r="E128" s="5">
        <v>0</v>
      </c>
      <c r="F128" s="5">
        <v>0</v>
      </c>
      <c r="G128" s="5">
        <v>199168868</v>
      </c>
      <c r="H128" s="5">
        <v>2261507</v>
      </c>
      <c r="I128" s="5">
        <v>24305</v>
      </c>
      <c r="J128" s="5">
        <v>7092507</v>
      </c>
      <c r="K128" s="5">
        <v>35350</v>
      </c>
      <c r="L128" s="5" t="s">
        <v>936</v>
      </c>
      <c r="M128" s="5" t="s">
        <v>937</v>
      </c>
    </row>
    <row r="129" spans="1:13" x14ac:dyDescent="0.3">
      <c r="A129" s="5" t="s">
        <v>886</v>
      </c>
      <c r="B129" s="5">
        <v>183</v>
      </c>
      <c r="C129" s="5">
        <v>11028054</v>
      </c>
      <c r="D129" s="5">
        <v>269551</v>
      </c>
      <c r="E129" s="5">
        <v>10970</v>
      </c>
      <c r="F129" s="5">
        <v>0</v>
      </c>
      <c r="G129" s="5">
        <v>141765828</v>
      </c>
      <c r="H129" s="5">
        <v>1169213</v>
      </c>
      <c r="I129" s="5">
        <v>42237</v>
      </c>
      <c r="J129" s="5">
        <v>6840688</v>
      </c>
      <c r="K129" s="5">
        <v>31570</v>
      </c>
      <c r="L129" s="5" t="s">
        <v>936</v>
      </c>
      <c r="M129" s="5" t="s">
        <v>959</v>
      </c>
    </row>
    <row r="130" spans="1:13" x14ac:dyDescent="0.3">
      <c r="A130" s="5" t="s">
        <v>965</v>
      </c>
      <c r="B130" s="5">
        <v>136</v>
      </c>
      <c r="C130" s="5">
        <v>11994917</v>
      </c>
      <c r="D130" s="5">
        <v>266507</v>
      </c>
      <c r="E130" s="5">
        <v>0</v>
      </c>
      <c r="F130" s="5">
        <v>0</v>
      </c>
      <c r="G130" s="5">
        <v>200548866</v>
      </c>
      <c r="H130" s="5">
        <v>2059284</v>
      </c>
      <c r="I130" s="5">
        <v>48816</v>
      </c>
      <c r="J130" s="5">
        <v>2946859</v>
      </c>
      <c r="K130" s="5">
        <v>36013</v>
      </c>
      <c r="L130" s="5" t="s">
        <v>936</v>
      </c>
      <c r="M130" s="5" t="s">
        <v>942</v>
      </c>
    </row>
    <row r="131" spans="1:13" x14ac:dyDescent="0.3">
      <c r="A131" s="5" t="s">
        <v>972</v>
      </c>
      <c r="B131" s="5">
        <v>86</v>
      </c>
      <c r="C131" s="5">
        <v>21758036</v>
      </c>
      <c r="D131" s="5">
        <v>262072</v>
      </c>
      <c r="E131" s="5">
        <v>101</v>
      </c>
      <c r="F131" s="5">
        <v>0</v>
      </c>
      <c r="G131" s="5">
        <v>319938458</v>
      </c>
      <c r="H131" s="5">
        <v>3205334</v>
      </c>
      <c r="I131" s="5">
        <v>39983</v>
      </c>
      <c r="J131" s="5">
        <v>2716994</v>
      </c>
      <c r="K131" s="5">
        <v>38490</v>
      </c>
      <c r="L131" s="5" t="s">
        <v>936</v>
      </c>
      <c r="M131" s="5" t="s">
        <v>942</v>
      </c>
    </row>
    <row r="132" spans="1:13" x14ac:dyDescent="0.3">
      <c r="A132" s="5" t="s">
        <v>872</v>
      </c>
      <c r="B132" s="5">
        <v>170</v>
      </c>
      <c r="C132" s="5">
        <v>12668130</v>
      </c>
      <c r="D132" s="5">
        <v>257719</v>
      </c>
      <c r="E132" s="5">
        <v>0</v>
      </c>
      <c r="F132" s="5">
        <v>0</v>
      </c>
      <c r="G132" s="5">
        <v>184509141</v>
      </c>
      <c r="H132" s="5">
        <v>1389898</v>
      </c>
      <c r="I132" s="5">
        <v>2600</v>
      </c>
      <c r="J132" s="5">
        <v>2749870</v>
      </c>
      <c r="K132" s="5">
        <v>35759</v>
      </c>
      <c r="L132" s="5" t="s">
        <v>936</v>
      </c>
      <c r="M132" s="5" t="s">
        <v>944</v>
      </c>
    </row>
    <row r="133" spans="1:13" x14ac:dyDescent="0.3">
      <c r="A133" s="5" t="s">
        <v>849</v>
      </c>
      <c r="B133" s="5">
        <v>142</v>
      </c>
      <c r="C133" s="5">
        <v>23329380</v>
      </c>
      <c r="D133" s="5">
        <v>251328</v>
      </c>
      <c r="E133" s="5">
        <v>154</v>
      </c>
      <c r="F133" s="5">
        <v>0</v>
      </c>
      <c r="G133" s="5">
        <v>326213821</v>
      </c>
      <c r="H133" s="5">
        <v>1905895</v>
      </c>
      <c r="I133" s="5">
        <v>19136</v>
      </c>
      <c r="J133" s="5">
        <v>4192603</v>
      </c>
      <c r="K133" s="5">
        <v>38970</v>
      </c>
      <c r="L133" s="5" t="s">
        <v>936</v>
      </c>
      <c r="M133" s="5" t="s">
        <v>937</v>
      </c>
    </row>
    <row r="134" spans="1:13" x14ac:dyDescent="0.3">
      <c r="A134" s="5" t="s">
        <v>843</v>
      </c>
      <c r="B134" s="5">
        <v>135</v>
      </c>
      <c r="C134" s="5">
        <v>12624777</v>
      </c>
      <c r="D134" s="5">
        <v>247856</v>
      </c>
      <c r="E134" s="5">
        <v>2398</v>
      </c>
      <c r="F134" s="5">
        <v>0</v>
      </c>
      <c r="G134" s="5">
        <v>188955655</v>
      </c>
      <c r="H134" s="5">
        <v>2187940</v>
      </c>
      <c r="I134" s="5">
        <v>53659</v>
      </c>
      <c r="J134" s="5">
        <v>3519551</v>
      </c>
      <c r="K134" s="5">
        <v>34730</v>
      </c>
      <c r="L134" s="5" t="s">
        <v>936</v>
      </c>
      <c r="M134" s="5" t="s">
        <v>962</v>
      </c>
    </row>
    <row r="135" spans="1:13" x14ac:dyDescent="0.3">
      <c r="A135" s="5" t="s">
        <v>848</v>
      </c>
      <c r="B135" s="5">
        <v>141</v>
      </c>
      <c r="C135" s="5">
        <v>10528177</v>
      </c>
      <c r="D135" s="5">
        <v>245385</v>
      </c>
      <c r="E135" s="5">
        <v>3050</v>
      </c>
      <c r="F135" s="5">
        <v>0</v>
      </c>
      <c r="G135" s="5">
        <v>203587505</v>
      </c>
      <c r="H135" s="5">
        <v>2062249</v>
      </c>
      <c r="I135" s="5">
        <v>44087</v>
      </c>
      <c r="J135" s="5">
        <v>6223868</v>
      </c>
      <c r="K135" s="5">
        <v>38279</v>
      </c>
      <c r="L135" s="5" t="s">
        <v>936</v>
      </c>
      <c r="M135" s="5" t="s">
        <v>945</v>
      </c>
    </row>
    <row r="136" spans="1:13" x14ac:dyDescent="0.3">
      <c r="A136" s="5" t="s">
        <v>841</v>
      </c>
      <c r="B136" s="5">
        <v>132</v>
      </c>
      <c r="C136" s="5">
        <v>12283328</v>
      </c>
      <c r="D136" s="5">
        <v>244718</v>
      </c>
      <c r="E136" s="5">
        <v>4500</v>
      </c>
      <c r="F136" s="5">
        <v>1332616</v>
      </c>
      <c r="G136" s="5">
        <v>151904307</v>
      </c>
      <c r="H136" s="5">
        <v>2159051</v>
      </c>
      <c r="I136" s="5">
        <v>62403</v>
      </c>
      <c r="J136" s="5">
        <v>37062837</v>
      </c>
      <c r="K136" s="5">
        <v>30190</v>
      </c>
      <c r="L136" s="5" t="s">
        <v>936</v>
      </c>
      <c r="M136" s="5" t="s">
        <v>945</v>
      </c>
    </row>
    <row r="137" spans="1:13" x14ac:dyDescent="0.3">
      <c r="A137" s="5" t="s">
        <v>830</v>
      </c>
      <c r="B137" s="5">
        <v>120</v>
      </c>
      <c r="C137" s="5">
        <v>11328652</v>
      </c>
      <c r="D137" s="5">
        <v>236966</v>
      </c>
      <c r="E137" s="5">
        <v>2250</v>
      </c>
      <c r="F137" s="5">
        <v>0</v>
      </c>
      <c r="G137" s="5">
        <v>200329825</v>
      </c>
      <c r="H137" s="5">
        <v>2454777</v>
      </c>
      <c r="I137" s="5">
        <v>53609</v>
      </c>
      <c r="J137" s="5">
        <v>4167307</v>
      </c>
      <c r="K137" s="5">
        <v>24890</v>
      </c>
      <c r="L137" s="5" t="s">
        <v>936</v>
      </c>
      <c r="M137" s="5" t="s">
        <v>945</v>
      </c>
    </row>
    <row r="138" spans="1:13" x14ac:dyDescent="0.3">
      <c r="A138" s="5" t="s">
        <v>817</v>
      </c>
      <c r="B138" s="5">
        <v>97</v>
      </c>
      <c r="C138" s="5">
        <v>11839849</v>
      </c>
      <c r="D138" s="5">
        <v>236864</v>
      </c>
      <c r="E138" s="5">
        <v>0</v>
      </c>
      <c r="F138" s="5">
        <v>0</v>
      </c>
      <c r="G138" s="5">
        <v>262097410</v>
      </c>
      <c r="H138" s="5">
        <v>3004718</v>
      </c>
      <c r="I138" s="5">
        <v>49476</v>
      </c>
      <c r="J138" s="5">
        <v>3612005</v>
      </c>
      <c r="K138" s="5">
        <v>32899</v>
      </c>
      <c r="L138" s="5" t="s">
        <v>936</v>
      </c>
      <c r="M138" s="5" t="s">
        <v>940</v>
      </c>
    </row>
    <row r="139" spans="1:13" x14ac:dyDescent="0.3">
      <c r="A139" s="5" t="s">
        <v>859</v>
      </c>
      <c r="B139" s="5">
        <v>152</v>
      </c>
      <c r="C139" s="5">
        <v>25425522</v>
      </c>
      <c r="D139" s="5">
        <v>236307</v>
      </c>
      <c r="E139" s="5">
        <v>771</v>
      </c>
      <c r="F139" s="5">
        <v>0</v>
      </c>
      <c r="G139" s="5">
        <v>247107382</v>
      </c>
      <c r="H139" s="5">
        <v>1923738</v>
      </c>
      <c r="I139" s="5">
        <v>19746</v>
      </c>
      <c r="J139" s="5">
        <v>5374699</v>
      </c>
      <c r="K139" s="5">
        <v>39693</v>
      </c>
      <c r="L139" s="5" t="s">
        <v>936</v>
      </c>
      <c r="M139" s="5" t="s">
        <v>962</v>
      </c>
    </row>
    <row r="140" spans="1:13" x14ac:dyDescent="0.3">
      <c r="A140" s="5" t="s">
        <v>832</v>
      </c>
      <c r="B140" s="5">
        <v>123</v>
      </c>
      <c r="C140" s="5">
        <v>10521028</v>
      </c>
      <c r="D140" s="5">
        <v>233224</v>
      </c>
      <c r="E140" s="5">
        <v>9900</v>
      </c>
      <c r="F140" s="5">
        <v>0</v>
      </c>
      <c r="G140" s="5">
        <v>209746317</v>
      </c>
      <c r="H140" s="5">
        <v>2206408</v>
      </c>
      <c r="I140" s="5">
        <v>102252</v>
      </c>
      <c r="J140" s="5">
        <v>47067969</v>
      </c>
      <c r="K140" s="5">
        <v>31140</v>
      </c>
      <c r="L140" s="5" t="s">
        <v>936</v>
      </c>
      <c r="M140" s="5" t="s">
        <v>946</v>
      </c>
    </row>
    <row r="141" spans="1:13" x14ac:dyDescent="0.3">
      <c r="A141" s="5" t="s">
        <v>970</v>
      </c>
      <c r="B141" s="5">
        <v>102</v>
      </c>
      <c r="C141" s="5">
        <v>10127542</v>
      </c>
      <c r="D141" s="5">
        <v>232656</v>
      </c>
      <c r="E141" s="5">
        <v>2150</v>
      </c>
      <c r="F141" s="5">
        <v>0</v>
      </c>
      <c r="G141" s="5">
        <v>215330709</v>
      </c>
      <c r="H141" s="5">
        <v>2597015</v>
      </c>
      <c r="I141" s="5">
        <v>48867</v>
      </c>
      <c r="J141" s="5">
        <v>9585335</v>
      </c>
      <c r="K141" s="5">
        <v>34420</v>
      </c>
      <c r="L141" s="5" t="s">
        <v>936</v>
      </c>
      <c r="M141" s="5" t="s">
        <v>939</v>
      </c>
    </row>
    <row r="142" spans="1:13" x14ac:dyDescent="0.3">
      <c r="A142" s="5" t="s">
        <v>831</v>
      </c>
      <c r="B142" s="5">
        <v>124</v>
      </c>
      <c r="C142" s="5">
        <v>10039492</v>
      </c>
      <c r="D142" s="5">
        <v>227235</v>
      </c>
      <c r="E142" s="5">
        <v>3050</v>
      </c>
      <c r="F142" s="5">
        <v>13010457</v>
      </c>
      <c r="G142" s="5">
        <v>207663906</v>
      </c>
      <c r="H142" s="5">
        <v>2153139</v>
      </c>
      <c r="I142" s="5">
        <v>75527</v>
      </c>
      <c r="J142" s="5">
        <v>42286033</v>
      </c>
      <c r="K142" s="5">
        <v>36406</v>
      </c>
      <c r="L142" s="5" t="s">
        <v>936</v>
      </c>
      <c r="M142" s="5" t="s">
        <v>940</v>
      </c>
    </row>
    <row r="143" spans="1:13" x14ac:dyDescent="0.3">
      <c r="A143" s="5" t="s">
        <v>871</v>
      </c>
      <c r="B143" s="5">
        <v>169</v>
      </c>
      <c r="C143" s="5">
        <v>18587731</v>
      </c>
      <c r="D143" s="5">
        <v>226352</v>
      </c>
      <c r="E143" s="5">
        <v>350</v>
      </c>
      <c r="F143" s="5">
        <v>0</v>
      </c>
      <c r="G143" s="5">
        <v>157425028</v>
      </c>
      <c r="H143" s="5">
        <v>1495015</v>
      </c>
      <c r="I143" s="5">
        <v>7896</v>
      </c>
      <c r="J143" s="5">
        <v>4022349</v>
      </c>
      <c r="K143" s="5">
        <v>33245</v>
      </c>
      <c r="L143" s="5" t="s">
        <v>936</v>
      </c>
      <c r="M143" s="5" t="s">
        <v>959</v>
      </c>
    </row>
    <row r="144" spans="1:13" x14ac:dyDescent="0.3">
      <c r="A144" s="5" t="s">
        <v>870</v>
      </c>
      <c r="B144" s="5">
        <v>167</v>
      </c>
      <c r="C144" s="5">
        <v>21729559</v>
      </c>
      <c r="D144" s="5">
        <v>226059</v>
      </c>
      <c r="E144" s="5">
        <v>0</v>
      </c>
      <c r="F144" s="5">
        <v>0</v>
      </c>
      <c r="G144" s="5">
        <v>173332131</v>
      </c>
      <c r="H144" s="5">
        <v>1408125</v>
      </c>
      <c r="I144" s="5">
        <v>46489</v>
      </c>
      <c r="J144" s="5">
        <v>3293993</v>
      </c>
      <c r="K144" s="5">
        <v>31230</v>
      </c>
      <c r="L144" s="5" t="s">
        <v>936</v>
      </c>
      <c r="M144" s="5" t="s">
        <v>944</v>
      </c>
    </row>
    <row r="145" spans="1:13" x14ac:dyDescent="0.3">
      <c r="A145" s="5" t="s">
        <v>877</v>
      </c>
      <c r="B145" s="5">
        <v>174</v>
      </c>
      <c r="C145" s="5">
        <v>13258985</v>
      </c>
      <c r="D145" s="5">
        <v>224377</v>
      </c>
      <c r="E145" s="5">
        <v>0</v>
      </c>
      <c r="F145" s="5">
        <v>2929423</v>
      </c>
      <c r="G145" s="5">
        <v>177701987</v>
      </c>
      <c r="H145" s="5">
        <v>1301072</v>
      </c>
      <c r="I145" s="5">
        <v>33003</v>
      </c>
      <c r="J145" s="5">
        <v>11408653</v>
      </c>
      <c r="K145" s="5">
        <v>35830</v>
      </c>
      <c r="L145" s="5" t="s">
        <v>936</v>
      </c>
      <c r="M145" s="5" t="s">
        <v>942</v>
      </c>
    </row>
    <row r="146" spans="1:13" x14ac:dyDescent="0.3">
      <c r="A146" s="5" t="s">
        <v>824</v>
      </c>
      <c r="B146" s="5">
        <v>107</v>
      </c>
      <c r="C146" s="5">
        <v>21347954</v>
      </c>
      <c r="D146" s="5">
        <v>220106</v>
      </c>
      <c r="E146" s="5">
        <v>1801</v>
      </c>
      <c r="F146" s="5">
        <v>0</v>
      </c>
      <c r="G146" s="5">
        <v>228280395</v>
      </c>
      <c r="H146" s="5">
        <v>2463957</v>
      </c>
      <c r="I146" s="5">
        <v>3206</v>
      </c>
      <c r="J146" s="5">
        <v>5042586</v>
      </c>
      <c r="K146" s="5">
        <v>33513</v>
      </c>
      <c r="L146" s="5" t="s">
        <v>936</v>
      </c>
      <c r="M146" s="5" t="s">
        <v>959</v>
      </c>
    </row>
    <row r="147" spans="1:13" x14ac:dyDescent="0.3">
      <c r="A147" s="5" t="s">
        <v>976</v>
      </c>
      <c r="B147" s="5">
        <v>111</v>
      </c>
      <c r="C147" s="5">
        <v>10070481</v>
      </c>
      <c r="D147" s="5">
        <v>214751</v>
      </c>
      <c r="E147" s="5">
        <v>750</v>
      </c>
      <c r="F147" s="5">
        <v>0</v>
      </c>
      <c r="G147" s="5">
        <v>240458965</v>
      </c>
      <c r="H147" s="5">
        <v>2806079</v>
      </c>
      <c r="I147" s="5">
        <v>18522</v>
      </c>
      <c r="J147" s="5">
        <v>7382587</v>
      </c>
      <c r="K147" s="5">
        <v>36703</v>
      </c>
      <c r="L147" s="5" t="s">
        <v>936</v>
      </c>
      <c r="M147" s="5" t="s">
        <v>942</v>
      </c>
    </row>
    <row r="148" spans="1:13" x14ac:dyDescent="0.3">
      <c r="A148" s="5" t="s">
        <v>828</v>
      </c>
      <c r="B148" s="5">
        <v>118</v>
      </c>
      <c r="C148" s="5">
        <v>13309976</v>
      </c>
      <c r="D148" s="5">
        <v>210651</v>
      </c>
      <c r="E148" s="5">
        <v>5450</v>
      </c>
      <c r="F148" s="5">
        <v>0</v>
      </c>
      <c r="G148" s="5">
        <v>207667211</v>
      </c>
      <c r="H148" s="5">
        <v>2313396</v>
      </c>
      <c r="I148" s="5">
        <v>57151</v>
      </c>
      <c r="J148" s="5">
        <v>13759215</v>
      </c>
      <c r="K148" s="5">
        <v>34412</v>
      </c>
      <c r="L148" s="5" t="s">
        <v>936</v>
      </c>
      <c r="M148" s="5" t="s">
        <v>946</v>
      </c>
    </row>
    <row r="149" spans="1:13" x14ac:dyDescent="0.3">
      <c r="A149" s="5" t="s">
        <v>867</v>
      </c>
      <c r="B149" s="5">
        <v>164</v>
      </c>
      <c r="C149" s="5">
        <v>10792378</v>
      </c>
      <c r="D149" s="5">
        <v>209657</v>
      </c>
      <c r="E149" s="5">
        <v>0</v>
      </c>
      <c r="F149" s="5">
        <v>0</v>
      </c>
      <c r="G149" s="5">
        <v>187883398</v>
      </c>
      <c r="H149" s="5">
        <v>1453623</v>
      </c>
      <c r="I149" s="5">
        <v>31680</v>
      </c>
      <c r="J149" s="5">
        <v>3753806</v>
      </c>
      <c r="K149" s="5">
        <v>31300</v>
      </c>
      <c r="L149" s="5" t="s">
        <v>936</v>
      </c>
      <c r="M149" s="5" t="s">
        <v>940</v>
      </c>
    </row>
    <row r="150" spans="1:13" x14ac:dyDescent="0.3">
      <c r="A150" s="5" t="s">
        <v>809</v>
      </c>
      <c r="B150" s="5">
        <v>90</v>
      </c>
      <c r="C150" s="5">
        <v>10240911</v>
      </c>
      <c r="D150" s="5">
        <v>208030</v>
      </c>
      <c r="E150" s="5">
        <v>0</v>
      </c>
      <c r="F150" s="5">
        <v>0</v>
      </c>
      <c r="G150" s="5">
        <v>287903223</v>
      </c>
      <c r="H150" s="5">
        <v>3075878</v>
      </c>
      <c r="I150" s="5">
        <v>48970</v>
      </c>
      <c r="J150" s="5">
        <v>3971104</v>
      </c>
      <c r="K150" s="5">
        <v>39243</v>
      </c>
      <c r="L150" s="5" t="s">
        <v>936</v>
      </c>
      <c r="M150" s="5" t="s">
        <v>939</v>
      </c>
    </row>
    <row r="151" spans="1:13" x14ac:dyDescent="0.3">
      <c r="A151" s="5" t="s">
        <v>852</v>
      </c>
      <c r="B151" s="5">
        <v>146</v>
      </c>
      <c r="C151" s="5">
        <v>22269175</v>
      </c>
      <c r="D151" s="5">
        <v>205114</v>
      </c>
      <c r="E151" s="5">
        <v>350</v>
      </c>
      <c r="F151" s="5">
        <v>0</v>
      </c>
      <c r="G151" s="5">
        <v>192372224</v>
      </c>
      <c r="H151" s="5">
        <v>1859106</v>
      </c>
      <c r="I151" s="5">
        <v>16842</v>
      </c>
      <c r="J151" s="5">
        <v>3417438</v>
      </c>
      <c r="K151" s="5">
        <v>32460</v>
      </c>
      <c r="L151" s="5" t="s">
        <v>936</v>
      </c>
      <c r="M151" s="5" t="s">
        <v>940</v>
      </c>
    </row>
    <row r="152" spans="1:13" x14ac:dyDescent="0.3">
      <c r="A152" s="5" t="s">
        <v>971</v>
      </c>
      <c r="B152" s="5">
        <v>125</v>
      </c>
      <c r="C152" s="5">
        <v>10117682</v>
      </c>
      <c r="D152" s="5">
        <v>202858</v>
      </c>
      <c r="E152" s="5">
        <v>0</v>
      </c>
      <c r="F152" s="5">
        <v>0</v>
      </c>
      <c r="G152" s="5">
        <v>232842683</v>
      </c>
      <c r="H152" s="5">
        <v>2257249</v>
      </c>
      <c r="I152" s="5">
        <v>32401</v>
      </c>
      <c r="J152" s="5">
        <v>3579744</v>
      </c>
      <c r="K152" s="5">
        <v>34530</v>
      </c>
      <c r="L152" s="5" t="s">
        <v>936</v>
      </c>
      <c r="M152" s="5" t="s">
        <v>942</v>
      </c>
    </row>
    <row r="153" spans="1:13" x14ac:dyDescent="0.3">
      <c r="A153" s="5" t="s">
        <v>862</v>
      </c>
      <c r="B153" s="5">
        <v>160</v>
      </c>
      <c r="C153" s="5">
        <v>10109382</v>
      </c>
      <c r="D153" s="5">
        <v>199932</v>
      </c>
      <c r="E153" s="5">
        <v>450</v>
      </c>
      <c r="F153" s="5">
        <v>0</v>
      </c>
      <c r="G153" s="5">
        <v>240917917</v>
      </c>
      <c r="H153" s="5">
        <v>1583505</v>
      </c>
      <c r="I153" s="5">
        <v>22011</v>
      </c>
      <c r="J153" s="5">
        <v>2262023</v>
      </c>
      <c r="K153" s="5">
        <v>39126</v>
      </c>
      <c r="L153" s="5" t="s">
        <v>936</v>
      </c>
      <c r="M153" s="5" t="s">
        <v>944</v>
      </c>
    </row>
    <row r="154" spans="1:13" x14ac:dyDescent="0.3">
      <c r="A154" s="5" t="s">
        <v>604</v>
      </c>
      <c r="B154" s="5">
        <v>133</v>
      </c>
      <c r="C154" s="5">
        <v>9011912</v>
      </c>
      <c r="D154" s="5">
        <v>194890</v>
      </c>
      <c r="E154" s="5">
        <v>350</v>
      </c>
      <c r="F154" s="5">
        <v>1776948</v>
      </c>
      <c r="G154" s="5">
        <v>238596679</v>
      </c>
      <c r="H154" s="5">
        <v>2042521</v>
      </c>
      <c r="I154" s="5">
        <v>25331</v>
      </c>
      <c r="J154" s="5">
        <v>8601549</v>
      </c>
      <c r="K154" s="5">
        <v>29543</v>
      </c>
      <c r="L154" s="5" t="s">
        <v>936</v>
      </c>
      <c r="M154" s="5" t="s">
        <v>945</v>
      </c>
    </row>
    <row r="155" spans="1:13" x14ac:dyDescent="0.3">
      <c r="A155" s="5" t="s">
        <v>847</v>
      </c>
      <c r="B155" s="5">
        <v>139</v>
      </c>
      <c r="C155" s="5">
        <v>23736303</v>
      </c>
      <c r="D155" s="5">
        <v>191843</v>
      </c>
      <c r="E155" s="5">
        <v>0</v>
      </c>
      <c r="F155" s="5">
        <v>0</v>
      </c>
      <c r="G155" s="5">
        <v>184701192</v>
      </c>
      <c r="H155" s="5">
        <v>1927584</v>
      </c>
      <c r="I155" s="5">
        <v>42681</v>
      </c>
      <c r="J155" s="5">
        <v>3573341</v>
      </c>
      <c r="K155" s="5">
        <v>30903</v>
      </c>
      <c r="L155" s="5" t="s">
        <v>936</v>
      </c>
      <c r="M155" s="5" t="s">
        <v>937</v>
      </c>
    </row>
    <row r="156" spans="1:13" x14ac:dyDescent="0.3">
      <c r="A156" s="5" t="s">
        <v>873</v>
      </c>
      <c r="B156" s="5">
        <v>171</v>
      </c>
      <c r="C156" s="5">
        <v>8616328</v>
      </c>
      <c r="D156" s="5">
        <v>189238</v>
      </c>
      <c r="E156" s="5">
        <v>0</v>
      </c>
      <c r="F156" s="5">
        <v>0</v>
      </c>
      <c r="G156" s="5">
        <v>188389090</v>
      </c>
      <c r="H156" s="5">
        <v>1494629</v>
      </c>
      <c r="I156" s="5">
        <v>32366</v>
      </c>
      <c r="J156" s="5">
        <v>6642651</v>
      </c>
      <c r="K156" s="5">
        <v>33563</v>
      </c>
      <c r="L156" s="5" t="s">
        <v>936</v>
      </c>
      <c r="M156" s="5" t="s">
        <v>937</v>
      </c>
    </row>
    <row r="157" spans="1:13" x14ac:dyDescent="0.3">
      <c r="A157" s="5" t="s">
        <v>874</v>
      </c>
      <c r="B157" s="5">
        <v>172</v>
      </c>
      <c r="C157" s="5">
        <v>24498785</v>
      </c>
      <c r="D157" s="5">
        <v>188426</v>
      </c>
      <c r="E157" s="5">
        <v>169</v>
      </c>
      <c r="F157" s="5">
        <v>1158211</v>
      </c>
      <c r="G157" s="5">
        <v>192083733</v>
      </c>
      <c r="H157" s="5">
        <v>1249810</v>
      </c>
      <c r="I157" s="5">
        <v>8767</v>
      </c>
      <c r="J157" s="5">
        <v>7543542</v>
      </c>
      <c r="K157" s="5">
        <v>37346</v>
      </c>
      <c r="L157" s="5" t="s">
        <v>936</v>
      </c>
      <c r="M157" s="5" t="s">
        <v>937</v>
      </c>
    </row>
    <row r="158" spans="1:13" x14ac:dyDescent="0.3">
      <c r="A158" s="5" t="s">
        <v>885</v>
      </c>
      <c r="B158" s="5">
        <v>184</v>
      </c>
      <c r="C158" s="5">
        <v>22937307</v>
      </c>
      <c r="D158" s="5">
        <v>186217</v>
      </c>
      <c r="E158" s="5">
        <v>350</v>
      </c>
      <c r="F158" s="5">
        <v>0</v>
      </c>
      <c r="G158" s="5">
        <v>130921154</v>
      </c>
      <c r="H158" s="5">
        <v>1074483</v>
      </c>
      <c r="I158" s="5">
        <v>9351</v>
      </c>
      <c r="J158" s="5">
        <v>4030908</v>
      </c>
      <c r="K158" s="5">
        <v>31368</v>
      </c>
      <c r="L158" s="5" t="s">
        <v>936</v>
      </c>
      <c r="M158" s="5" t="s">
        <v>959</v>
      </c>
    </row>
    <row r="159" spans="1:13" x14ac:dyDescent="0.3">
      <c r="A159" s="5" t="s">
        <v>887</v>
      </c>
      <c r="B159" s="5">
        <v>185</v>
      </c>
      <c r="C159" s="5">
        <v>5811650</v>
      </c>
      <c r="D159" s="5">
        <v>184101</v>
      </c>
      <c r="E159" s="5">
        <v>14800</v>
      </c>
      <c r="F159" s="5">
        <v>8393322</v>
      </c>
      <c r="G159" s="5">
        <v>94356417</v>
      </c>
      <c r="H159" s="5">
        <v>1265786</v>
      </c>
      <c r="I159" s="5">
        <v>100994</v>
      </c>
      <c r="J159" s="5">
        <v>60110088</v>
      </c>
      <c r="K159" s="5">
        <v>17291</v>
      </c>
      <c r="L159" s="5" t="s">
        <v>936</v>
      </c>
      <c r="M159" s="5" t="s">
        <v>937</v>
      </c>
    </row>
    <row r="160" spans="1:13" x14ac:dyDescent="0.3">
      <c r="A160" s="5" t="s">
        <v>968</v>
      </c>
      <c r="B160" s="5">
        <v>162</v>
      </c>
      <c r="C160" s="5">
        <v>8814813</v>
      </c>
      <c r="D160" s="5">
        <v>183110</v>
      </c>
      <c r="E160" s="5">
        <v>0</v>
      </c>
      <c r="F160" s="5">
        <v>0</v>
      </c>
      <c r="G160" s="5">
        <v>166869997</v>
      </c>
      <c r="H160" s="5">
        <v>1635602</v>
      </c>
      <c r="I160" s="5">
        <v>7508</v>
      </c>
      <c r="J160" s="5">
        <v>3626092</v>
      </c>
      <c r="K160" s="5">
        <v>32970</v>
      </c>
      <c r="L160" s="5" t="s">
        <v>936</v>
      </c>
      <c r="M160" s="5" t="s">
        <v>945</v>
      </c>
    </row>
    <row r="161" spans="1:13" x14ac:dyDescent="0.3">
      <c r="A161" s="5" t="s">
        <v>879</v>
      </c>
      <c r="B161" s="5">
        <v>176</v>
      </c>
      <c r="C161" s="5">
        <v>8883596</v>
      </c>
      <c r="D161" s="5">
        <v>178555</v>
      </c>
      <c r="E161" s="5">
        <v>0</v>
      </c>
      <c r="F161" s="5">
        <v>0</v>
      </c>
      <c r="G161" s="5">
        <v>137227441</v>
      </c>
      <c r="H161" s="5">
        <v>1158929</v>
      </c>
      <c r="I161" s="5">
        <v>12762</v>
      </c>
      <c r="J161" s="5">
        <v>1523337</v>
      </c>
      <c r="K161" s="5">
        <v>28120</v>
      </c>
      <c r="L161" s="5" t="s">
        <v>936</v>
      </c>
      <c r="M161" s="5" t="s">
        <v>942</v>
      </c>
    </row>
    <row r="162" spans="1:13" x14ac:dyDescent="0.3">
      <c r="A162" s="5" t="s">
        <v>974</v>
      </c>
      <c r="B162" s="5">
        <v>143</v>
      </c>
      <c r="C162" s="5">
        <v>8234664</v>
      </c>
      <c r="D162" s="5">
        <v>178494</v>
      </c>
      <c r="E162" s="5">
        <v>350</v>
      </c>
      <c r="F162" s="5">
        <v>1175742</v>
      </c>
      <c r="G162" s="5">
        <v>208715470</v>
      </c>
      <c r="H162" s="5">
        <v>1983415</v>
      </c>
      <c r="I162" s="5">
        <v>23186</v>
      </c>
      <c r="J162" s="5">
        <v>7686182</v>
      </c>
      <c r="K162" s="5">
        <v>37472</v>
      </c>
      <c r="L162" s="5" t="s">
        <v>936</v>
      </c>
      <c r="M162" s="5" t="s">
        <v>942</v>
      </c>
    </row>
    <row r="163" spans="1:13" x14ac:dyDescent="0.3">
      <c r="A163" s="5" t="s">
        <v>882</v>
      </c>
      <c r="B163" s="5">
        <v>179</v>
      </c>
      <c r="C163" s="5">
        <v>8325290</v>
      </c>
      <c r="D163" s="5">
        <v>172045</v>
      </c>
      <c r="E163" s="5">
        <v>451</v>
      </c>
      <c r="F163" s="5">
        <v>0</v>
      </c>
      <c r="G163" s="5">
        <v>148648089</v>
      </c>
      <c r="H163" s="5">
        <v>1110542</v>
      </c>
      <c r="I163" s="5">
        <v>10340</v>
      </c>
      <c r="J163" s="5">
        <v>4024234</v>
      </c>
      <c r="K163" s="5">
        <v>29841</v>
      </c>
      <c r="L163" s="5" t="s">
        <v>936</v>
      </c>
      <c r="M163" s="5" t="s">
        <v>959</v>
      </c>
    </row>
    <row r="164" spans="1:13" x14ac:dyDescent="0.3">
      <c r="A164" s="5" t="s">
        <v>858</v>
      </c>
      <c r="B164" s="5">
        <v>153</v>
      </c>
      <c r="C164" s="5">
        <v>23556872</v>
      </c>
      <c r="D164" s="5">
        <v>170785</v>
      </c>
      <c r="E164" s="5">
        <v>5400</v>
      </c>
      <c r="F164" s="5">
        <v>4760591</v>
      </c>
      <c r="G164" s="5">
        <v>254514981</v>
      </c>
      <c r="H164" s="5">
        <v>1604820</v>
      </c>
      <c r="I164" s="5">
        <v>44434</v>
      </c>
      <c r="J164" s="5">
        <v>38613980</v>
      </c>
      <c r="K164" s="5">
        <v>35210</v>
      </c>
      <c r="L164" s="5" t="s">
        <v>936</v>
      </c>
      <c r="M164" s="5" t="s">
        <v>942</v>
      </c>
    </row>
    <row r="165" spans="1:13" x14ac:dyDescent="0.3">
      <c r="A165" s="5" t="s">
        <v>851</v>
      </c>
      <c r="B165" s="5">
        <v>145</v>
      </c>
      <c r="C165" s="5">
        <v>8834354</v>
      </c>
      <c r="D165" s="5">
        <v>167359</v>
      </c>
      <c r="E165" s="5">
        <v>6850</v>
      </c>
      <c r="F165" s="5">
        <v>0</v>
      </c>
      <c r="G165" s="5">
        <v>154111133</v>
      </c>
      <c r="H165" s="5">
        <v>1677802</v>
      </c>
      <c r="I165" s="5">
        <v>44220</v>
      </c>
      <c r="J165" s="5">
        <v>4801442</v>
      </c>
      <c r="K165" s="5">
        <v>29940</v>
      </c>
      <c r="L165" s="5" t="s">
        <v>936</v>
      </c>
      <c r="M165" s="5" t="s">
        <v>940</v>
      </c>
    </row>
    <row r="166" spans="1:13" x14ac:dyDescent="0.3">
      <c r="A166" s="5" t="s">
        <v>977</v>
      </c>
      <c r="B166" s="5">
        <v>163</v>
      </c>
      <c r="C166" s="5">
        <v>7066183</v>
      </c>
      <c r="D166" s="5">
        <v>160700</v>
      </c>
      <c r="E166" s="5">
        <v>350</v>
      </c>
      <c r="F166" s="5">
        <v>453192</v>
      </c>
      <c r="G166" s="5">
        <v>179483440</v>
      </c>
      <c r="H166" s="5">
        <v>1734420</v>
      </c>
      <c r="I166" s="5">
        <v>6242</v>
      </c>
      <c r="J166" s="5">
        <v>9466611</v>
      </c>
      <c r="K166" s="5">
        <v>36990</v>
      </c>
      <c r="L166" s="5" t="s">
        <v>936</v>
      </c>
      <c r="M166" s="5" t="s">
        <v>959</v>
      </c>
    </row>
    <row r="167" spans="1:13" x14ac:dyDescent="0.3">
      <c r="A167" s="5" t="s">
        <v>835</v>
      </c>
      <c r="B167" s="5">
        <v>128</v>
      </c>
      <c r="C167" s="5">
        <v>13635548</v>
      </c>
      <c r="D167" s="5">
        <v>158608</v>
      </c>
      <c r="E167" s="5">
        <v>0</v>
      </c>
      <c r="F167" s="5">
        <v>0</v>
      </c>
      <c r="G167" s="5">
        <v>238554563</v>
      </c>
      <c r="H167" s="5">
        <v>2067928</v>
      </c>
      <c r="I167" s="5">
        <v>32568</v>
      </c>
      <c r="J167" s="5">
        <v>4525150</v>
      </c>
      <c r="K167" s="5">
        <v>36713</v>
      </c>
      <c r="L167" s="5" t="s">
        <v>936</v>
      </c>
      <c r="M167" s="5" t="s">
        <v>944</v>
      </c>
    </row>
    <row r="168" spans="1:13" x14ac:dyDescent="0.3">
      <c r="A168" s="5" t="s">
        <v>876</v>
      </c>
      <c r="B168" s="5">
        <v>175</v>
      </c>
      <c r="C168" s="5">
        <v>9243873</v>
      </c>
      <c r="D168" s="5">
        <v>156815</v>
      </c>
      <c r="E168" s="5">
        <v>700</v>
      </c>
      <c r="F168" s="5">
        <v>3325055</v>
      </c>
      <c r="G168" s="5">
        <v>188818302</v>
      </c>
      <c r="H168" s="5">
        <v>1172990</v>
      </c>
      <c r="I168" s="5">
        <v>28244</v>
      </c>
      <c r="J168" s="5">
        <v>13900776</v>
      </c>
      <c r="K168" s="5">
        <v>36180</v>
      </c>
      <c r="L168" s="5" t="s">
        <v>936</v>
      </c>
      <c r="M168" s="5" t="s">
        <v>945</v>
      </c>
    </row>
    <row r="169" spans="1:13" x14ac:dyDescent="0.3">
      <c r="A169" s="5" t="s">
        <v>854</v>
      </c>
      <c r="B169" s="5">
        <v>149</v>
      </c>
      <c r="C169" s="5">
        <v>7628058</v>
      </c>
      <c r="D169" s="5">
        <v>153573</v>
      </c>
      <c r="E169" s="5">
        <v>0</v>
      </c>
      <c r="F169" s="5">
        <v>0</v>
      </c>
      <c r="G169" s="5">
        <v>206938334</v>
      </c>
      <c r="H169" s="5">
        <v>1643009</v>
      </c>
      <c r="I169" s="5">
        <v>25971</v>
      </c>
      <c r="J169" s="5">
        <v>3243805</v>
      </c>
      <c r="K169" s="5">
        <v>19393</v>
      </c>
      <c r="L169" s="5" t="s">
        <v>936</v>
      </c>
      <c r="M169" s="5" t="s">
        <v>942</v>
      </c>
    </row>
    <row r="170" spans="1:13" x14ac:dyDescent="0.3">
      <c r="A170" s="5" t="s">
        <v>868</v>
      </c>
      <c r="B170" s="5">
        <v>166</v>
      </c>
      <c r="C170" s="5">
        <v>7452168</v>
      </c>
      <c r="D170" s="5">
        <v>148571</v>
      </c>
      <c r="E170" s="5">
        <v>350</v>
      </c>
      <c r="F170" s="5">
        <v>5197952</v>
      </c>
      <c r="G170" s="5">
        <v>131982305</v>
      </c>
      <c r="H170" s="5">
        <v>1339090</v>
      </c>
      <c r="I170" s="5">
        <v>15497</v>
      </c>
      <c r="J170" s="5">
        <v>34085517</v>
      </c>
      <c r="K170" s="5">
        <v>33003</v>
      </c>
      <c r="L170" s="5" t="s">
        <v>936</v>
      </c>
      <c r="M170" s="5" t="s">
        <v>962</v>
      </c>
    </row>
    <row r="171" spans="1:13" x14ac:dyDescent="0.3">
      <c r="A171" s="5" t="s">
        <v>844</v>
      </c>
      <c r="B171" s="5">
        <v>140</v>
      </c>
      <c r="C171" s="5">
        <v>8215718</v>
      </c>
      <c r="D171" s="5">
        <v>137536</v>
      </c>
      <c r="E171" s="5">
        <v>50</v>
      </c>
      <c r="F171" s="5">
        <v>0</v>
      </c>
      <c r="G171" s="5">
        <v>226097171</v>
      </c>
      <c r="H171" s="5">
        <v>1983870</v>
      </c>
      <c r="I171" s="5">
        <v>45404</v>
      </c>
      <c r="J171" s="5">
        <v>9247747</v>
      </c>
      <c r="K171" s="5">
        <v>33200</v>
      </c>
      <c r="L171" s="5" t="s">
        <v>936</v>
      </c>
      <c r="M171" s="5" t="s">
        <v>939</v>
      </c>
    </row>
    <row r="172" spans="1:13" x14ac:dyDescent="0.3">
      <c r="A172" s="5" t="s">
        <v>860</v>
      </c>
      <c r="B172" s="5">
        <v>156</v>
      </c>
      <c r="C172" s="5">
        <v>7555852</v>
      </c>
      <c r="D172" s="5">
        <v>132292</v>
      </c>
      <c r="E172" s="5">
        <v>2250</v>
      </c>
      <c r="F172" s="5">
        <v>5188039</v>
      </c>
      <c r="G172" s="5">
        <v>122509409</v>
      </c>
      <c r="H172" s="5">
        <v>1640976</v>
      </c>
      <c r="I172" s="5">
        <v>16420</v>
      </c>
      <c r="J172" s="5">
        <v>30769049</v>
      </c>
      <c r="K172" s="5">
        <v>31583</v>
      </c>
      <c r="L172" s="5" t="s">
        <v>936</v>
      </c>
      <c r="M172" s="5" t="s">
        <v>946</v>
      </c>
    </row>
    <row r="173" spans="1:13" x14ac:dyDescent="0.3">
      <c r="A173" s="5" t="s">
        <v>878</v>
      </c>
      <c r="B173" s="5">
        <v>177</v>
      </c>
      <c r="C173" s="5">
        <v>16473646</v>
      </c>
      <c r="D173" s="5">
        <v>125733</v>
      </c>
      <c r="E173" s="5">
        <v>0</v>
      </c>
      <c r="F173" s="5">
        <v>0</v>
      </c>
      <c r="G173" s="5">
        <v>138423542</v>
      </c>
      <c r="H173" s="5">
        <v>1082374</v>
      </c>
      <c r="I173" s="5">
        <v>26525</v>
      </c>
      <c r="J173" s="5">
        <v>3024324</v>
      </c>
      <c r="K173" s="5">
        <v>34733</v>
      </c>
      <c r="L173" s="5" t="s">
        <v>936</v>
      </c>
      <c r="M173" s="5" t="s">
        <v>962</v>
      </c>
    </row>
    <row r="174" spans="1:13" x14ac:dyDescent="0.3">
      <c r="A174" s="5" t="s">
        <v>875</v>
      </c>
      <c r="B174" s="5">
        <v>173</v>
      </c>
      <c r="C174" s="5">
        <v>24469963</v>
      </c>
      <c r="D174" s="5">
        <v>125227</v>
      </c>
      <c r="E174" s="5">
        <v>350</v>
      </c>
      <c r="F174" s="5">
        <v>3192867</v>
      </c>
      <c r="G174" s="5">
        <v>223289183</v>
      </c>
      <c r="H174" s="5">
        <v>1075686</v>
      </c>
      <c r="I174" s="5">
        <v>45474</v>
      </c>
      <c r="J174" s="5">
        <v>16918918</v>
      </c>
      <c r="K174" s="5">
        <v>39370</v>
      </c>
      <c r="L174" s="5" t="s">
        <v>936</v>
      </c>
      <c r="M174" s="5" t="s">
        <v>962</v>
      </c>
    </row>
    <row r="175" spans="1:13" x14ac:dyDescent="0.3">
      <c r="A175" s="5" t="s">
        <v>788</v>
      </c>
      <c r="B175" s="5">
        <v>63</v>
      </c>
      <c r="C175" s="5">
        <v>15551816</v>
      </c>
      <c r="D175" s="5">
        <v>124880</v>
      </c>
      <c r="E175" s="5">
        <v>350</v>
      </c>
      <c r="F175" s="5">
        <v>0</v>
      </c>
      <c r="G175" s="5">
        <v>292272631</v>
      </c>
      <c r="H175" s="5">
        <v>3342453</v>
      </c>
      <c r="I175" s="5">
        <v>48040</v>
      </c>
      <c r="J175" s="5">
        <v>3359356</v>
      </c>
      <c r="K175" s="5">
        <v>43000</v>
      </c>
      <c r="L175" s="5" t="s">
        <v>936</v>
      </c>
      <c r="M175" s="5" t="s">
        <v>944</v>
      </c>
    </row>
    <row r="176" spans="1:13" x14ac:dyDescent="0.3">
      <c r="A176" s="5" t="s">
        <v>853</v>
      </c>
      <c r="B176" s="5">
        <v>150</v>
      </c>
      <c r="C176" s="5">
        <v>5486499</v>
      </c>
      <c r="D176" s="5">
        <v>106780</v>
      </c>
      <c r="E176" s="5">
        <v>0</v>
      </c>
      <c r="F176" s="5">
        <v>0</v>
      </c>
      <c r="G176" s="5">
        <v>146921602</v>
      </c>
      <c r="H176" s="5">
        <v>1588398</v>
      </c>
      <c r="I176" s="5">
        <v>36309</v>
      </c>
      <c r="J176" s="5">
        <v>53580116</v>
      </c>
      <c r="K176" s="5">
        <v>27730</v>
      </c>
      <c r="L176" s="5" t="s">
        <v>936</v>
      </c>
      <c r="M176" s="5" t="s">
        <v>943</v>
      </c>
    </row>
    <row r="177" spans="1:13" x14ac:dyDescent="0.3">
      <c r="A177" s="5" t="s">
        <v>850</v>
      </c>
      <c r="B177" s="5">
        <v>148</v>
      </c>
      <c r="C177" s="5">
        <v>5041813</v>
      </c>
      <c r="D177" s="5">
        <v>101567</v>
      </c>
      <c r="E177" s="5">
        <v>350</v>
      </c>
      <c r="F177" s="5">
        <v>0</v>
      </c>
      <c r="G177" s="5">
        <v>164803075</v>
      </c>
      <c r="H177" s="5">
        <v>1702486</v>
      </c>
      <c r="I177" s="5">
        <v>39678</v>
      </c>
      <c r="J177" s="5">
        <v>2328448</v>
      </c>
      <c r="K177" s="5">
        <v>30720</v>
      </c>
      <c r="L177" s="5" t="s">
        <v>936</v>
      </c>
      <c r="M177" s="5" t="s">
        <v>944</v>
      </c>
    </row>
    <row r="178" spans="1:13" x14ac:dyDescent="0.3">
      <c r="A178" s="5" t="s">
        <v>890</v>
      </c>
      <c r="B178" s="5">
        <v>188</v>
      </c>
      <c r="C178" s="5">
        <v>6613394</v>
      </c>
      <c r="D178" s="5">
        <v>96314</v>
      </c>
      <c r="E178" s="5">
        <v>0</v>
      </c>
      <c r="F178" s="5">
        <v>0</v>
      </c>
      <c r="G178" s="5">
        <v>95516335</v>
      </c>
      <c r="H178" s="5">
        <v>673009</v>
      </c>
      <c r="I178" s="5">
        <v>11620</v>
      </c>
      <c r="J178" s="5">
        <v>11815276</v>
      </c>
      <c r="K178" s="5">
        <v>28830</v>
      </c>
      <c r="L178" s="5" t="s">
        <v>936</v>
      </c>
      <c r="M178" s="5" t="s">
        <v>942</v>
      </c>
    </row>
    <row r="179" spans="1:13" x14ac:dyDescent="0.3">
      <c r="A179" s="5" t="s">
        <v>883</v>
      </c>
      <c r="B179" s="5">
        <v>182</v>
      </c>
      <c r="C179" s="5">
        <v>7360542</v>
      </c>
      <c r="D179" s="5">
        <v>91387</v>
      </c>
      <c r="E179" s="5">
        <v>400</v>
      </c>
      <c r="F179" s="5">
        <v>0</v>
      </c>
      <c r="G179" s="5">
        <v>119885593</v>
      </c>
      <c r="H179" s="5">
        <v>913627</v>
      </c>
      <c r="I179" s="5">
        <v>19725</v>
      </c>
      <c r="J179" s="5">
        <v>8057288</v>
      </c>
      <c r="K179" s="5">
        <v>37140</v>
      </c>
      <c r="L179" s="5" t="s">
        <v>936</v>
      </c>
      <c r="M179" s="5" t="s">
        <v>962</v>
      </c>
    </row>
    <row r="180" spans="1:13" x14ac:dyDescent="0.3">
      <c r="A180" s="5" t="s">
        <v>975</v>
      </c>
      <c r="B180" s="5">
        <v>151</v>
      </c>
      <c r="C180" s="5">
        <v>3900660</v>
      </c>
      <c r="D180" s="5">
        <v>89556</v>
      </c>
      <c r="E180" s="5">
        <v>2150</v>
      </c>
      <c r="F180" s="5">
        <v>0</v>
      </c>
      <c r="G180" s="5">
        <v>156246086</v>
      </c>
      <c r="H180" s="5">
        <v>1666185</v>
      </c>
      <c r="I180" s="5">
        <v>56279</v>
      </c>
      <c r="J180" s="5">
        <v>5539743</v>
      </c>
      <c r="K180" s="5">
        <v>35100</v>
      </c>
      <c r="L180" s="5" t="s">
        <v>936</v>
      </c>
      <c r="M180" s="5" t="s">
        <v>945</v>
      </c>
    </row>
    <row r="181" spans="1:13" x14ac:dyDescent="0.3">
      <c r="A181" s="5" t="s">
        <v>899</v>
      </c>
      <c r="B181" s="5">
        <v>196</v>
      </c>
      <c r="C181" s="5">
        <v>6946825</v>
      </c>
      <c r="D181" s="5">
        <v>77949</v>
      </c>
      <c r="E181" s="5">
        <v>1800</v>
      </c>
      <c r="F181" s="5">
        <v>0</v>
      </c>
      <c r="G181" s="5">
        <v>70340151</v>
      </c>
      <c r="H181" s="5">
        <v>433843</v>
      </c>
      <c r="I181" s="5">
        <v>29886</v>
      </c>
      <c r="J181" s="5">
        <v>64649956</v>
      </c>
      <c r="K181" s="5">
        <v>23403</v>
      </c>
      <c r="L181" s="5" t="s">
        <v>936</v>
      </c>
      <c r="M181" s="5" t="s">
        <v>945</v>
      </c>
    </row>
    <row r="182" spans="1:13" x14ac:dyDescent="0.3">
      <c r="A182" s="5" t="s">
        <v>861</v>
      </c>
      <c r="B182" s="5">
        <v>158</v>
      </c>
      <c r="C182" s="5">
        <v>12297206</v>
      </c>
      <c r="D182" s="5">
        <v>74087</v>
      </c>
      <c r="E182" s="5">
        <v>5750</v>
      </c>
      <c r="F182" s="5">
        <v>0</v>
      </c>
      <c r="G182" s="5">
        <v>178755300</v>
      </c>
      <c r="H182" s="5">
        <v>1382903</v>
      </c>
      <c r="I182" s="5">
        <v>46168</v>
      </c>
      <c r="J182" s="5">
        <v>12560636</v>
      </c>
      <c r="K182" s="5">
        <v>33303</v>
      </c>
      <c r="L182" s="5" t="s">
        <v>936</v>
      </c>
      <c r="M182" s="5" t="s">
        <v>942</v>
      </c>
    </row>
    <row r="183" spans="1:13" x14ac:dyDescent="0.3">
      <c r="A183" s="5" t="s">
        <v>889</v>
      </c>
      <c r="B183" s="5">
        <v>187</v>
      </c>
      <c r="C183" s="5">
        <v>4074103</v>
      </c>
      <c r="D183" s="5">
        <v>73080</v>
      </c>
      <c r="E183" s="5">
        <v>0</v>
      </c>
      <c r="F183" s="5">
        <v>0</v>
      </c>
      <c r="G183" s="5">
        <v>128284744</v>
      </c>
      <c r="H183" s="5">
        <v>726967</v>
      </c>
      <c r="I183" s="5">
        <v>30181</v>
      </c>
      <c r="J183" s="5">
        <v>5178541</v>
      </c>
      <c r="K183" s="5">
        <v>30663</v>
      </c>
      <c r="L183" s="5" t="s">
        <v>936</v>
      </c>
      <c r="M183" s="5" t="s">
        <v>962</v>
      </c>
    </row>
    <row r="184" spans="1:13" x14ac:dyDescent="0.3">
      <c r="A184" s="5" t="s">
        <v>888</v>
      </c>
      <c r="B184" s="5">
        <v>186</v>
      </c>
      <c r="C184" s="5">
        <v>3897758</v>
      </c>
      <c r="D184" s="5">
        <v>68366</v>
      </c>
      <c r="E184" s="5">
        <v>0</v>
      </c>
      <c r="F184" s="5">
        <v>0</v>
      </c>
      <c r="G184" s="5">
        <v>118039826</v>
      </c>
      <c r="H184" s="5">
        <v>764432</v>
      </c>
      <c r="I184" s="5">
        <v>29022</v>
      </c>
      <c r="J184" s="5">
        <v>10097123</v>
      </c>
      <c r="K184" s="5">
        <v>30910</v>
      </c>
      <c r="L184" s="5" t="s">
        <v>936</v>
      </c>
      <c r="M184" s="5" t="s">
        <v>937</v>
      </c>
    </row>
    <row r="185" spans="1:13" x14ac:dyDescent="0.3">
      <c r="A185" s="5" t="s">
        <v>866</v>
      </c>
      <c r="B185" s="5">
        <v>168</v>
      </c>
      <c r="C185" s="5">
        <v>6883515</v>
      </c>
      <c r="D185" s="5">
        <v>61008</v>
      </c>
      <c r="E185" s="5">
        <v>350</v>
      </c>
      <c r="F185" s="5">
        <v>0</v>
      </c>
      <c r="G185" s="5">
        <v>196118609</v>
      </c>
      <c r="H185" s="5">
        <v>1194699</v>
      </c>
      <c r="I185" s="5">
        <v>81093</v>
      </c>
      <c r="J185" s="5">
        <v>2792897</v>
      </c>
      <c r="K185" s="5">
        <v>35160</v>
      </c>
      <c r="L185" s="5" t="s">
        <v>936</v>
      </c>
      <c r="M185" s="5" t="s">
        <v>944</v>
      </c>
    </row>
    <row r="186" spans="1:13" x14ac:dyDescent="0.3">
      <c r="A186" s="5" t="s">
        <v>896</v>
      </c>
      <c r="B186" s="5">
        <v>193</v>
      </c>
      <c r="C186" s="5">
        <v>9102760</v>
      </c>
      <c r="D186" s="5">
        <v>56929</v>
      </c>
      <c r="E186" s="5">
        <v>0</v>
      </c>
      <c r="F186" s="5">
        <v>2624522</v>
      </c>
      <c r="G186" s="5">
        <v>140711319</v>
      </c>
      <c r="H186" s="5">
        <v>479710</v>
      </c>
      <c r="I186" s="5">
        <v>11758</v>
      </c>
      <c r="J186" s="5">
        <v>6008143</v>
      </c>
      <c r="K186" s="5">
        <v>28020</v>
      </c>
      <c r="L186" s="5" t="s">
        <v>936</v>
      </c>
      <c r="M186" s="5" t="s">
        <v>962</v>
      </c>
    </row>
    <row r="187" spans="1:13" x14ac:dyDescent="0.3">
      <c r="A187" s="5" t="s">
        <v>842</v>
      </c>
      <c r="B187" s="5">
        <v>138</v>
      </c>
      <c r="C187" s="5">
        <v>3239795</v>
      </c>
      <c r="D187" s="5">
        <v>52846</v>
      </c>
      <c r="E187" s="5">
        <v>350</v>
      </c>
      <c r="F187" s="5">
        <v>0</v>
      </c>
      <c r="G187" s="5">
        <v>202254484</v>
      </c>
      <c r="H187" s="5">
        <v>1653473</v>
      </c>
      <c r="I187" s="5">
        <v>81866</v>
      </c>
      <c r="J187" s="5">
        <v>3770795</v>
      </c>
      <c r="K187" s="5">
        <v>36440</v>
      </c>
      <c r="L187" s="5" t="s">
        <v>936</v>
      </c>
      <c r="M187" s="5" t="s">
        <v>946</v>
      </c>
    </row>
    <row r="188" spans="1:13" x14ac:dyDescent="0.3">
      <c r="A188" s="5" t="s">
        <v>880</v>
      </c>
      <c r="B188" s="5">
        <v>178</v>
      </c>
      <c r="C188" s="5">
        <v>9830695</v>
      </c>
      <c r="D188" s="5">
        <v>50313</v>
      </c>
      <c r="E188" s="5">
        <v>900</v>
      </c>
      <c r="F188" s="5">
        <v>0</v>
      </c>
      <c r="G188" s="5">
        <v>144114234</v>
      </c>
      <c r="H188" s="5">
        <v>1015768</v>
      </c>
      <c r="I188" s="5">
        <v>49572</v>
      </c>
      <c r="J188" s="5">
        <v>2022935</v>
      </c>
      <c r="K188" s="5">
        <v>32460</v>
      </c>
      <c r="L188" s="5" t="s">
        <v>936</v>
      </c>
      <c r="M188" s="5" t="s">
        <v>942</v>
      </c>
    </row>
    <row r="189" spans="1:13" x14ac:dyDescent="0.3">
      <c r="A189" s="5" t="s">
        <v>898</v>
      </c>
      <c r="B189" s="5">
        <v>195</v>
      </c>
      <c r="C189" s="5">
        <v>1964757</v>
      </c>
      <c r="D189" s="5">
        <v>48433</v>
      </c>
      <c r="E189" s="5">
        <v>350</v>
      </c>
      <c r="F189" s="5">
        <v>0</v>
      </c>
      <c r="G189" s="5">
        <v>81122753</v>
      </c>
      <c r="H189" s="5">
        <v>472617</v>
      </c>
      <c r="I189" s="5">
        <v>15966</v>
      </c>
      <c r="J189" s="5">
        <v>34567796</v>
      </c>
      <c r="K189" s="5">
        <v>22563</v>
      </c>
      <c r="L189" s="5" t="s">
        <v>936</v>
      </c>
      <c r="M189" s="5" t="s">
        <v>937</v>
      </c>
    </row>
    <row r="190" spans="1:13" x14ac:dyDescent="0.3">
      <c r="A190" s="5" t="s">
        <v>881</v>
      </c>
      <c r="B190" s="5">
        <v>180</v>
      </c>
      <c r="C190" s="5">
        <v>2358816</v>
      </c>
      <c r="D190" s="5">
        <v>47191</v>
      </c>
      <c r="E190" s="5">
        <v>0</v>
      </c>
      <c r="F190" s="5">
        <v>0</v>
      </c>
      <c r="G190" s="5">
        <v>135566346</v>
      </c>
      <c r="H190" s="5">
        <v>967357</v>
      </c>
      <c r="I190" s="5">
        <v>5980</v>
      </c>
      <c r="J190" s="5">
        <v>3912709</v>
      </c>
      <c r="K190" s="5">
        <v>32133</v>
      </c>
      <c r="L190" s="5" t="s">
        <v>936</v>
      </c>
      <c r="M190" s="5" t="s">
        <v>940</v>
      </c>
    </row>
    <row r="191" spans="1:13" x14ac:dyDescent="0.3">
      <c r="A191" s="5" t="s">
        <v>900</v>
      </c>
      <c r="B191" s="5">
        <v>197</v>
      </c>
      <c r="C191" s="5">
        <v>1447874</v>
      </c>
      <c r="D191" s="5">
        <v>41369</v>
      </c>
      <c r="E191" s="5">
        <v>3950</v>
      </c>
      <c r="F191" s="5">
        <v>0</v>
      </c>
      <c r="G191" s="5">
        <v>49255728</v>
      </c>
      <c r="H191" s="5">
        <v>277161</v>
      </c>
      <c r="I191" s="5">
        <v>17275</v>
      </c>
      <c r="J191" s="5">
        <v>62304170</v>
      </c>
      <c r="K191" s="5">
        <v>17470</v>
      </c>
      <c r="L191" s="5" t="s">
        <v>936</v>
      </c>
      <c r="M191" s="5" t="s">
        <v>937</v>
      </c>
    </row>
    <row r="192" spans="1:13" x14ac:dyDescent="0.3">
      <c r="A192" s="5" t="s">
        <v>892</v>
      </c>
      <c r="B192" s="5">
        <v>189</v>
      </c>
      <c r="C192" s="5">
        <v>1716156</v>
      </c>
      <c r="D192" s="5">
        <v>36807</v>
      </c>
      <c r="E192" s="5">
        <v>0</v>
      </c>
      <c r="F192" s="5">
        <v>0</v>
      </c>
      <c r="G192" s="5">
        <v>108449330</v>
      </c>
      <c r="H192" s="5">
        <v>615709</v>
      </c>
      <c r="I192" s="5">
        <v>4977</v>
      </c>
      <c r="J192" s="5">
        <v>15924862</v>
      </c>
      <c r="K192" s="5">
        <v>33603</v>
      </c>
      <c r="L192" s="5" t="s">
        <v>936</v>
      </c>
      <c r="M192" s="5" t="s">
        <v>962</v>
      </c>
    </row>
    <row r="193" spans="1:13" x14ac:dyDescent="0.3">
      <c r="A193" s="5" t="s">
        <v>764</v>
      </c>
      <c r="B193" s="5">
        <v>37</v>
      </c>
      <c r="C193" s="5">
        <v>3886021</v>
      </c>
      <c r="D193" s="5">
        <v>25282</v>
      </c>
      <c r="E193" s="5">
        <v>0</v>
      </c>
      <c r="F193" s="5">
        <v>0</v>
      </c>
      <c r="G193" s="5">
        <v>320470797</v>
      </c>
      <c r="H193" s="5">
        <v>3713739</v>
      </c>
      <c r="I193" s="5">
        <v>28495</v>
      </c>
      <c r="J193" s="5">
        <v>4597158</v>
      </c>
      <c r="K193" s="5">
        <v>31030</v>
      </c>
      <c r="L193" s="5" t="s">
        <v>936</v>
      </c>
      <c r="M193" s="5" t="s">
        <v>946</v>
      </c>
    </row>
    <row r="194" spans="1:13" x14ac:dyDescent="0.3">
      <c r="A194" s="5" t="s">
        <v>893</v>
      </c>
      <c r="B194" s="5">
        <v>190</v>
      </c>
      <c r="C194" s="5">
        <v>1509423</v>
      </c>
      <c r="D194" s="5">
        <v>24637</v>
      </c>
      <c r="E194" s="5">
        <v>0</v>
      </c>
      <c r="F194" s="5">
        <v>27808818</v>
      </c>
      <c r="G194" s="5">
        <v>41239947</v>
      </c>
      <c r="H194" s="5">
        <v>428134</v>
      </c>
      <c r="I194" s="5">
        <v>75834</v>
      </c>
      <c r="J194" s="5">
        <v>254528566</v>
      </c>
      <c r="K194" s="5">
        <v>20480</v>
      </c>
      <c r="L194" s="5" t="s">
        <v>936</v>
      </c>
      <c r="M194" s="5" t="s">
        <v>937</v>
      </c>
    </row>
    <row r="195" spans="1:13" x14ac:dyDescent="0.3">
      <c r="A195" s="5" t="s">
        <v>895</v>
      </c>
      <c r="B195" s="5">
        <v>192</v>
      </c>
      <c r="C195" s="5">
        <v>2007741</v>
      </c>
      <c r="D195" s="5">
        <v>19100</v>
      </c>
      <c r="E195" s="5">
        <v>350</v>
      </c>
      <c r="F195" s="5">
        <v>0</v>
      </c>
      <c r="G195" s="5">
        <v>116878587</v>
      </c>
      <c r="H195" s="5">
        <v>464460</v>
      </c>
      <c r="I195" s="5">
        <v>12947</v>
      </c>
      <c r="J195" s="5">
        <v>9629723</v>
      </c>
      <c r="K195" s="5">
        <v>33729</v>
      </c>
      <c r="L195" s="5" t="s">
        <v>936</v>
      </c>
      <c r="M195" s="5" t="s">
        <v>962</v>
      </c>
    </row>
    <row r="196" spans="1:13" x14ac:dyDescent="0.3">
      <c r="A196" s="5" t="s">
        <v>894</v>
      </c>
      <c r="B196" s="5">
        <v>191</v>
      </c>
      <c r="C196" s="5">
        <v>696581</v>
      </c>
      <c r="D196" s="5">
        <v>13940</v>
      </c>
      <c r="E196" s="5">
        <v>350</v>
      </c>
      <c r="F196" s="5">
        <v>0</v>
      </c>
      <c r="G196" s="5">
        <v>98116901</v>
      </c>
      <c r="H196" s="5">
        <v>530601</v>
      </c>
      <c r="I196" s="5">
        <v>7644</v>
      </c>
      <c r="J196" s="5">
        <v>6188510</v>
      </c>
      <c r="K196" s="5">
        <v>25160</v>
      </c>
      <c r="L196" s="5" t="s">
        <v>936</v>
      </c>
      <c r="M196" s="5" t="s">
        <v>940</v>
      </c>
    </row>
    <row r="197" spans="1:13" x14ac:dyDescent="0.3">
      <c r="A197" s="5" t="s">
        <v>901</v>
      </c>
      <c r="B197" s="5">
        <v>198</v>
      </c>
      <c r="C197" s="5">
        <v>2800279</v>
      </c>
      <c r="D197" s="5">
        <v>4654</v>
      </c>
      <c r="E197" s="5">
        <v>0</v>
      </c>
      <c r="F197" s="5">
        <v>853698</v>
      </c>
      <c r="G197" s="5">
        <v>94710997</v>
      </c>
      <c r="H197" s="5">
        <v>224029</v>
      </c>
      <c r="I197" s="5">
        <v>23752</v>
      </c>
      <c r="J197" s="5">
        <v>51043346</v>
      </c>
      <c r="K197" s="5">
        <v>23610</v>
      </c>
      <c r="L197" s="5" t="s">
        <v>936</v>
      </c>
      <c r="M197" s="5" t="s">
        <v>937</v>
      </c>
    </row>
    <row r="198" spans="1:13" x14ac:dyDescent="0.3">
      <c r="A198" s="5" t="s">
        <v>897</v>
      </c>
      <c r="B198" s="5">
        <v>194</v>
      </c>
      <c r="C198" s="5">
        <v>0</v>
      </c>
      <c r="D198" s="5">
        <v>0</v>
      </c>
      <c r="E198" s="5">
        <v>0</v>
      </c>
      <c r="F198" s="5">
        <v>0</v>
      </c>
      <c r="G198" s="5">
        <v>56342414</v>
      </c>
      <c r="H198" s="5">
        <v>305271</v>
      </c>
      <c r="I198" s="5">
        <v>5816</v>
      </c>
      <c r="J198" s="5">
        <v>2216756</v>
      </c>
      <c r="K198" s="5">
        <v>23480</v>
      </c>
      <c r="L198" s="5" t="s">
        <v>936</v>
      </c>
      <c r="M198" s="5" t="s">
        <v>937</v>
      </c>
    </row>
    <row r="199" spans="1:13" x14ac:dyDescent="0.3">
      <c r="A199" s="5" t="s">
        <v>856</v>
      </c>
      <c r="B199" s="5">
        <v>155</v>
      </c>
      <c r="C199" s="5">
        <v>0</v>
      </c>
      <c r="D199" s="5">
        <v>0</v>
      </c>
      <c r="E199" s="5">
        <v>0</v>
      </c>
      <c r="F199" s="5">
        <v>0</v>
      </c>
      <c r="G199" s="5">
        <v>116690221</v>
      </c>
      <c r="H199" s="5">
        <v>1548758</v>
      </c>
      <c r="I199" s="5">
        <v>38444</v>
      </c>
      <c r="J199" s="5">
        <v>37620030</v>
      </c>
      <c r="K199" s="5">
        <v>17328</v>
      </c>
      <c r="L199" s="5" t="s">
        <v>936</v>
      </c>
      <c r="M199" s="5" t="s">
        <v>939</v>
      </c>
    </row>
    <row r="200" spans="1:13" x14ac:dyDescent="0.3">
      <c r="A200" s="5" t="s">
        <v>980</v>
      </c>
      <c r="B200" s="5">
        <v>199</v>
      </c>
      <c r="C200" s="5">
        <v>6000</v>
      </c>
      <c r="D200" s="5">
        <v>0</v>
      </c>
      <c r="E200" s="5">
        <v>0</v>
      </c>
      <c r="F200" s="5">
        <v>0</v>
      </c>
      <c r="G200" s="5">
        <v>19466272</v>
      </c>
      <c r="H200" s="5">
        <v>83956</v>
      </c>
      <c r="I200" s="5">
        <v>0</v>
      </c>
      <c r="J200" s="5">
        <v>45779027</v>
      </c>
      <c r="K200" s="5">
        <v>14640</v>
      </c>
      <c r="L200" s="5" t="s">
        <v>973</v>
      </c>
      <c r="M200" s="5" t="s">
        <v>959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586A-9C71-4A7F-ABE1-A20BBD1B71EA}">
  <dimension ref="A1:M201"/>
  <sheetViews>
    <sheetView workbookViewId="0">
      <selection activeCell="I15" sqref="I15"/>
    </sheetView>
  </sheetViews>
  <sheetFormatPr defaultRowHeight="16.5" x14ac:dyDescent="0.3"/>
  <sheetData>
    <row r="1" spans="1:13" x14ac:dyDescent="0.3">
      <c r="A1" t="s">
        <v>923</v>
      </c>
      <c r="B1" t="s">
        <v>924</v>
      </c>
      <c r="C1" t="s">
        <v>925</v>
      </c>
      <c r="D1" t="s">
        <v>926</v>
      </c>
      <c r="E1" t="s">
        <v>927</v>
      </c>
      <c r="F1" t="s">
        <v>928</v>
      </c>
      <c r="G1" t="s">
        <v>929</v>
      </c>
      <c r="H1" t="s">
        <v>930</v>
      </c>
      <c r="I1" t="s">
        <v>931</v>
      </c>
      <c r="J1" t="s">
        <v>932</v>
      </c>
      <c r="K1" t="s">
        <v>933</v>
      </c>
      <c r="L1" t="s">
        <v>934</v>
      </c>
      <c r="M1" t="s">
        <v>935</v>
      </c>
    </row>
    <row r="2" spans="1:13" x14ac:dyDescent="0.3">
      <c r="A2" t="s">
        <v>742</v>
      </c>
      <c r="B2">
        <v>2</v>
      </c>
      <c r="C2">
        <v>65700374</v>
      </c>
      <c r="D2">
        <v>1193165</v>
      </c>
      <c r="E2">
        <v>1479</v>
      </c>
      <c r="F2">
        <v>0</v>
      </c>
      <c r="G2">
        <v>505692540</v>
      </c>
      <c r="H2">
        <v>7109522</v>
      </c>
      <c r="I2">
        <v>54929</v>
      </c>
      <c r="J2">
        <v>2762893</v>
      </c>
      <c r="K2">
        <v>42110</v>
      </c>
      <c r="L2" t="s">
        <v>936</v>
      </c>
      <c r="M2" t="s">
        <v>937</v>
      </c>
    </row>
    <row r="3" spans="1:13" x14ac:dyDescent="0.3">
      <c r="A3" t="s">
        <v>740</v>
      </c>
      <c r="B3">
        <v>1</v>
      </c>
      <c r="C3">
        <v>68612291</v>
      </c>
      <c r="D3">
        <v>1115404</v>
      </c>
      <c r="E3">
        <v>6341</v>
      </c>
      <c r="F3">
        <v>0</v>
      </c>
      <c r="G3">
        <v>518694014</v>
      </c>
      <c r="H3">
        <v>7546021</v>
      </c>
      <c r="I3">
        <v>108775</v>
      </c>
      <c r="J3">
        <v>2709594</v>
      </c>
      <c r="K3">
        <v>41370</v>
      </c>
      <c r="L3" t="s">
        <v>936</v>
      </c>
      <c r="M3" t="s">
        <v>944</v>
      </c>
    </row>
    <row r="4" spans="1:13" x14ac:dyDescent="0.3">
      <c r="A4" t="s">
        <v>938</v>
      </c>
      <c r="B4">
        <v>4</v>
      </c>
      <c r="C4">
        <v>53361379</v>
      </c>
      <c r="D4">
        <v>1108677</v>
      </c>
      <c r="E4">
        <v>777</v>
      </c>
      <c r="F4">
        <v>0</v>
      </c>
      <c r="G4">
        <v>500221326</v>
      </c>
      <c r="H4">
        <v>6726999</v>
      </c>
      <c r="I4">
        <v>35438</v>
      </c>
      <c r="J4">
        <v>3237273</v>
      </c>
      <c r="K4">
        <v>45120</v>
      </c>
      <c r="L4" t="s">
        <v>936</v>
      </c>
      <c r="M4" t="s">
        <v>939</v>
      </c>
    </row>
    <row r="5" spans="1:13" x14ac:dyDescent="0.3">
      <c r="A5" t="s">
        <v>744</v>
      </c>
      <c r="B5">
        <v>7</v>
      </c>
      <c r="C5">
        <v>53114712</v>
      </c>
      <c r="D5">
        <v>1083278</v>
      </c>
      <c r="E5">
        <v>1609</v>
      </c>
      <c r="F5">
        <v>0</v>
      </c>
      <c r="G5">
        <v>480317571</v>
      </c>
      <c r="H5">
        <v>6391838</v>
      </c>
      <c r="I5">
        <v>47312</v>
      </c>
      <c r="J5">
        <v>8203813</v>
      </c>
      <c r="K5">
        <v>47200</v>
      </c>
      <c r="L5" t="s">
        <v>936</v>
      </c>
      <c r="M5" t="s">
        <v>939</v>
      </c>
    </row>
    <row r="6" spans="1:13" x14ac:dyDescent="0.3">
      <c r="A6" t="s">
        <v>743</v>
      </c>
      <c r="B6">
        <v>6</v>
      </c>
      <c r="C6">
        <v>54537131</v>
      </c>
      <c r="D6">
        <v>1030367</v>
      </c>
      <c r="E6">
        <v>394</v>
      </c>
      <c r="F6">
        <v>0</v>
      </c>
      <c r="G6">
        <v>446079552</v>
      </c>
      <c r="H6">
        <v>6556685</v>
      </c>
      <c r="I6">
        <v>53727</v>
      </c>
      <c r="J6">
        <v>2727930</v>
      </c>
      <c r="K6">
        <v>40203</v>
      </c>
      <c r="L6" t="s">
        <v>936</v>
      </c>
      <c r="M6" t="s">
        <v>940</v>
      </c>
    </row>
    <row r="7" spans="1:13" x14ac:dyDescent="0.3">
      <c r="A7" t="s">
        <v>941</v>
      </c>
      <c r="B7">
        <v>8</v>
      </c>
      <c r="C7">
        <v>51878699</v>
      </c>
      <c r="D7">
        <v>1027354</v>
      </c>
      <c r="E7">
        <v>520</v>
      </c>
      <c r="F7">
        <v>0</v>
      </c>
      <c r="G7">
        <v>435961577</v>
      </c>
      <c r="H7">
        <v>6195048</v>
      </c>
      <c r="I7">
        <v>40689</v>
      </c>
      <c r="J7">
        <v>2702688</v>
      </c>
      <c r="K7">
        <v>41530</v>
      </c>
      <c r="L7" t="s">
        <v>936</v>
      </c>
      <c r="M7" t="s">
        <v>942</v>
      </c>
    </row>
    <row r="8" spans="1:13" x14ac:dyDescent="0.3">
      <c r="A8" t="s">
        <v>746</v>
      </c>
      <c r="B8">
        <v>10</v>
      </c>
      <c r="C8">
        <v>52877192</v>
      </c>
      <c r="D8">
        <v>992565</v>
      </c>
      <c r="E8">
        <v>3173</v>
      </c>
      <c r="F8">
        <v>0</v>
      </c>
      <c r="G8">
        <v>415498743</v>
      </c>
      <c r="H8">
        <v>6025997</v>
      </c>
      <c r="I8">
        <v>55595</v>
      </c>
      <c r="J8">
        <v>2964363</v>
      </c>
      <c r="K8">
        <v>38226</v>
      </c>
      <c r="L8" t="s">
        <v>936</v>
      </c>
      <c r="M8" t="s">
        <v>943</v>
      </c>
    </row>
    <row r="9" spans="1:13" x14ac:dyDescent="0.3">
      <c r="A9" t="s">
        <v>598</v>
      </c>
      <c r="B9">
        <v>3</v>
      </c>
      <c r="C9">
        <v>55786606</v>
      </c>
      <c r="D9">
        <v>920962</v>
      </c>
      <c r="E9">
        <v>4448</v>
      </c>
      <c r="F9">
        <v>0</v>
      </c>
      <c r="G9">
        <v>482569716</v>
      </c>
      <c r="H9">
        <v>6603979</v>
      </c>
      <c r="I9">
        <v>53905</v>
      </c>
      <c r="J9">
        <v>3882655</v>
      </c>
      <c r="K9">
        <v>41180</v>
      </c>
      <c r="L9" t="s">
        <v>936</v>
      </c>
      <c r="M9" t="s">
        <v>945</v>
      </c>
    </row>
    <row r="10" spans="1:13" x14ac:dyDescent="0.3">
      <c r="A10" t="s">
        <v>755</v>
      </c>
      <c r="B10">
        <v>19</v>
      </c>
      <c r="C10">
        <v>45474474</v>
      </c>
      <c r="D10">
        <v>909199</v>
      </c>
      <c r="E10">
        <v>10403</v>
      </c>
      <c r="F10">
        <v>0</v>
      </c>
      <c r="G10">
        <v>396528387</v>
      </c>
      <c r="H10">
        <v>5100173</v>
      </c>
      <c r="I10">
        <v>116422</v>
      </c>
      <c r="J10">
        <v>6912971</v>
      </c>
      <c r="K10">
        <v>40450</v>
      </c>
      <c r="L10" t="s">
        <v>936</v>
      </c>
      <c r="M10" t="s">
        <v>940</v>
      </c>
    </row>
    <row r="11" spans="1:13" x14ac:dyDescent="0.3">
      <c r="A11" t="s">
        <v>745</v>
      </c>
      <c r="B11">
        <v>9</v>
      </c>
      <c r="C11">
        <v>41519710</v>
      </c>
      <c r="D11">
        <v>887843</v>
      </c>
      <c r="E11">
        <v>1301</v>
      </c>
      <c r="F11">
        <v>0</v>
      </c>
      <c r="G11">
        <v>424280530</v>
      </c>
      <c r="H11">
        <v>6214696</v>
      </c>
      <c r="I11">
        <v>62361</v>
      </c>
      <c r="J11">
        <v>3058362</v>
      </c>
      <c r="K11">
        <v>41230</v>
      </c>
      <c r="L11" t="s">
        <v>936</v>
      </c>
      <c r="M11" t="s">
        <v>943</v>
      </c>
    </row>
    <row r="12" spans="1:13" x14ac:dyDescent="0.3">
      <c r="A12" t="s">
        <v>751</v>
      </c>
      <c r="B12">
        <v>13</v>
      </c>
      <c r="C12">
        <v>42545431</v>
      </c>
      <c r="D12">
        <v>867227</v>
      </c>
      <c r="E12">
        <v>705</v>
      </c>
      <c r="F12">
        <v>0</v>
      </c>
      <c r="G12">
        <v>376649225</v>
      </c>
      <c r="H12">
        <v>5493774</v>
      </c>
      <c r="I12">
        <v>46851</v>
      </c>
      <c r="J12">
        <v>4819625</v>
      </c>
      <c r="K12">
        <v>40060</v>
      </c>
      <c r="L12" t="s">
        <v>936</v>
      </c>
      <c r="M12" t="s">
        <v>939</v>
      </c>
    </row>
    <row r="13" spans="1:13" x14ac:dyDescent="0.3">
      <c r="A13" t="s">
        <v>741</v>
      </c>
      <c r="B13">
        <v>5</v>
      </c>
      <c r="C13">
        <v>42937907</v>
      </c>
      <c r="D13">
        <v>845354</v>
      </c>
      <c r="E13">
        <v>0</v>
      </c>
      <c r="F13">
        <v>0</v>
      </c>
      <c r="G13">
        <v>430411946</v>
      </c>
      <c r="H13">
        <v>6404896</v>
      </c>
      <c r="I13">
        <v>31273</v>
      </c>
      <c r="J13">
        <v>2802676</v>
      </c>
      <c r="K13">
        <v>35970</v>
      </c>
      <c r="L13" t="s">
        <v>936</v>
      </c>
      <c r="M13" t="s">
        <v>940</v>
      </c>
    </row>
    <row r="14" spans="1:13" x14ac:dyDescent="0.3">
      <c r="A14" t="s">
        <v>752</v>
      </c>
      <c r="B14">
        <v>15</v>
      </c>
      <c r="C14">
        <v>42151522</v>
      </c>
      <c r="D14">
        <v>843871</v>
      </c>
      <c r="E14">
        <v>2962</v>
      </c>
      <c r="F14">
        <v>0</v>
      </c>
      <c r="G14">
        <v>406156548</v>
      </c>
      <c r="H14">
        <v>5509711</v>
      </c>
      <c r="I14">
        <v>62255</v>
      </c>
      <c r="J14">
        <v>3457225</v>
      </c>
      <c r="K14">
        <v>43680</v>
      </c>
      <c r="L14" t="s">
        <v>936</v>
      </c>
      <c r="M14" t="s">
        <v>943</v>
      </c>
    </row>
    <row r="15" spans="1:13" x14ac:dyDescent="0.3">
      <c r="A15" t="s">
        <v>783</v>
      </c>
      <c r="B15">
        <v>41</v>
      </c>
      <c r="C15">
        <v>47684315</v>
      </c>
      <c r="D15">
        <v>841734</v>
      </c>
      <c r="E15">
        <v>250</v>
      </c>
      <c r="F15">
        <v>0</v>
      </c>
      <c r="G15">
        <v>333835768</v>
      </c>
      <c r="H15">
        <v>4178438</v>
      </c>
      <c r="I15">
        <v>57541</v>
      </c>
      <c r="J15">
        <v>2823608</v>
      </c>
      <c r="K15">
        <v>42420</v>
      </c>
      <c r="L15" t="s">
        <v>936</v>
      </c>
      <c r="M15" t="s">
        <v>945</v>
      </c>
    </row>
    <row r="16" spans="1:13" x14ac:dyDescent="0.3">
      <c r="A16" t="s">
        <v>747</v>
      </c>
      <c r="B16">
        <v>11</v>
      </c>
      <c r="C16">
        <v>58504991</v>
      </c>
      <c r="D16">
        <v>840790</v>
      </c>
      <c r="E16">
        <v>10901</v>
      </c>
      <c r="F16">
        <v>0</v>
      </c>
      <c r="G16">
        <v>450900441</v>
      </c>
      <c r="H16">
        <v>5696522</v>
      </c>
      <c r="I16">
        <v>98573</v>
      </c>
      <c r="J16">
        <v>2761789</v>
      </c>
      <c r="K16">
        <v>41740</v>
      </c>
      <c r="L16" t="s">
        <v>936</v>
      </c>
      <c r="M16" t="s">
        <v>943</v>
      </c>
    </row>
    <row r="17" spans="1:13" x14ac:dyDescent="0.3">
      <c r="A17" t="s">
        <v>804</v>
      </c>
      <c r="B17">
        <v>70</v>
      </c>
      <c r="C17">
        <v>53971601</v>
      </c>
      <c r="D17">
        <v>840484</v>
      </c>
      <c r="E17">
        <v>350</v>
      </c>
      <c r="F17">
        <v>0</v>
      </c>
      <c r="G17">
        <v>374923023</v>
      </c>
      <c r="H17">
        <v>4140385</v>
      </c>
      <c r="I17">
        <v>15261</v>
      </c>
      <c r="J17">
        <v>12260817</v>
      </c>
      <c r="K17">
        <v>39620</v>
      </c>
      <c r="L17" t="s">
        <v>936</v>
      </c>
      <c r="M17" t="s">
        <v>937</v>
      </c>
    </row>
    <row r="18" spans="1:13" x14ac:dyDescent="0.3">
      <c r="A18" t="s">
        <v>750</v>
      </c>
      <c r="B18">
        <v>16</v>
      </c>
      <c r="C18">
        <v>41098742</v>
      </c>
      <c r="D18">
        <v>821637</v>
      </c>
      <c r="E18">
        <v>1372</v>
      </c>
      <c r="F18">
        <v>0</v>
      </c>
      <c r="G18">
        <v>345377791</v>
      </c>
      <c r="H18">
        <v>5094695</v>
      </c>
      <c r="I18">
        <v>38063</v>
      </c>
      <c r="J18">
        <v>2726006</v>
      </c>
      <c r="K18">
        <v>40880</v>
      </c>
      <c r="L18" t="s">
        <v>936</v>
      </c>
      <c r="M18" t="s">
        <v>940</v>
      </c>
    </row>
    <row r="19" spans="1:13" x14ac:dyDescent="0.3">
      <c r="A19" t="s">
        <v>758</v>
      </c>
      <c r="B19">
        <v>22</v>
      </c>
      <c r="C19">
        <v>54587685</v>
      </c>
      <c r="D19">
        <v>792652</v>
      </c>
      <c r="E19">
        <v>5300</v>
      </c>
      <c r="F19">
        <v>0</v>
      </c>
      <c r="G19">
        <v>370631542</v>
      </c>
      <c r="H19">
        <v>5004178</v>
      </c>
      <c r="I19">
        <v>47094</v>
      </c>
      <c r="J19">
        <v>2705074</v>
      </c>
      <c r="K19">
        <v>40263</v>
      </c>
      <c r="L19" t="s">
        <v>936</v>
      </c>
      <c r="M19" t="s">
        <v>939</v>
      </c>
    </row>
    <row r="20" spans="1:13" x14ac:dyDescent="0.3">
      <c r="A20" t="s">
        <v>793</v>
      </c>
      <c r="B20">
        <v>57</v>
      </c>
      <c r="C20">
        <v>38624940</v>
      </c>
      <c r="D20">
        <v>787162</v>
      </c>
      <c r="E20">
        <v>668</v>
      </c>
      <c r="F20">
        <v>0</v>
      </c>
      <c r="G20">
        <v>327209815</v>
      </c>
      <c r="H20">
        <v>3982415</v>
      </c>
      <c r="I20">
        <v>44332</v>
      </c>
      <c r="J20">
        <v>3522751</v>
      </c>
      <c r="K20">
        <v>39460</v>
      </c>
      <c r="L20" t="s">
        <v>936</v>
      </c>
      <c r="M20" t="s">
        <v>937</v>
      </c>
    </row>
    <row r="21" spans="1:13" x14ac:dyDescent="0.3">
      <c r="A21" t="s">
        <v>761</v>
      </c>
      <c r="B21">
        <v>26</v>
      </c>
      <c r="C21">
        <v>35308182</v>
      </c>
      <c r="D21">
        <v>773901</v>
      </c>
      <c r="E21">
        <v>6397</v>
      </c>
      <c r="F21">
        <v>133675</v>
      </c>
      <c r="G21">
        <v>392821377</v>
      </c>
      <c r="H21">
        <v>4931286</v>
      </c>
      <c r="I21">
        <v>61523</v>
      </c>
      <c r="J21">
        <v>5426407</v>
      </c>
      <c r="K21">
        <v>40750</v>
      </c>
      <c r="L21" t="s">
        <v>936</v>
      </c>
      <c r="M21" t="s">
        <v>945</v>
      </c>
    </row>
    <row r="22" spans="1:13" x14ac:dyDescent="0.3">
      <c r="A22" t="s">
        <v>765</v>
      </c>
      <c r="B22">
        <v>27</v>
      </c>
      <c r="C22">
        <v>41726289</v>
      </c>
      <c r="D22">
        <v>769550</v>
      </c>
      <c r="E22">
        <v>6050</v>
      </c>
      <c r="F22">
        <v>0</v>
      </c>
      <c r="G22">
        <v>361908722</v>
      </c>
      <c r="H22">
        <v>4742217</v>
      </c>
      <c r="I22">
        <v>76224</v>
      </c>
      <c r="J22">
        <v>3463910</v>
      </c>
      <c r="K22">
        <v>43623</v>
      </c>
      <c r="L22" t="s">
        <v>936</v>
      </c>
      <c r="M22" t="s">
        <v>946</v>
      </c>
    </row>
    <row r="23" spans="1:13" x14ac:dyDescent="0.3">
      <c r="A23" t="s">
        <v>800</v>
      </c>
      <c r="B23">
        <v>63</v>
      </c>
      <c r="C23">
        <v>40816952</v>
      </c>
      <c r="D23">
        <v>762582</v>
      </c>
      <c r="E23">
        <v>274</v>
      </c>
      <c r="F23">
        <v>0</v>
      </c>
      <c r="G23">
        <v>309390355</v>
      </c>
      <c r="H23">
        <v>3955626</v>
      </c>
      <c r="I23">
        <v>127835</v>
      </c>
      <c r="J23">
        <v>6872085</v>
      </c>
      <c r="K23">
        <v>38990</v>
      </c>
      <c r="L23" t="s">
        <v>936</v>
      </c>
      <c r="M23" t="s">
        <v>945</v>
      </c>
    </row>
    <row r="24" spans="1:13" x14ac:dyDescent="0.3">
      <c r="A24" t="s">
        <v>785</v>
      </c>
      <c r="B24">
        <v>50</v>
      </c>
      <c r="C24">
        <v>33424172</v>
      </c>
      <c r="D24">
        <v>756300</v>
      </c>
      <c r="E24">
        <v>17018</v>
      </c>
      <c r="F24">
        <v>0</v>
      </c>
      <c r="G24">
        <v>289236529</v>
      </c>
      <c r="H24">
        <v>4618743</v>
      </c>
      <c r="I24">
        <v>127032</v>
      </c>
      <c r="J24">
        <v>3404300</v>
      </c>
      <c r="K24">
        <v>39110</v>
      </c>
      <c r="L24" t="s">
        <v>936</v>
      </c>
      <c r="M24" t="s">
        <v>946</v>
      </c>
    </row>
    <row r="25" spans="1:13" x14ac:dyDescent="0.3">
      <c r="A25" t="s">
        <v>757</v>
      </c>
      <c r="B25">
        <v>23</v>
      </c>
      <c r="C25">
        <v>38076219</v>
      </c>
      <c r="D25">
        <v>755877</v>
      </c>
      <c r="E25">
        <v>197</v>
      </c>
      <c r="F25">
        <v>0</v>
      </c>
      <c r="G25">
        <v>352839674</v>
      </c>
      <c r="H25">
        <v>4864887</v>
      </c>
      <c r="I25">
        <v>36538</v>
      </c>
      <c r="J25">
        <v>2782290</v>
      </c>
      <c r="K25">
        <v>34720</v>
      </c>
      <c r="L25" t="s">
        <v>936</v>
      </c>
      <c r="M25" t="s">
        <v>942</v>
      </c>
    </row>
    <row r="26" spans="1:13" x14ac:dyDescent="0.3">
      <c r="A26" t="s">
        <v>599</v>
      </c>
      <c r="B26">
        <v>17</v>
      </c>
      <c r="C26">
        <v>35239935</v>
      </c>
      <c r="D26">
        <v>746480</v>
      </c>
      <c r="E26">
        <v>500</v>
      </c>
      <c r="F26">
        <v>0</v>
      </c>
      <c r="G26">
        <v>402604612</v>
      </c>
      <c r="H26">
        <v>5320948</v>
      </c>
      <c r="I26">
        <v>43441</v>
      </c>
      <c r="J26">
        <v>2707023</v>
      </c>
      <c r="K26">
        <v>41690</v>
      </c>
      <c r="L26" t="s">
        <v>936</v>
      </c>
      <c r="M26" t="s">
        <v>945</v>
      </c>
    </row>
    <row r="27" spans="1:13" x14ac:dyDescent="0.3">
      <c r="A27" t="s">
        <v>756</v>
      </c>
      <c r="B27">
        <v>21</v>
      </c>
      <c r="C27">
        <v>34110646</v>
      </c>
      <c r="D27">
        <v>742014</v>
      </c>
      <c r="E27">
        <v>902</v>
      </c>
      <c r="F27">
        <v>81327</v>
      </c>
      <c r="G27">
        <v>345070707</v>
      </c>
      <c r="H27">
        <v>4958224</v>
      </c>
      <c r="I27">
        <v>55605</v>
      </c>
      <c r="J27">
        <v>3079272</v>
      </c>
      <c r="K27">
        <v>40053</v>
      </c>
      <c r="L27" t="s">
        <v>936</v>
      </c>
      <c r="M27" t="s">
        <v>945</v>
      </c>
    </row>
    <row r="28" spans="1:13" x14ac:dyDescent="0.3">
      <c r="A28" t="s">
        <v>776</v>
      </c>
      <c r="B28">
        <v>39</v>
      </c>
      <c r="C28">
        <v>49276714</v>
      </c>
      <c r="D28">
        <v>737481</v>
      </c>
      <c r="E28">
        <v>451</v>
      </c>
      <c r="F28">
        <v>0</v>
      </c>
      <c r="G28">
        <v>346742469</v>
      </c>
      <c r="H28">
        <v>4392369</v>
      </c>
      <c r="I28">
        <v>31461</v>
      </c>
      <c r="J28">
        <v>19401162</v>
      </c>
      <c r="K28">
        <v>42890</v>
      </c>
      <c r="L28" t="s">
        <v>936</v>
      </c>
      <c r="M28" t="s">
        <v>939</v>
      </c>
    </row>
    <row r="29" spans="1:13" x14ac:dyDescent="0.3">
      <c r="A29" t="s">
        <v>947</v>
      </c>
      <c r="B29">
        <v>59</v>
      </c>
      <c r="C29">
        <v>49136179</v>
      </c>
      <c r="D29">
        <v>736104</v>
      </c>
      <c r="E29">
        <v>545</v>
      </c>
      <c r="F29">
        <v>0</v>
      </c>
      <c r="G29">
        <v>334887836</v>
      </c>
      <c r="H29">
        <v>4076969</v>
      </c>
      <c r="I29">
        <v>45090</v>
      </c>
      <c r="J29">
        <v>9110940</v>
      </c>
      <c r="K29">
        <v>42370</v>
      </c>
      <c r="L29" t="s">
        <v>936</v>
      </c>
      <c r="M29" t="s">
        <v>939</v>
      </c>
    </row>
    <row r="30" spans="1:13" x14ac:dyDescent="0.3">
      <c r="A30" t="s">
        <v>797</v>
      </c>
      <c r="B30">
        <v>66</v>
      </c>
      <c r="C30">
        <v>32277205</v>
      </c>
      <c r="D30">
        <v>734603</v>
      </c>
      <c r="E30">
        <v>21241</v>
      </c>
      <c r="F30">
        <v>0</v>
      </c>
      <c r="G30">
        <v>311935867</v>
      </c>
      <c r="H30">
        <v>4454422</v>
      </c>
      <c r="I30">
        <v>145042</v>
      </c>
      <c r="J30">
        <v>5856448</v>
      </c>
      <c r="K30">
        <v>39590</v>
      </c>
      <c r="L30" t="s">
        <v>936</v>
      </c>
      <c r="M30" t="s">
        <v>939</v>
      </c>
    </row>
    <row r="31" spans="1:13" x14ac:dyDescent="0.3">
      <c r="A31" t="s">
        <v>760</v>
      </c>
      <c r="B31">
        <v>24</v>
      </c>
      <c r="C31">
        <v>44454379</v>
      </c>
      <c r="D31">
        <v>719853</v>
      </c>
      <c r="E31">
        <v>1050</v>
      </c>
      <c r="F31">
        <v>0</v>
      </c>
      <c r="G31">
        <v>581823565</v>
      </c>
      <c r="H31">
        <v>4704807</v>
      </c>
      <c r="I31">
        <v>35534</v>
      </c>
      <c r="J31">
        <v>4082120</v>
      </c>
      <c r="K31">
        <v>42973</v>
      </c>
      <c r="L31" t="s">
        <v>936</v>
      </c>
      <c r="M31" t="s">
        <v>940</v>
      </c>
    </row>
    <row r="32" spans="1:13" x14ac:dyDescent="0.3">
      <c r="A32" t="s">
        <v>749</v>
      </c>
      <c r="B32">
        <v>14</v>
      </c>
      <c r="C32">
        <v>35929177</v>
      </c>
      <c r="D32">
        <v>718086</v>
      </c>
      <c r="E32">
        <v>1339</v>
      </c>
      <c r="F32">
        <v>0</v>
      </c>
      <c r="G32">
        <v>401428281</v>
      </c>
      <c r="H32">
        <v>5269148</v>
      </c>
      <c r="I32">
        <v>43718</v>
      </c>
      <c r="J32">
        <v>3448225</v>
      </c>
      <c r="K32">
        <v>44490</v>
      </c>
      <c r="L32" t="s">
        <v>936</v>
      </c>
      <c r="M32" t="s">
        <v>940</v>
      </c>
    </row>
    <row r="33" spans="1:13" x14ac:dyDescent="0.3">
      <c r="A33" t="s">
        <v>812</v>
      </c>
      <c r="B33">
        <v>85</v>
      </c>
      <c r="C33">
        <v>32457019</v>
      </c>
      <c r="D33">
        <v>715975</v>
      </c>
      <c r="E33">
        <v>1162</v>
      </c>
      <c r="F33">
        <v>0</v>
      </c>
      <c r="G33">
        <v>298565642</v>
      </c>
      <c r="H33">
        <v>3782826</v>
      </c>
      <c r="I33">
        <v>4823</v>
      </c>
      <c r="J33">
        <v>10589521</v>
      </c>
      <c r="K33">
        <v>42906</v>
      </c>
      <c r="L33" t="s">
        <v>936</v>
      </c>
      <c r="M33" t="s">
        <v>940</v>
      </c>
    </row>
    <row r="34" spans="1:13" x14ac:dyDescent="0.3">
      <c r="A34" t="s">
        <v>754</v>
      </c>
      <c r="B34">
        <v>20</v>
      </c>
      <c r="C34">
        <v>52748384</v>
      </c>
      <c r="D34">
        <v>715805</v>
      </c>
      <c r="E34">
        <v>631</v>
      </c>
      <c r="F34">
        <v>0</v>
      </c>
      <c r="G34">
        <v>350609691</v>
      </c>
      <c r="H34">
        <v>4777833</v>
      </c>
      <c r="I34">
        <v>32007</v>
      </c>
      <c r="J34">
        <v>3859526</v>
      </c>
      <c r="K34">
        <v>39923</v>
      </c>
      <c r="L34" t="s">
        <v>936</v>
      </c>
      <c r="M34" t="s">
        <v>942</v>
      </c>
    </row>
    <row r="35" spans="1:13" x14ac:dyDescent="0.3">
      <c r="A35" t="s">
        <v>772</v>
      </c>
      <c r="B35">
        <v>36</v>
      </c>
      <c r="C35">
        <v>32851366</v>
      </c>
      <c r="D35">
        <v>712143</v>
      </c>
      <c r="E35">
        <v>780</v>
      </c>
      <c r="F35">
        <v>0</v>
      </c>
      <c r="G35">
        <v>344849200</v>
      </c>
      <c r="H35">
        <v>4232419</v>
      </c>
      <c r="I35">
        <v>62346</v>
      </c>
      <c r="J35">
        <v>2504414</v>
      </c>
      <c r="K35">
        <v>38013</v>
      </c>
      <c r="L35" t="s">
        <v>936</v>
      </c>
      <c r="M35" t="s">
        <v>946</v>
      </c>
    </row>
    <row r="36" spans="1:13" x14ac:dyDescent="0.3">
      <c r="A36" t="s">
        <v>774</v>
      </c>
      <c r="B36">
        <v>35</v>
      </c>
      <c r="C36">
        <v>38679018</v>
      </c>
      <c r="D36">
        <v>705912</v>
      </c>
      <c r="E36">
        <v>350</v>
      </c>
      <c r="F36">
        <v>0</v>
      </c>
      <c r="G36">
        <v>346721460</v>
      </c>
      <c r="H36">
        <v>4252764</v>
      </c>
      <c r="I36">
        <v>32608</v>
      </c>
      <c r="J36">
        <v>4422108</v>
      </c>
      <c r="K36">
        <v>37480</v>
      </c>
      <c r="L36" t="s">
        <v>936</v>
      </c>
      <c r="M36" t="s">
        <v>946</v>
      </c>
    </row>
    <row r="37" spans="1:13" x14ac:dyDescent="0.3">
      <c r="A37" t="s">
        <v>753</v>
      </c>
      <c r="B37">
        <v>18</v>
      </c>
      <c r="C37">
        <v>52591800</v>
      </c>
      <c r="D37">
        <v>693708</v>
      </c>
      <c r="E37">
        <v>1555</v>
      </c>
      <c r="F37">
        <v>0</v>
      </c>
      <c r="G37">
        <v>449650544</v>
      </c>
      <c r="H37">
        <v>5277221</v>
      </c>
      <c r="I37">
        <v>41451</v>
      </c>
      <c r="J37">
        <v>2702231</v>
      </c>
      <c r="K37">
        <v>37790</v>
      </c>
      <c r="L37" t="s">
        <v>936</v>
      </c>
      <c r="M37" t="s">
        <v>939</v>
      </c>
    </row>
    <row r="38" spans="1:13" x14ac:dyDescent="0.3">
      <c r="A38" t="s">
        <v>784</v>
      </c>
      <c r="B38">
        <v>47</v>
      </c>
      <c r="C38">
        <v>36811826</v>
      </c>
      <c r="D38">
        <v>689100</v>
      </c>
      <c r="E38">
        <v>0</v>
      </c>
      <c r="F38">
        <v>0</v>
      </c>
      <c r="G38">
        <v>350750730</v>
      </c>
      <c r="H38">
        <v>4156445</v>
      </c>
      <c r="I38">
        <v>69120</v>
      </c>
      <c r="J38">
        <v>5913914</v>
      </c>
      <c r="K38">
        <v>41490</v>
      </c>
      <c r="L38" t="s">
        <v>936</v>
      </c>
      <c r="M38" t="s">
        <v>942</v>
      </c>
    </row>
    <row r="39" spans="1:13" x14ac:dyDescent="0.3">
      <c r="A39" t="s">
        <v>950</v>
      </c>
      <c r="B39">
        <v>73</v>
      </c>
      <c r="C39">
        <v>32256644</v>
      </c>
      <c r="D39">
        <v>686031</v>
      </c>
      <c r="E39">
        <v>872</v>
      </c>
      <c r="F39">
        <v>0</v>
      </c>
      <c r="G39">
        <v>326374509</v>
      </c>
      <c r="H39">
        <v>3985712</v>
      </c>
      <c r="I39">
        <v>35028</v>
      </c>
      <c r="J39">
        <v>3348287</v>
      </c>
      <c r="K39">
        <v>36760</v>
      </c>
      <c r="L39" t="s">
        <v>936</v>
      </c>
      <c r="M39" t="s">
        <v>942</v>
      </c>
    </row>
    <row r="40" spans="1:13" x14ac:dyDescent="0.3">
      <c r="A40" t="s">
        <v>767</v>
      </c>
      <c r="B40">
        <v>30</v>
      </c>
      <c r="C40">
        <v>36983518</v>
      </c>
      <c r="D40">
        <v>684758</v>
      </c>
      <c r="E40">
        <v>5500</v>
      </c>
      <c r="F40">
        <v>0</v>
      </c>
      <c r="G40">
        <v>343628207</v>
      </c>
      <c r="H40">
        <v>4569638</v>
      </c>
      <c r="I40">
        <v>72814</v>
      </c>
      <c r="J40">
        <v>3135417</v>
      </c>
      <c r="K40">
        <v>37690</v>
      </c>
      <c r="L40" t="s">
        <v>936</v>
      </c>
      <c r="M40" t="s">
        <v>944</v>
      </c>
    </row>
    <row r="41" spans="1:13" x14ac:dyDescent="0.3">
      <c r="A41" t="s">
        <v>748</v>
      </c>
      <c r="B41">
        <v>12</v>
      </c>
      <c r="C41">
        <v>34153805</v>
      </c>
      <c r="D41">
        <v>683825</v>
      </c>
      <c r="E41">
        <v>514</v>
      </c>
      <c r="F41">
        <v>0</v>
      </c>
      <c r="G41">
        <v>446945570</v>
      </c>
      <c r="H41">
        <v>5277232</v>
      </c>
      <c r="I41">
        <v>29239</v>
      </c>
      <c r="J41">
        <v>2770716</v>
      </c>
      <c r="K41">
        <v>35530</v>
      </c>
      <c r="L41" t="s">
        <v>936</v>
      </c>
      <c r="M41" t="s">
        <v>937</v>
      </c>
    </row>
    <row r="42" spans="1:13" x14ac:dyDescent="0.3">
      <c r="A42" t="s">
        <v>786</v>
      </c>
      <c r="B42">
        <v>53</v>
      </c>
      <c r="C42">
        <v>47507342</v>
      </c>
      <c r="D42">
        <v>675856</v>
      </c>
      <c r="E42">
        <v>9380</v>
      </c>
      <c r="F42">
        <v>0</v>
      </c>
      <c r="G42">
        <v>367447109</v>
      </c>
      <c r="H42">
        <v>4154221</v>
      </c>
      <c r="I42">
        <v>69975</v>
      </c>
      <c r="J42">
        <v>2065216</v>
      </c>
      <c r="K42">
        <v>37770</v>
      </c>
      <c r="L42" t="s">
        <v>936</v>
      </c>
      <c r="M42" t="s">
        <v>940</v>
      </c>
    </row>
    <row r="43" spans="1:13" x14ac:dyDescent="0.3">
      <c r="A43" t="s">
        <v>949</v>
      </c>
      <c r="B43">
        <v>31</v>
      </c>
      <c r="C43">
        <v>31852247</v>
      </c>
      <c r="D43">
        <v>675703</v>
      </c>
      <c r="E43">
        <v>451</v>
      </c>
      <c r="F43">
        <v>0</v>
      </c>
      <c r="G43">
        <v>324818075</v>
      </c>
      <c r="H43">
        <v>4537570</v>
      </c>
      <c r="I43">
        <v>61840</v>
      </c>
      <c r="J43">
        <v>3815296</v>
      </c>
      <c r="K43">
        <v>39303</v>
      </c>
      <c r="L43" t="s">
        <v>936</v>
      </c>
      <c r="M43" t="s">
        <v>945</v>
      </c>
    </row>
    <row r="44" spans="1:13" x14ac:dyDescent="0.3">
      <c r="A44" t="s">
        <v>799</v>
      </c>
      <c r="B44">
        <v>71</v>
      </c>
      <c r="C44">
        <v>52341670</v>
      </c>
      <c r="D44">
        <v>673035</v>
      </c>
      <c r="E44">
        <v>50</v>
      </c>
      <c r="F44">
        <v>0</v>
      </c>
      <c r="G44">
        <v>470668218</v>
      </c>
      <c r="H44">
        <v>3915899</v>
      </c>
      <c r="I44">
        <v>49475</v>
      </c>
      <c r="J44">
        <v>3345422</v>
      </c>
      <c r="K44">
        <v>45970</v>
      </c>
      <c r="L44" t="s">
        <v>936</v>
      </c>
      <c r="M44" t="s">
        <v>940</v>
      </c>
    </row>
    <row r="45" spans="1:13" x14ac:dyDescent="0.3">
      <c r="A45" t="s">
        <v>948</v>
      </c>
      <c r="B45">
        <v>86</v>
      </c>
      <c r="C45">
        <v>30637184</v>
      </c>
      <c r="D45">
        <v>672798</v>
      </c>
      <c r="E45">
        <v>653</v>
      </c>
      <c r="F45">
        <v>0</v>
      </c>
      <c r="G45">
        <v>308427022</v>
      </c>
      <c r="H45">
        <v>3559329</v>
      </c>
      <c r="I45">
        <v>59864</v>
      </c>
      <c r="J45">
        <v>3007799</v>
      </c>
      <c r="K45">
        <v>40093</v>
      </c>
      <c r="L45" t="s">
        <v>936</v>
      </c>
      <c r="M45" t="s">
        <v>942</v>
      </c>
    </row>
    <row r="46" spans="1:13" x14ac:dyDescent="0.3">
      <c r="A46" t="s">
        <v>769</v>
      </c>
      <c r="B46">
        <v>34</v>
      </c>
      <c r="C46">
        <v>31920458</v>
      </c>
      <c r="D46">
        <v>672721</v>
      </c>
      <c r="E46">
        <v>1053</v>
      </c>
      <c r="F46">
        <v>0</v>
      </c>
      <c r="G46">
        <v>317865121</v>
      </c>
      <c r="H46">
        <v>4479038</v>
      </c>
      <c r="I46">
        <v>45189</v>
      </c>
      <c r="J46">
        <v>3310084</v>
      </c>
      <c r="K46">
        <v>41530</v>
      </c>
      <c r="L46" t="s">
        <v>936</v>
      </c>
      <c r="M46" t="s">
        <v>939</v>
      </c>
    </row>
    <row r="47" spans="1:13" x14ac:dyDescent="0.3">
      <c r="A47" t="s">
        <v>792</v>
      </c>
      <c r="B47">
        <v>61</v>
      </c>
      <c r="C47">
        <v>33955494</v>
      </c>
      <c r="D47">
        <v>668011</v>
      </c>
      <c r="E47">
        <v>2942</v>
      </c>
      <c r="F47">
        <v>0</v>
      </c>
      <c r="G47">
        <v>298692290</v>
      </c>
      <c r="H47">
        <v>4014238</v>
      </c>
      <c r="I47">
        <v>124489</v>
      </c>
      <c r="J47">
        <v>5387592</v>
      </c>
      <c r="K47">
        <v>38709</v>
      </c>
      <c r="L47" t="s">
        <v>936</v>
      </c>
      <c r="M47" t="s">
        <v>943</v>
      </c>
    </row>
    <row r="48" spans="1:13" x14ac:dyDescent="0.3">
      <c r="A48" t="s">
        <v>759</v>
      </c>
      <c r="B48">
        <v>25</v>
      </c>
      <c r="C48">
        <v>32591162</v>
      </c>
      <c r="D48">
        <v>656231</v>
      </c>
      <c r="E48">
        <v>4501</v>
      </c>
      <c r="F48">
        <v>0</v>
      </c>
      <c r="G48">
        <v>377147643</v>
      </c>
      <c r="H48">
        <v>4684429</v>
      </c>
      <c r="I48">
        <v>65988</v>
      </c>
      <c r="J48">
        <v>3467961</v>
      </c>
      <c r="K48">
        <v>45790</v>
      </c>
      <c r="L48" t="s">
        <v>936</v>
      </c>
      <c r="M48" t="s">
        <v>946</v>
      </c>
    </row>
    <row r="49" spans="1:13" x14ac:dyDescent="0.3">
      <c r="A49" t="s">
        <v>771</v>
      </c>
      <c r="B49">
        <v>38</v>
      </c>
      <c r="C49">
        <v>30915504</v>
      </c>
      <c r="D49">
        <v>646612</v>
      </c>
      <c r="E49">
        <v>500</v>
      </c>
      <c r="F49">
        <v>0</v>
      </c>
      <c r="G49">
        <v>298838200</v>
      </c>
      <c r="H49">
        <v>4183073</v>
      </c>
      <c r="I49">
        <v>48301</v>
      </c>
      <c r="J49">
        <v>3978341</v>
      </c>
      <c r="K49">
        <v>29006</v>
      </c>
      <c r="L49" t="s">
        <v>936</v>
      </c>
      <c r="M49" t="s">
        <v>939</v>
      </c>
    </row>
    <row r="50" spans="1:13" x14ac:dyDescent="0.3">
      <c r="A50" t="s">
        <v>770</v>
      </c>
      <c r="B50">
        <v>33</v>
      </c>
      <c r="C50">
        <v>35705492</v>
      </c>
      <c r="D50">
        <v>646039</v>
      </c>
      <c r="E50">
        <v>2677</v>
      </c>
      <c r="F50">
        <v>0</v>
      </c>
      <c r="G50">
        <v>368751688</v>
      </c>
      <c r="H50">
        <v>4255006</v>
      </c>
      <c r="I50">
        <v>63684</v>
      </c>
      <c r="J50">
        <v>2702575</v>
      </c>
      <c r="K50">
        <v>39510</v>
      </c>
      <c r="L50" t="s">
        <v>936</v>
      </c>
      <c r="M50" t="s">
        <v>940</v>
      </c>
    </row>
    <row r="51" spans="1:13" x14ac:dyDescent="0.3">
      <c r="A51" t="s">
        <v>952</v>
      </c>
      <c r="B51">
        <v>74</v>
      </c>
      <c r="C51">
        <v>30086790</v>
      </c>
      <c r="D51">
        <v>645967</v>
      </c>
      <c r="E51">
        <v>1696</v>
      </c>
      <c r="F51">
        <v>0</v>
      </c>
      <c r="G51">
        <v>357487649</v>
      </c>
      <c r="H51">
        <v>3993813</v>
      </c>
      <c r="I51">
        <v>55235</v>
      </c>
      <c r="J51">
        <v>3312487</v>
      </c>
      <c r="K51">
        <v>35000</v>
      </c>
      <c r="L51" t="s">
        <v>936</v>
      </c>
      <c r="M51" t="s">
        <v>942</v>
      </c>
    </row>
    <row r="52" spans="1:13" x14ac:dyDescent="0.3">
      <c r="A52" t="s">
        <v>762</v>
      </c>
      <c r="B52">
        <v>29</v>
      </c>
      <c r="C52">
        <v>42283684</v>
      </c>
      <c r="D52">
        <v>641248</v>
      </c>
      <c r="E52">
        <v>3428</v>
      </c>
      <c r="F52">
        <v>0</v>
      </c>
      <c r="G52">
        <v>384150915</v>
      </c>
      <c r="H52">
        <v>4413467</v>
      </c>
      <c r="I52">
        <v>66597</v>
      </c>
      <c r="J52">
        <v>4079718</v>
      </c>
      <c r="K52">
        <v>43572</v>
      </c>
      <c r="L52" t="s">
        <v>936</v>
      </c>
      <c r="M52" t="s">
        <v>937</v>
      </c>
    </row>
    <row r="53" spans="1:13" x14ac:dyDescent="0.3">
      <c r="A53" t="s">
        <v>814</v>
      </c>
      <c r="B53">
        <v>89</v>
      </c>
      <c r="C53">
        <v>29886459</v>
      </c>
      <c r="D53">
        <v>635773</v>
      </c>
      <c r="E53">
        <v>303</v>
      </c>
      <c r="F53">
        <v>0</v>
      </c>
      <c r="G53">
        <v>290116502</v>
      </c>
      <c r="H53">
        <v>3174122</v>
      </c>
      <c r="I53">
        <v>37502</v>
      </c>
      <c r="J53">
        <v>6353831</v>
      </c>
      <c r="K53">
        <v>41390</v>
      </c>
      <c r="L53" t="s">
        <v>936</v>
      </c>
      <c r="M53" t="s">
        <v>940</v>
      </c>
    </row>
    <row r="54" spans="1:13" x14ac:dyDescent="0.3">
      <c r="A54" t="s">
        <v>803</v>
      </c>
      <c r="B54">
        <v>75</v>
      </c>
      <c r="C54">
        <v>34131712</v>
      </c>
      <c r="D54">
        <v>629537</v>
      </c>
      <c r="E54">
        <v>3454</v>
      </c>
      <c r="F54">
        <v>0</v>
      </c>
      <c r="G54">
        <v>289555436</v>
      </c>
      <c r="H54">
        <v>3731922</v>
      </c>
      <c r="I54">
        <v>47397</v>
      </c>
      <c r="J54">
        <v>52282692</v>
      </c>
      <c r="K54">
        <v>42260</v>
      </c>
      <c r="L54" t="s">
        <v>936</v>
      </c>
      <c r="M54" t="s">
        <v>939</v>
      </c>
    </row>
    <row r="55" spans="1:13" x14ac:dyDescent="0.3">
      <c r="A55" t="s">
        <v>798</v>
      </c>
      <c r="B55">
        <v>72</v>
      </c>
      <c r="C55">
        <v>28528332</v>
      </c>
      <c r="D55">
        <v>623331</v>
      </c>
      <c r="E55">
        <v>3085</v>
      </c>
      <c r="F55">
        <v>0</v>
      </c>
      <c r="G55">
        <v>308996090</v>
      </c>
      <c r="H55">
        <v>3953379</v>
      </c>
      <c r="I55">
        <v>127961</v>
      </c>
      <c r="J55">
        <v>4290497</v>
      </c>
      <c r="K55">
        <v>39139</v>
      </c>
      <c r="L55" t="s">
        <v>936</v>
      </c>
      <c r="M55" t="s">
        <v>946</v>
      </c>
    </row>
    <row r="56" spans="1:13" x14ac:dyDescent="0.3">
      <c r="A56" t="s">
        <v>781</v>
      </c>
      <c r="B56">
        <v>43</v>
      </c>
      <c r="C56">
        <v>36272194</v>
      </c>
      <c r="D56">
        <v>622778</v>
      </c>
      <c r="E56">
        <v>101</v>
      </c>
      <c r="F56">
        <v>0</v>
      </c>
      <c r="G56">
        <v>321465100</v>
      </c>
      <c r="H56">
        <v>3958307</v>
      </c>
      <c r="I56">
        <v>44811</v>
      </c>
      <c r="J56">
        <v>2870594</v>
      </c>
      <c r="K56">
        <v>41940</v>
      </c>
      <c r="L56" t="s">
        <v>936</v>
      </c>
      <c r="M56" t="s">
        <v>944</v>
      </c>
    </row>
    <row r="57" spans="1:13" x14ac:dyDescent="0.3">
      <c r="A57" t="s">
        <v>773</v>
      </c>
      <c r="B57">
        <v>40</v>
      </c>
      <c r="C57">
        <v>27762891</v>
      </c>
      <c r="D57">
        <v>616397</v>
      </c>
      <c r="E57">
        <v>350</v>
      </c>
      <c r="F57">
        <v>0</v>
      </c>
      <c r="G57">
        <v>336010729</v>
      </c>
      <c r="H57">
        <v>4319241</v>
      </c>
      <c r="I57">
        <v>63434</v>
      </c>
      <c r="J57">
        <v>3727713</v>
      </c>
      <c r="K57">
        <v>42036</v>
      </c>
      <c r="L57" t="s">
        <v>936</v>
      </c>
      <c r="M57" t="s">
        <v>946</v>
      </c>
    </row>
    <row r="58" spans="1:13" x14ac:dyDescent="0.3">
      <c r="A58" t="s">
        <v>951</v>
      </c>
      <c r="B58">
        <v>69</v>
      </c>
      <c r="C58">
        <v>28455012</v>
      </c>
      <c r="D58">
        <v>615670</v>
      </c>
      <c r="E58">
        <v>690</v>
      </c>
      <c r="F58">
        <v>0</v>
      </c>
      <c r="G58">
        <v>279412211</v>
      </c>
      <c r="H58">
        <v>3975660</v>
      </c>
      <c r="I58">
        <v>109495</v>
      </c>
      <c r="J58">
        <v>2944971</v>
      </c>
      <c r="K58">
        <v>37220</v>
      </c>
      <c r="L58" t="s">
        <v>936</v>
      </c>
      <c r="M58" t="s">
        <v>940</v>
      </c>
    </row>
    <row r="59" spans="1:13" x14ac:dyDescent="0.3">
      <c r="A59" t="s">
        <v>808</v>
      </c>
      <c r="B59">
        <v>79</v>
      </c>
      <c r="C59">
        <v>33038203</v>
      </c>
      <c r="D59">
        <v>613953</v>
      </c>
      <c r="E59">
        <v>648</v>
      </c>
      <c r="F59">
        <v>0</v>
      </c>
      <c r="G59">
        <v>323320346</v>
      </c>
      <c r="H59">
        <v>3797627</v>
      </c>
      <c r="I59">
        <v>31169</v>
      </c>
      <c r="J59">
        <v>3174407</v>
      </c>
      <c r="K59">
        <v>34490</v>
      </c>
      <c r="L59" t="s">
        <v>936</v>
      </c>
      <c r="M59" t="s">
        <v>946</v>
      </c>
    </row>
    <row r="60" spans="1:13" x14ac:dyDescent="0.3">
      <c r="A60" t="s">
        <v>601</v>
      </c>
      <c r="B60">
        <v>93</v>
      </c>
      <c r="C60">
        <v>28756374</v>
      </c>
      <c r="D60">
        <v>603948</v>
      </c>
      <c r="E60">
        <v>998</v>
      </c>
      <c r="F60">
        <v>0</v>
      </c>
      <c r="G60">
        <v>253261440</v>
      </c>
      <c r="H60">
        <v>3532114</v>
      </c>
      <c r="I60">
        <v>47174</v>
      </c>
      <c r="J60">
        <v>4578043</v>
      </c>
      <c r="K60">
        <v>35770</v>
      </c>
      <c r="L60" t="s">
        <v>936</v>
      </c>
      <c r="M60" t="s">
        <v>945</v>
      </c>
    </row>
    <row r="61" spans="1:13" x14ac:dyDescent="0.3">
      <c r="A61" t="s">
        <v>763</v>
      </c>
      <c r="B61">
        <v>28</v>
      </c>
      <c r="C61">
        <v>30337248</v>
      </c>
      <c r="D61">
        <v>603667</v>
      </c>
      <c r="E61">
        <v>538</v>
      </c>
      <c r="F61">
        <v>0</v>
      </c>
      <c r="G61">
        <v>304375071</v>
      </c>
      <c r="H61">
        <v>4378228</v>
      </c>
      <c r="I61">
        <v>43844</v>
      </c>
      <c r="J61">
        <v>2990195</v>
      </c>
      <c r="K61">
        <v>34720</v>
      </c>
      <c r="L61" t="s">
        <v>936</v>
      </c>
      <c r="M61" t="s">
        <v>940</v>
      </c>
    </row>
    <row r="62" spans="1:13" x14ac:dyDescent="0.3">
      <c r="A62" t="s">
        <v>789</v>
      </c>
      <c r="B62">
        <v>56</v>
      </c>
      <c r="C62">
        <v>38404868</v>
      </c>
      <c r="D62">
        <v>602500</v>
      </c>
      <c r="E62">
        <v>3238</v>
      </c>
      <c r="F62">
        <v>0</v>
      </c>
      <c r="G62">
        <v>340509061</v>
      </c>
      <c r="H62">
        <v>4072458</v>
      </c>
      <c r="I62">
        <v>90077</v>
      </c>
      <c r="J62">
        <v>3538091</v>
      </c>
      <c r="K62">
        <v>41290</v>
      </c>
      <c r="L62" t="s">
        <v>936</v>
      </c>
      <c r="M62" t="s">
        <v>945</v>
      </c>
    </row>
    <row r="63" spans="1:13" x14ac:dyDescent="0.3">
      <c r="A63" t="s">
        <v>805</v>
      </c>
      <c r="B63">
        <v>78</v>
      </c>
      <c r="C63">
        <v>48301747</v>
      </c>
      <c r="D63">
        <v>598738</v>
      </c>
      <c r="E63">
        <v>858</v>
      </c>
      <c r="F63">
        <v>0</v>
      </c>
      <c r="G63">
        <v>326925030</v>
      </c>
      <c r="H63">
        <v>3819309</v>
      </c>
      <c r="I63">
        <v>29428</v>
      </c>
      <c r="J63">
        <v>3701831</v>
      </c>
      <c r="K63">
        <v>41450</v>
      </c>
      <c r="L63" t="s">
        <v>936</v>
      </c>
      <c r="M63" t="s">
        <v>940</v>
      </c>
    </row>
    <row r="64" spans="1:13" x14ac:dyDescent="0.3">
      <c r="A64" t="s">
        <v>818</v>
      </c>
      <c r="B64">
        <v>96</v>
      </c>
      <c r="C64">
        <v>26304709</v>
      </c>
      <c r="D64">
        <v>586360</v>
      </c>
      <c r="E64">
        <v>22240</v>
      </c>
      <c r="F64">
        <v>0</v>
      </c>
      <c r="G64">
        <v>274201025</v>
      </c>
      <c r="H64">
        <v>3330175</v>
      </c>
      <c r="I64">
        <v>124677</v>
      </c>
      <c r="J64">
        <v>4891434</v>
      </c>
      <c r="K64">
        <v>40460</v>
      </c>
      <c r="L64" t="s">
        <v>936</v>
      </c>
      <c r="M64" t="s">
        <v>946</v>
      </c>
    </row>
    <row r="65" spans="1:13" x14ac:dyDescent="0.3">
      <c r="A65" t="s">
        <v>801</v>
      </c>
      <c r="B65">
        <v>76</v>
      </c>
      <c r="C65">
        <v>39198551</v>
      </c>
      <c r="D65">
        <v>583479</v>
      </c>
      <c r="E65">
        <v>120</v>
      </c>
      <c r="F65">
        <v>0</v>
      </c>
      <c r="G65">
        <v>314860459</v>
      </c>
      <c r="H65">
        <v>3870028</v>
      </c>
      <c r="I65">
        <v>44558</v>
      </c>
      <c r="J65">
        <v>5367439</v>
      </c>
      <c r="K65">
        <v>42800</v>
      </c>
      <c r="L65" t="s">
        <v>936</v>
      </c>
      <c r="M65" t="s">
        <v>944</v>
      </c>
    </row>
    <row r="66" spans="1:13" x14ac:dyDescent="0.3">
      <c r="A66" t="s">
        <v>777</v>
      </c>
      <c r="B66">
        <v>45</v>
      </c>
      <c r="C66">
        <v>26070580</v>
      </c>
      <c r="D66">
        <v>581260</v>
      </c>
      <c r="E66">
        <v>6650</v>
      </c>
      <c r="F66">
        <v>0</v>
      </c>
      <c r="G66">
        <v>295593491</v>
      </c>
      <c r="H66">
        <v>4020342</v>
      </c>
      <c r="I66">
        <v>88392</v>
      </c>
      <c r="J66">
        <v>5085296</v>
      </c>
      <c r="K66">
        <v>37550</v>
      </c>
      <c r="L66" t="s">
        <v>936</v>
      </c>
      <c r="M66" t="s">
        <v>940</v>
      </c>
    </row>
    <row r="67" spans="1:13" x14ac:dyDescent="0.3">
      <c r="A67" t="s">
        <v>795</v>
      </c>
      <c r="B67">
        <v>64</v>
      </c>
      <c r="C67">
        <v>28012496</v>
      </c>
      <c r="D67">
        <v>575640</v>
      </c>
      <c r="E67">
        <v>936</v>
      </c>
      <c r="F67">
        <v>0</v>
      </c>
      <c r="G67">
        <v>306599473</v>
      </c>
      <c r="H67">
        <v>3840800</v>
      </c>
      <c r="I67">
        <v>41677</v>
      </c>
      <c r="J67">
        <v>3989749</v>
      </c>
      <c r="K67">
        <v>41443</v>
      </c>
      <c r="L67" t="s">
        <v>936</v>
      </c>
      <c r="M67" t="s">
        <v>939</v>
      </c>
    </row>
    <row r="68" spans="1:13" x14ac:dyDescent="0.3">
      <c r="A68" t="s">
        <v>779</v>
      </c>
      <c r="B68">
        <v>51</v>
      </c>
      <c r="C68">
        <v>58337884</v>
      </c>
      <c r="D68">
        <v>570415</v>
      </c>
      <c r="E68">
        <v>400</v>
      </c>
      <c r="F68">
        <v>0</v>
      </c>
      <c r="G68">
        <v>357763831</v>
      </c>
      <c r="H68">
        <v>4091096</v>
      </c>
      <c r="I68">
        <v>35171</v>
      </c>
      <c r="J68">
        <v>3066559</v>
      </c>
      <c r="K68">
        <v>36426</v>
      </c>
      <c r="L68" t="s">
        <v>936</v>
      </c>
      <c r="M68" t="s">
        <v>940</v>
      </c>
    </row>
    <row r="69" spans="1:13" x14ac:dyDescent="0.3">
      <c r="A69" t="s">
        <v>780</v>
      </c>
      <c r="B69">
        <v>48</v>
      </c>
      <c r="C69">
        <v>43031862</v>
      </c>
      <c r="D69">
        <v>561866</v>
      </c>
      <c r="E69">
        <v>0</v>
      </c>
      <c r="F69">
        <v>0</v>
      </c>
      <c r="G69">
        <v>372934595</v>
      </c>
      <c r="H69">
        <v>4165205</v>
      </c>
      <c r="I69">
        <v>50577</v>
      </c>
      <c r="J69">
        <v>3385461</v>
      </c>
      <c r="K69">
        <v>37200</v>
      </c>
      <c r="L69" t="s">
        <v>936</v>
      </c>
      <c r="M69" t="s">
        <v>942</v>
      </c>
    </row>
    <row r="70" spans="1:13" x14ac:dyDescent="0.3">
      <c r="A70" t="s">
        <v>953</v>
      </c>
      <c r="B70">
        <v>88</v>
      </c>
      <c r="C70">
        <v>27212930</v>
      </c>
      <c r="D70">
        <v>561329</v>
      </c>
      <c r="E70">
        <v>50</v>
      </c>
      <c r="F70">
        <v>0</v>
      </c>
      <c r="G70">
        <v>324485171</v>
      </c>
      <c r="H70">
        <v>3584430</v>
      </c>
      <c r="I70">
        <v>32156</v>
      </c>
      <c r="J70">
        <v>3306963</v>
      </c>
      <c r="K70">
        <v>40436</v>
      </c>
      <c r="L70" t="s">
        <v>936</v>
      </c>
      <c r="M70" t="s">
        <v>942</v>
      </c>
    </row>
    <row r="71" spans="1:13" x14ac:dyDescent="0.3">
      <c r="A71" t="s">
        <v>954</v>
      </c>
      <c r="B71">
        <v>102</v>
      </c>
      <c r="C71">
        <v>29967256</v>
      </c>
      <c r="D71">
        <v>555652</v>
      </c>
      <c r="E71">
        <v>360</v>
      </c>
      <c r="F71">
        <v>0</v>
      </c>
      <c r="G71">
        <v>249651210</v>
      </c>
      <c r="H71">
        <v>2983504</v>
      </c>
      <c r="I71">
        <v>42898</v>
      </c>
      <c r="J71">
        <v>6279036</v>
      </c>
      <c r="K71">
        <v>38970</v>
      </c>
      <c r="L71" t="s">
        <v>936</v>
      </c>
      <c r="M71" t="s">
        <v>945</v>
      </c>
    </row>
    <row r="72" spans="1:13" x14ac:dyDescent="0.3">
      <c r="A72" t="s">
        <v>790</v>
      </c>
      <c r="B72">
        <v>58</v>
      </c>
      <c r="C72">
        <v>28810466</v>
      </c>
      <c r="D72">
        <v>555358</v>
      </c>
      <c r="E72">
        <v>754</v>
      </c>
      <c r="F72">
        <v>0</v>
      </c>
      <c r="G72">
        <v>304523561</v>
      </c>
      <c r="H72">
        <v>3777766</v>
      </c>
      <c r="I72">
        <v>45031</v>
      </c>
      <c r="J72">
        <v>2836865</v>
      </c>
      <c r="K72">
        <v>39370</v>
      </c>
      <c r="L72" t="s">
        <v>936</v>
      </c>
      <c r="M72" t="s">
        <v>945</v>
      </c>
    </row>
    <row r="73" spans="1:13" x14ac:dyDescent="0.3">
      <c r="A73" t="s">
        <v>602</v>
      </c>
      <c r="B73">
        <v>104</v>
      </c>
      <c r="C73">
        <v>45649033</v>
      </c>
      <c r="D73">
        <v>554123</v>
      </c>
      <c r="E73">
        <v>50</v>
      </c>
      <c r="F73">
        <v>0</v>
      </c>
      <c r="G73">
        <v>268793662</v>
      </c>
      <c r="H73">
        <v>3042592</v>
      </c>
      <c r="I73">
        <v>62562</v>
      </c>
      <c r="J73">
        <v>6527035</v>
      </c>
      <c r="K73">
        <v>35660</v>
      </c>
      <c r="L73" t="s">
        <v>936</v>
      </c>
      <c r="M73" t="s">
        <v>945</v>
      </c>
    </row>
    <row r="74" spans="1:13" x14ac:dyDescent="0.3">
      <c r="A74" t="s">
        <v>955</v>
      </c>
      <c r="B74">
        <v>46</v>
      </c>
      <c r="C74">
        <v>44704446</v>
      </c>
      <c r="D74">
        <v>550596</v>
      </c>
      <c r="E74">
        <v>0</v>
      </c>
      <c r="F74">
        <v>0</v>
      </c>
      <c r="G74">
        <v>358062835</v>
      </c>
      <c r="H74">
        <v>4210440</v>
      </c>
      <c r="I74">
        <v>57612</v>
      </c>
      <c r="J74">
        <v>2743373</v>
      </c>
      <c r="K74">
        <v>42260</v>
      </c>
      <c r="L74" t="s">
        <v>936</v>
      </c>
      <c r="M74" t="s">
        <v>939</v>
      </c>
    </row>
    <row r="75" spans="1:13" x14ac:dyDescent="0.3">
      <c r="A75" t="s">
        <v>775</v>
      </c>
      <c r="B75">
        <v>44</v>
      </c>
      <c r="C75">
        <v>26335444</v>
      </c>
      <c r="D75">
        <v>549678</v>
      </c>
      <c r="E75">
        <v>0</v>
      </c>
      <c r="F75">
        <v>0</v>
      </c>
      <c r="G75">
        <v>285988090</v>
      </c>
      <c r="H75">
        <v>4084547</v>
      </c>
      <c r="I75">
        <v>49460</v>
      </c>
      <c r="J75">
        <v>3406692</v>
      </c>
      <c r="K75">
        <v>37173</v>
      </c>
      <c r="L75" t="s">
        <v>936</v>
      </c>
      <c r="M75" t="s">
        <v>939</v>
      </c>
    </row>
    <row r="76" spans="1:13" x14ac:dyDescent="0.3">
      <c r="A76" t="s">
        <v>837</v>
      </c>
      <c r="B76">
        <v>126</v>
      </c>
      <c r="C76">
        <v>32909258</v>
      </c>
      <c r="D76">
        <v>545377</v>
      </c>
      <c r="E76">
        <v>350</v>
      </c>
      <c r="F76">
        <v>1818888</v>
      </c>
      <c r="G76">
        <v>248769411</v>
      </c>
      <c r="H76">
        <v>2487532</v>
      </c>
      <c r="I76">
        <v>34497</v>
      </c>
      <c r="J76">
        <v>11047709</v>
      </c>
      <c r="K76">
        <v>33536</v>
      </c>
      <c r="L76" t="s">
        <v>936</v>
      </c>
      <c r="M76" t="s">
        <v>937</v>
      </c>
    </row>
    <row r="77" spans="1:13" x14ac:dyDescent="0.3">
      <c r="A77" t="s">
        <v>816</v>
      </c>
      <c r="B77">
        <v>95</v>
      </c>
      <c r="C77">
        <v>25665622</v>
      </c>
      <c r="D77">
        <v>533809</v>
      </c>
      <c r="E77">
        <v>11051</v>
      </c>
      <c r="F77">
        <v>0</v>
      </c>
      <c r="G77">
        <v>252105735</v>
      </c>
      <c r="H77">
        <v>3281110</v>
      </c>
      <c r="I77">
        <v>105089</v>
      </c>
      <c r="J77">
        <v>2734459</v>
      </c>
      <c r="K77">
        <v>37360</v>
      </c>
      <c r="L77" t="s">
        <v>936</v>
      </c>
      <c r="M77" t="s">
        <v>940</v>
      </c>
    </row>
    <row r="78" spans="1:13" x14ac:dyDescent="0.3">
      <c r="A78" t="s">
        <v>796</v>
      </c>
      <c r="B78">
        <v>67</v>
      </c>
      <c r="C78">
        <v>30444395</v>
      </c>
      <c r="D78">
        <v>525228</v>
      </c>
      <c r="E78">
        <v>477</v>
      </c>
      <c r="F78">
        <v>0</v>
      </c>
      <c r="G78">
        <v>320983007</v>
      </c>
      <c r="H78">
        <v>3633216</v>
      </c>
      <c r="I78">
        <v>82745</v>
      </c>
      <c r="J78">
        <v>3048789</v>
      </c>
      <c r="K78">
        <v>34450</v>
      </c>
      <c r="L78" t="s">
        <v>936</v>
      </c>
      <c r="M78" t="s">
        <v>946</v>
      </c>
    </row>
    <row r="79" spans="1:13" x14ac:dyDescent="0.3">
      <c r="A79" t="s">
        <v>600</v>
      </c>
      <c r="B79">
        <v>81</v>
      </c>
      <c r="C79">
        <v>24787846</v>
      </c>
      <c r="D79">
        <v>523681</v>
      </c>
      <c r="E79">
        <v>998</v>
      </c>
      <c r="F79">
        <v>0</v>
      </c>
      <c r="G79">
        <v>288863973</v>
      </c>
      <c r="H79">
        <v>3626333</v>
      </c>
      <c r="I79">
        <v>28839</v>
      </c>
      <c r="J79">
        <v>4821497</v>
      </c>
      <c r="K79">
        <v>40119</v>
      </c>
      <c r="L79" t="s">
        <v>936</v>
      </c>
      <c r="M79" t="s">
        <v>945</v>
      </c>
    </row>
    <row r="80" spans="1:13" x14ac:dyDescent="0.3">
      <c r="A80" t="s">
        <v>826</v>
      </c>
      <c r="B80">
        <v>109</v>
      </c>
      <c r="C80">
        <v>23443308</v>
      </c>
      <c r="D80">
        <v>518780</v>
      </c>
      <c r="E80">
        <v>338</v>
      </c>
      <c r="F80">
        <v>0</v>
      </c>
      <c r="G80">
        <v>257676174</v>
      </c>
      <c r="H80">
        <v>3192932</v>
      </c>
      <c r="I80">
        <v>25549</v>
      </c>
      <c r="J80">
        <v>2706596</v>
      </c>
      <c r="K80">
        <v>36770</v>
      </c>
      <c r="L80" t="s">
        <v>936</v>
      </c>
      <c r="M80" t="s">
        <v>940</v>
      </c>
    </row>
    <row r="81" spans="1:13" x14ac:dyDescent="0.3">
      <c r="A81" t="s">
        <v>813</v>
      </c>
      <c r="B81">
        <v>91</v>
      </c>
      <c r="C81">
        <v>23074121</v>
      </c>
      <c r="D81">
        <v>514449</v>
      </c>
      <c r="E81">
        <v>202</v>
      </c>
      <c r="F81">
        <v>0</v>
      </c>
      <c r="G81">
        <v>272102427</v>
      </c>
      <c r="H81">
        <v>3538481</v>
      </c>
      <c r="I81">
        <v>34907</v>
      </c>
      <c r="J81">
        <v>3365819</v>
      </c>
      <c r="K81">
        <v>34933</v>
      </c>
      <c r="L81" t="s">
        <v>936</v>
      </c>
      <c r="M81" t="s">
        <v>939</v>
      </c>
    </row>
    <row r="82" spans="1:13" x14ac:dyDescent="0.3">
      <c r="A82" t="s">
        <v>957</v>
      </c>
      <c r="B82">
        <v>49</v>
      </c>
      <c r="C82">
        <v>39653479</v>
      </c>
      <c r="D82">
        <v>511348</v>
      </c>
      <c r="E82">
        <v>778</v>
      </c>
      <c r="F82">
        <v>0</v>
      </c>
      <c r="G82">
        <v>326507774</v>
      </c>
      <c r="H82">
        <v>4032368</v>
      </c>
      <c r="I82">
        <v>40343</v>
      </c>
      <c r="J82">
        <v>2705997</v>
      </c>
      <c r="K82">
        <v>40140</v>
      </c>
      <c r="L82" t="s">
        <v>936</v>
      </c>
      <c r="M82" t="s">
        <v>943</v>
      </c>
    </row>
    <row r="83" spans="1:13" x14ac:dyDescent="0.3">
      <c r="A83" t="s">
        <v>839</v>
      </c>
      <c r="B83">
        <v>129</v>
      </c>
      <c r="C83">
        <v>29546410</v>
      </c>
      <c r="D83">
        <v>509767</v>
      </c>
      <c r="E83">
        <v>654</v>
      </c>
      <c r="F83">
        <v>0</v>
      </c>
      <c r="G83">
        <v>281175277</v>
      </c>
      <c r="H83">
        <v>2640887</v>
      </c>
      <c r="I83">
        <v>41308</v>
      </c>
      <c r="J83">
        <v>2529773</v>
      </c>
      <c r="K83">
        <v>39539</v>
      </c>
      <c r="L83" t="s">
        <v>936</v>
      </c>
      <c r="M83" t="s">
        <v>942</v>
      </c>
    </row>
    <row r="84" spans="1:13" x14ac:dyDescent="0.3">
      <c r="A84" t="s">
        <v>794</v>
      </c>
      <c r="B84">
        <v>68</v>
      </c>
      <c r="C84">
        <v>36750196</v>
      </c>
      <c r="D84">
        <v>499482</v>
      </c>
      <c r="E84">
        <v>96</v>
      </c>
      <c r="F84">
        <v>0</v>
      </c>
      <c r="G84">
        <v>302168053</v>
      </c>
      <c r="H84">
        <v>3482957</v>
      </c>
      <c r="I84">
        <v>29179</v>
      </c>
      <c r="J84">
        <v>6477417</v>
      </c>
      <c r="K84">
        <v>41373</v>
      </c>
      <c r="L84" t="s">
        <v>936</v>
      </c>
      <c r="M84" t="s">
        <v>942</v>
      </c>
    </row>
    <row r="85" spans="1:13" x14ac:dyDescent="0.3">
      <c r="A85" t="s">
        <v>956</v>
      </c>
      <c r="B85">
        <v>114</v>
      </c>
      <c r="C85">
        <v>32026989</v>
      </c>
      <c r="D85">
        <v>497199</v>
      </c>
      <c r="E85">
        <v>18106</v>
      </c>
      <c r="F85">
        <v>0</v>
      </c>
      <c r="G85">
        <v>212798090</v>
      </c>
      <c r="H85">
        <v>2836251</v>
      </c>
      <c r="I85">
        <v>97143</v>
      </c>
      <c r="J85">
        <v>8448987</v>
      </c>
      <c r="K85">
        <v>32486</v>
      </c>
      <c r="L85" t="s">
        <v>936</v>
      </c>
      <c r="M85" t="s">
        <v>942</v>
      </c>
    </row>
    <row r="86" spans="1:13" x14ac:dyDescent="0.3">
      <c r="A86" t="s">
        <v>811</v>
      </c>
      <c r="B86">
        <v>90</v>
      </c>
      <c r="C86">
        <v>23115330</v>
      </c>
      <c r="D86">
        <v>483195</v>
      </c>
      <c r="E86">
        <v>550</v>
      </c>
      <c r="F86">
        <v>995732</v>
      </c>
      <c r="G86">
        <v>257180385</v>
      </c>
      <c r="H86">
        <v>3295120</v>
      </c>
      <c r="I86">
        <v>64786</v>
      </c>
      <c r="J86">
        <v>5828444</v>
      </c>
      <c r="K86">
        <v>38480</v>
      </c>
      <c r="L86" t="s">
        <v>936</v>
      </c>
      <c r="M86" t="s">
        <v>939</v>
      </c>
    </row>
    <row r="87" spans="1:13" x14ac:dyDescent="0.3">
      <c r="A87" t="s">
        <v>810</v>
      </c>
      <c r="B87">
        <v>84</v>
      </c>
      <c r="C87">
        <v>33441913</v>
      </c>
      <c r="D87">
        <v>479367</v>
      </c>
      <c r="E87">
        <v>96</v>
      </c>
      <c r="F87">
        <v>289522</v>
      </c>
      <c r="G87">
        <v>328117289</v>
      </c>
      <c r="H87">
        <v>3351026</v>
      </c>
      <c r="I87">
        <v>21765</v>
      </c>
      <c r="J87">
        <v>6172317</v>
      </c>
      <c r="K87">
        <v>34070</v>
      </c>
      <c r="L87" t="s">
        <v>936</v>
      </c>
      <c r="M87" t="s">
        <v>940</v>
      </c>
    </row>
    <row r="88" spans="1:13" x14ac:dyDescent="0.3">
      <c r="A88" t="s">
        <v>829</v>
      </c>
      <c r="B88">
        <v>117</v>
      </c>
      <c r="C88">
        <v>22527525</v>
      </c>
      <c r="D88">
        <v>476713</v>
      </c>
      <c r="E88">
        <v>151</v>
      </c>
      <c r="F88">
        <v>0</v>
      </c>
      <c r="G88">
        <v>349892310</v>
      </c>
      <c r="H88">
        <v>3021671</v>
      </c>
      <c r="I88">
        <v>37907</v>
      </c>
      <c r="J88">
        <v>2736506</v>
      </c>
      <c r="K88">
        <v>47193</v>
      </c>
      <c r="L88" t="s">
        <v>936</v>
      </c>
      <c r="M88" t="s">
        <v>944</v>
      </c>
    </row>
    <row r="89" spans="1:13" x14ac:dyDescent="0.3">
      <c r="A89" t="s">
        <v>821</v>
      </c>
      <c r="B89">
        <v>100</v>
      </c>
      <c r="C89">
        <v>22033846</v>
      </c>
      <c r="D89">
        <v>476597</v>
      </c>
      <c r="E89">
        <v>7002</v>
      </c>
      <c r="F89">
        <v>0</v>
      </c>
      <c r="G89">
        <v>298114468</v>
      </c>
      <c r="H89">
        <v>3077521</v>
      </c>
      <c r="I89">
        <v>59195</v>
      </c>
      <c r="J89">
        <v>4680527</v>
      </c>
      <c r="K89">
        <v>39083</v>
      </c>
      <c r="L89" t="s">
        <v>936</v>
      </c>
      <c r="M89" t="s">
        <v>946</v>
      </c>
    </row>
    <row r="90" spans="1:13" x14ac:dyDescent="0.3">
      <c r="A90" t="s">
        <v>960</v>
      </c>
      <c r="B90">
        <v>87</v>
      </c>
      <c r="C90">
        <v>37101068</v>
      </c>
      <c r="D90">
        <v>474962</v>
      </c>
      <c r="E90">
        <v>100</v>
      </c>
      <c r="F90">
        <v>0</v>
      </c>
      <c r="G90">
        <v>310003463</v>
      </c>
      <c r="H90">
        <v>3427357</v>
      </c>
      <c r="I90">
        <v>23200</v>
      </c>
      <c r="J90">
        <v>6151726</v>
      </c>
      <c r="K90">
        <v>35660</v>
      </c>
      <c r="L90" t="s">
        <v>936</v>
      </c>
      <c r="M90" t="s">
        <v>945</v>
      </c>
    </row>
    <row r="91" spans="1:13" x14ac:dyDescent="0.3">
      <c r="A91" t="s">
        <v>782</v>
      </c>
      <c r="B91">
        <v>54</v>
      </c>
      <c r="C91">
        <v>25664520</v>
      </c>
      <c r="D91">
        <v>473305</v>
      </c>
      <c r="E91">
        <v>3550</v>
      </c>
      <c r="F91">
        <v>0</v>
      </c>
      <c r="G91">
        <v>365588917</v>
      </c>
      <c r="H91">
        <v>3836950</v>
      </c>
      <c r="I91">
        <v>69248</v>
      </c>
      <c r="J91">
        <v>3629210</v>
      </c>
      <c r="K91">
        <v>41010</v>
      </c>
      <c r="L91" t="s">
        <v>936</v>
      </c>
      <c r="M91" t="s">
        <v>937</v>
      </c>
    </row>
    <row r="92" spans="1:13" x14ac:dyDescent="0.3">
      <c r="A92" t="s">
        <v>768</v>
      </c>
      <c r="B92">
        <v>37</v>
      </c>
      <c r="C92">
        <v>23434414</v>
      </c>
      <c r="D92">
        <v>470152</v>
      </c>
      <c r="E92">
        <v>350</v>
      </c>
      <c r="F92">
        <v>0</v>
      </c>
      <c r="G92">
        <v>319715119</v>
      </c>
      <c r="H92">
        <v>3957916</v>
      </c>
      <c r="I92">
        <v>49944</v>
      </c>
      <c r="J92">
        <v>2817074</v>
      </c>
      <c r="K92">
        <v>41110</v>
      </c>
      <c r="L92" t="s">
        <v>936</v>
      </c>
      <c r="M92" t="s">
        <v>937</v>
      </c>
    </row>
    <row r="93" spans="1:13" x14ac:dyDescent="0.3">
      <c r="A93" t="s">
        <v>820</v>
      </c>
      <c r="B93">
        <v>98</v>
      </c>
      <c r="C93">
        <v>30183426</v>
      </c>
      <c r="D93">
        <v>464993</v>
      </c>
      <c r="E93">
        <v>1928</v>
      </c>
      <c r="F93">
        <v>0</v>
      </c>
      <c r="G93">
        <v>282235049</v>
      </c>
      <c r="H93">
        <v>3079175</v>
      </c>
      <c r="I93">
        <v>43852</v>
      </c>
      <c r="J93">
        <v>4123091</v>
      </c>
      <c r="K93">
        <v>33738</v>
      </c>
      <c r="L93" t="s">
        <v>936</v>
      </c>
      <c r="M93" t="s">
        <v>946</v>
      </c>
    </row>
    <row r="94" spans="1:13" x14ac:dyDescent="0.3">
      <c r="A94" t="s">
        <v>834</v>
      </c>
      <c r="B94">
        <v>121</v>
      </c>
      <c r="C94">
        <v>32836647</v>
      </c>
      <c r="D94">
        <v>462440</v>
      </c>
      <c r="E94">
        <v>602</v>
      </c>
      <c r="F94">
        <v>0</v>
      </c>
      <c r="G94">
        <v>243090062</v>
      </c>
      <c r="H94">
        <v>2706854</v>
      </c>
      <c r="I94">
        <v>5345</v>
      </c>
      <c r="J94">
        <v>8914326</v>
      </c>
      <c r="K94">
        <v>31103</v>
      </c>
      <c r="L94" t="s">
        <v>936</v>
      </c>
      <c r="M94" t="s">
        <v>937</v>
      </c>
    </row>
    <row r="95" spans="1:13" x14ac:dyDescent="0.3">
      <c r="A95" t="s">
        <v>827</v>
      </c>
      <c r="B95">
        <v>112</v>
      </c>
      <c r="C95">
        <v>20553856</v>
      </c>
      <c r="D95">
        <v>462269</v>
      </c>
      <c r="E95">
        <v>87</v>
      </c>
      <c r="F95">
        <v>0</v>
      </c>
      <c r="G95">
        <v>229942621</v>
      </c>
      <c r="H95">
        <v>2706967</v>
      </c>
      <c r="I95">
        <v>36746</v>
      </c>
      <c r="J95">
        <v>3415801</v>
      </c>
      <c r="K95">
        <v>35800</v>
      </c>
      <c r="L95" t="s">
        <v>936</v>
      </c>
      <c r="M95" t="s">
        <v>946</v>
      </c>
    </row>
    <row r="96" spans="1:13" x14ac:dyDescent="0.3">
      <c r="A96" t="s">
        <v>958</v>
      </c>
      <c r="B96">
        <v>116</v>
      </c>
      <c r="C96">
        <v>28991155</v>
      </c>
      <c r="D96">
        <v>455526</v>
      </c>
      <c r="E96">
        <v>350</v>
      </c>
      <c r="F96">
        <v>0</v>
      </c>
      <c r="G96">
        <v>219196557</v>
      </c>
      <c r="H96">
        <v>2712505</v>
      </c>
      <c r="I96">
        <v>15948</v>
      </c>
      <c r="J96">
        <v>4317550</v>
      </c>
      <c r="K96">
        <v>41600</v>
      </c>
      <c r="L96" t="s">
        <v>936</v>
      </c>
      <c r="M96" t="s">
        <v>945</v>
      </c>
    </row>
    <row r="97" spans="1:13" x14ac:dyDescent="0.3">
      <c r="A97" t="s">
        <v>823</v>
      </c>
      <c r="B97">
        <v>103</v>
      </c>
      <c r="C97">
        <v>32763576</v>
      </c>
      <c r="D97">
        <v>453088</v>
      </c>
      <c r="E97">
        <v>552</v>
      </c>
      <c r="F97">
        <v>715058</v>
      </c>
      <c r="G97">
        <v>276922629</v>
      </c>
      <c r="H97">
        <v>3104034</v>
      </c>
      <c r="I97">
        <v>50451</v>
      </c>
      <c r="J97">
        <v>8073140</v>
      </c>
      <c r="K97">
        <v>37033</v>
      </c>
      <c r="L97" t="s">
        <v>936</v>
      </c>
      <c r="M97" t="s">
        <v>937</v>
      </c>
    </row>
    <row r="98" spans="1:13" x14ac:dyDescent="0.3">
      <c r="A98" t="s">
        <v>766</v>
      </c>
      <c r="B98">
        <v>32</v>
      </c>
      <c r="C98">
        <v>22533340</v>
      </c>
      <c r="D98">
        <v>451806</v>
      </c>
      <c r="E98">
        <v>404</v>
      </c>
      <c r="F98">
        <v>0</v>
      </c>
      <c r="G98">
        <v>340637771</v>
      </c>
      <c r="H98">
        <v>4266572</v>
      </c>
      <c r="I98">
        <v>58652</v>
      </c>
      <c r="J98">
        <v>2762450</v>
      </c>
      <c r="K98">
        <v>37630</v>
      </c>
      <c r="L98" t="s">
        <v>936</v>
      </c>
      <c r="M98" t="s">
        <v>937</v>
      </c>
    </row>
    <row r="99" spans="1:13" x14ac:dyDescent="0.3">
      <c r="A99" t="s">
        <v>961</v>
      </c>
      <c r="B99">
        <v>55</v>
      </c>
      <c r="C99">
        <v>21410820</v>
      </c>
      <c r="D99">
        <v>451368</v>
      </c>
      <c r="E99">
        <v>0</v>
      </c>
      <c r="F99">
        <v>0</v>
      </c>
      <c r="G99">
        <v>312215064</v>
      </c>
      <c r="H99">
        <v>3934588</v>
      </c>
      <c r="I99">
        <v>44537</v>
      </c>
      <c r="J99">
        <v>3480620</v>
      </c>
      <c r="K99">
        <v>41980</v>
      </c>
      <c r="L99" t="s">
        <v>936</v>
      </c>
      <c r="M99" t="s">
        <v>946</v>
      </c>
    </row>
    <row r="100" spans="1:13" x14ac:dyDescent="0.3">
      <c r="A100" t="s">
        <v>778</v>
      </c>
      <c r="B100">
        <v>52</v>
      </c>
      <c r="C100">
        <v>51345820</v>
      </c>
      <c r="D100">
        <v>451233</v>
      </c>
      <c r="E100">
        <v>224</v>
      </c>
      <c r="F100">
        <v>0</v>
      </c>
      <c r="G100">
        <v>388039663</v>
      </c>
      <c r="H100">
        <v>3881030</v>
      </c>
      <c r="I100">
        <v>46958</v>
      </c>
      <c r="J100">
        <v>2712776</v>
      </c>
      <c r="K100">
        <v>36700</v>
      </c>
      <c r="L100" t="s">
        <v>936</v>
      </c>
      <c r="M100" t="s">
        <v>937</v>
      </c>
    </row>
    <row r="101" spans="1:13" x14ac:dyDescent="0.3">
      <c r="A101" t="s">
        <v>863</v>
      </c>
      <c r="B101">
        <v>156</v>
      </c>
      <c r="C101">
        <v>32150690</v>
      </c>
      <c r="D101">
        <v>449532</v>
      </c>
      <c r="E101">
        <v>700</v>
      </c>
      <c r="F101">
        <v>0</v>
      </c>
      <c r="G101">
        <v>189677153</v>
      </c>
      <c r="H101">
        <v>1725406</v>
      </c>
      <c r="I101">
        <v>16930</v>
      </c>
      <c r="J101">
        <v>32311958</v>
      </c>
      <c r="K101">
        <v>43360</v>
      </c>
      <c r="L101" t="s">
        <v>936</v>
      </c>
      <c r="M101" t="s">
        <v>959</v>
      </c>
    </row>
    <row r="102" spans="1:13" x14ac:dyDescent="0.3">
      <c r="A102" t="s">
        <v>802</v>
      </c>
      <c r="B102">
        <v>77</v>
      </c>
      <c r="C102">
        <v>48298766</v>
      </c>
      <c r="D102">
        <v>448276</v>
      </c>
      <c r="E102">
        <v>446</v>
      </c>
      <c r="F102">
        <v>0</v>
      </c>
      <c r="G102">
        <v>337241661</v>
      </c>
      <c r="H102">
        <v>3749923</v>
      </c>
      <c r="I102">
        <v>44468</v>
      </c>
      <c r="J102">
        <v>2912558</v>
      </c>
      <c r="K102">
        <v>39840</v>
      </c>
      <c r="L102" t="s">
        <v>936</v>
      </c>
      <c r="M102" t="s">
        <v>937</v>
      </c>
    </row>
    <row r="103" spans="1:13" x14ac:dyDescent="0.3">
      <c r="A103" t="s">
        <v>825</v>
      </c>
      <c r="B103">
        <v>106</v>
      </c>
      <c r="C103">
        <v>33604914</v>
      </c>
      <c r="D103">
        <v>443635</v>
      </c>
      <c r="E103">
        <v>404</v>
      </c>
      <c r="F103">
        <v>0</v>
      </c>
      <c r="G103">
        <v>246895956</v>
      </c>
      <c r="H103">
        <v>2783079</v>
      </c>
      <c r="I103">
        <v>54588</v>
      </c>
      <c r="J103">
        <v>3499294</v>
      </c>
      <c r="K103">
        <v>39122</v>
      </c>
      <c r="L103" t="s">
        <v>936</v>
      </c>
      <c r="M103" t="s">
        <v>937</v>
      </c>
    </row>
    <row r="104" spans="1:13" x14ac:dyDescent="0.3">
      <c r="A104" t="s">
        <v>865</v>
      </c>
      <c r="B104">
        <v>160</v>
      </c>
      <c r="C104">
        <v>66733960</v>
      </c>
      <c r="D104">
        <v>443334</v>
      </c>
      <c r="E104">
        <v>350</v>
      </c>
      <c r="F104">
        <v>0</v>
      </c>
      <c r="G104">
        <v>194345466</v>
      </c>
      <c r="H104">
        <v>1713282</v>
      </c>
      <c r="I104">
        <v>3525</v>
      </c>
      <c r="J104">
        <v>35083546</v>
      </c>
      <c r="K104">
        <v>38520</v>
      </c>
      <c r="L104" t="s">
        <v>936</v>
      </c>
      <c r="M104" t="s">
        <v>937</v>
      </c>
    </row>
    <row r="105" spans="1:13" x14ac:dyDescent="0.3">
      <c r="A105" t="s">
        <v>815</v>
      </c>
      <c r="B105">
        <v>94</v>
      </c>
      <c r="C105">
        <v>32629239</v>
      </c>
      <c r="D105">
        <v>440743</v>
      </c>
      <c r="E105">
        <v>250</v>
      </c>
      <c r="F105">
        <v>0</v>
      </c>
      <c r="G105">
        <v>231670398</v>
      </c>
      <c r="H105">
        <v>3398432</v>
      </c>
      <c r="I105">
        <v>56036</v>
      </c>
      <c r="J105">
        <v>37906240</v>
      </c>
      <c r="K105">
        <v>30620</v>
      </c>
      <c r="L105" t="s">
        <v>936</v>
      </c>
      <c r="M105" t="s">
        <v>939</v>
      </c>
    </row>
    <row r="106" spans="1:13" x14ac:dyDescent="0.3">
      <c r="A106" t="s">
        <v>807</v>
      </c>
      <c r="B106">
        <v>80</v>
      </c>
      <c r="C106">
        <v>20477385</v>
      </c>
      <c r="D106">
        <v>436988</v>
      </c>
      <c r="E106">
        <v>1570</v>
      </c>
      <c r="F106">
        <v>0</v>
      </c>
      <c r="G106">
        <v>289159306</v>
      </c>
      <c r="H106">
        <v>3643713</v>
      </c>
      <c r="I106">
        <v>34705</v>
      </c>
      <c r="J106">
        <v>3953012</v>
      </c>
      <c r="K106">
        <v>41940</v>
      </c>
      <c r="L106" t="s">
        <v>936</v>
      </c>
      <c r="M106" t="s">
        <v>939</v>
      </c>
    </row>
    <row r="107" spans="1:13" x14ac:dyDescent="0.3">
      <c r="A107" t="s">
        <v>972</v>
      </c>
      <c r="B107">
        <v>83</v>
      </c>
      <c r="C107">
        <v>30925268</v>
      </c>
      <c r="D107">
        <v>434363</v>
      </c>
      <c r="E107">
        <v>717</v>
      </c>
      <c r="F107">
        <v>0</v>
      </c>
      <c r="G107">
        <v>329105690</v>
      </c>
      <c r="H107">
        <v>3377625</v>
      </c>
      <c r="I107">
        <v>40599</v>
      </c>
      <c r="J107">
        <v>2716994</v>
      </c>
      <c r="K107">
        <v>40263</v>
      </c>
      <c r="L107" t="s">
        <v>936</v>
      </c>
      <c r="M107" t="s">
        <v>942</v>
      </c>
    </row>
    <row r="108" spans="1:13" x14ac:dyDescent="0.3">
      <c r="A108" t="s">
        <v>836</v>
      </c>
      <c r="B108">
        <v>127</v>
      </c>
      <c r="C108">
        <v>21152816</v>
      </c>
      <c r="D108">
        <v>428766</v>
      </c>
      <c r="E108">
        <v>0</v>
      </c>
      <c r="F108">
        <v>0</v>
      </c>
      <c r="G108">
        <v>281442095</v>
      </c>
      <c r="H108">
        <v>2465580</v>
      </c>
      <c r="I108">
        <v>22159</v>
      </c>
      <c r="J108">
        <v>3937082</v>
      </c>
      <c r="K108">
        <v>39120</v>
      </c>
      <c r="L108" t="s">
        <v>936</v>
      </c>
      <c r="M108" t="s">
        <v>940</v>
      </c>
    </row>
    <row r="109" spans="1:13" x14ac:dyDescent="0.3">
      <c r="A109" t="s">
        <v>806</v>
      </c>
      <c r="B109">
        <v>82</v>
      </c>
      <c r="C109">
        <v>42374786</v>
      </c>
      <c r="D109">
        <v>422755</v>
      </c>
      <c r="E109">
        <v>444</v>
      </c>
      <c r="F109">
        <v>0</v>
      </c>
      <c r="G109">
        <v>376687255</v>
      </c>
      <c r="H109">
        <v>3321394</v>
      </c>
      <c r="I109">
        <v>34958</v>
      </c>
      <c r="J109">
        <v>4581119</v>
      </c>
      <c r="K109">
        <v>45740</v>
      </c>
      <c r="L109" t="s">
        <v>936</v>
      </c>
      <c r="M109" t="s">
        <v>939</v>
      </c>
    </row>
    <row r="110" spans="1:13" x14ac:dyDescent="0.3">
      <c r="A110" t="s">
        <v>822</v>
      </c>
      <c r="B110">
        <v>101</v>
      </c>
      <c r="C110">
        <v>33864516</v>
      </c>
      <c r="D110">
        <v>421804</v>
      </c>
      <c r="E110">
        <v>700</v>
      </c>
      <c r="F110">
        <v>0</v>
      </c>
      <c r="G110">
        <v>292471577</v>
      </c>
      <c r="H110">
        <v>2979398</v>
      </c>
      <c r="I110">
        <v>83282</v>
      </c>
      <c r="J110">
        <v>2963087</v>
      </c>
      <c r="K110">
        <v>39680</v>
      </c>
      <c r="L110" t="s">
        <v>936</v>
      </c>
      <c r="M110" t="s">
        <v>944</v>
      </c>
    </row>
    <row r="111" spans="1:13" x14ac:dyDescent="0.3">
      <c r="A111" t="s">
        <v>603</v>
      </c>
      <c r="B111">
        <v>115</v>
      </c>
      <c r="C111">
        <v>20574003</v>
      </c>
      <c r="D111">
        <v>416579</v>
      </c>
      <c r="E111">
        <v>902</v>
      </c>
      <c r="F111">
        <v>0</v>
      </c>
      <c r="G111">
        <v>221765840</v>
      </c>
      <c r="H111">
        <v>2828448</v>
      </c>
      <c r="I111">
        <v>40713</v>
      </c>
      <c r="J111">
        <v>5309261</v>
      </c>
      <c r="K111">
        <v>32700</v>
      </c>
      <c r="L111" t="s">
        <v>936</v>
      </c>
      <c r="M111" t="s">
        <v>945</v>
      </c>
    </row>
    <row r="112" spans="1:13" x14ac:dyDescent="0.3">
      <c r="A112" t="s">
        <v>967</v>
      </c>
      <c r="B112">
        <v>113</v>
      </c>
      <c r="C112">
        <v>32303806</v>
      </c>
      <c r="D112">
        <v>415194</v>
      </c>
      <c r="E112">
        <v>0</v>
      </c>
      <c r="F112">
        <v>0</v>
      </c>
      <c r="G112">
        <v>314697797</v>
      </c>
      <c r="H112">
        <v>3008680</v>
      </c>
      <c r="I112">
        <v>31795</v>
      </c>
      <c r="J112">
        <v>3722185</v>
      </c>
      <c r="K112">
        <v>44826</v>
      </c>
      <c r="L112" t="s">
        <v>936</v>
      </c>
      <c r="M112" t="s">
        <v>942</v>
      </c>
    </row>
    <row r="113" spans="1:13" x14ac:dyDescent="0.3">
      <c r="A113" t="s">
        <v>864</v>
      </c>
      <c r="B113">
        <v>158</v>
      </c>
      <c r="C113">
        <v>33189103</v>
      </c>
      <c r="D113">
        <v>410706</v>
      </c>
      <c r="E113">
        <v>350</v>
      </c>
      <c r="F113">
        <v>0</v>
      </c>
      <c r="G113">
        <v>222040520</v>
      </c>
      <c r="H113">
        <v>1927367</v>
      </c>
      <c r="I113">
        <v>14615</v>
      </c>
      <c r="J113">
        <v>3144058</v>
      </c>
      <c r="K113">
        <v>42693</v>
      </c>
      <c r="L113" t="s">
        <v>936</v>
      </c>
      <c r="M113" t="s">
        <v>937</v>
      </c>
    </row>
    <row r="114" spans="1:13" x14ac:dyDescent="0.3">
      <c r="A114" t="s">
        <v>966</v>
      </c>
      <c r="B114">
        <v>150</v>
      </c>
      <c r="C114">
        <v>19625696</v>
      </c>
      <c r="D114">
        <v>410540</v>
      </c>
      <c r="E114">
        <v>408</v>
      </c>
      <c r="F114">
        <v>2030326</v>
      </c>
      <c r="G114">
        <v>221206414</v>
      </c>
      <c r="H114">
        <v>2093185</v>
      </c>
      <c r="I114">
        <v>6084</v>
      </c>
      <c r="J114">
        <v>8821778</v>
      </c>
      <c r="K114">
        <v>40810</v>
      </c>
      <c r="L114" t="s">
        <v>936</v>
      </c>
      <c r="M114" t="s">
        <v>940</v>
      </c>
    </row>
    <row r="115" spans="1:13" x14ac:dyDescent="0.3">
      <c r="A115" t="s">
        <v>833</v>
      </c>
      <c r="B115">
        <v>120</v>
      </c>
      <c r="C115">
        <v>40360445</v>
      </c>
      <c r="D115">
        <v>407909</v>
      </c>
      <c r="E115">
        <v>0</v>
      </c>
      <c r="F115">
        <v>0</v>
      </c>
      <c r="G115">
        <v>290399321</v>
      </c>
      <c r="H115">
        <v>2620759</v>
      </c>
      <c r="I115">
        <v>41424</v>
      </c>
      <c r="J115">
        <v>2144170</v>
      </c>
      <c r="K115">
        <v>43650</v>
      </c>
      <c r="L115" t="s">
        <v>936</v>
      </c>
      <c r="M115" t="s">
        <v>944</v>
      </c>
    </row>
    <row r="116" spans="1:13" x14ac:dyDescent="0.3">
      <c r="A116" t="s">
        <v>964</v>
      </c>
      <c r="B116">
        <v>108</v>
      </c>
      <c r="C116">
        <v>20308764</v>
      </c>
      <c r="D116">
        <v>400460</v>
      </c>
      <c r="E116">
        <v>2154</v>
      </c>
      <c r="F116">
        <v>0</v>
      </c>
      <c r="G116">
        <v>227686879</v>
      </c>
      <c r="H116">
        <v>2887925</v>
      </c>
      <c r="I116">
        <v>55783</v>
      </c>
      <c r="J116">
        <v>3037846</v>
      </c>
      <c r="K116">
        <v>33000</v>
      </c>
      <c r="L116" t="s">
        <v>936</v>
      </c>
      <c r="M116" t="s">
        <v>939</v>
      </c>
    </row>
    <row r="117" spans="1:13" x14ac:dyDescent="0.3">
      <c r="A117" t="s">
        <v>857</v>
      </c>
      <c r="B117">
        <v>145</v>
      </c>
      <c r="C117">
        <v>25016441</v>
      </c>
      <c r="D117">
        <v>400191</v>
      </c>
      <c r="E117">
        <v>293</v>
      </c>
      <c r="F117">
        <v>0</v>
      </c>
      <c r="G117">
        <v>223392516</v>
      </c>
      <c r="H117">
        <v>2030155</v>
      </c>
      <c r="I117">
        <v>17864</v>
      </c>
      <c r="J117">
        <v>3835056</v>
      </c>
      <c r="K117">
        <v>40376</v>
      </c>
      <c r="L117" t="s">
        <v>936</v>
      </c>
      <c r="M117" t="s">
        <v>962</v>
      </c>
    </row>
    <row r="118" spans="1:13" x14ac:dyDescent="0.3">
      <c r="A118" t="s">
        <v>845</v>
      </c>
      <c r="B118">
        <v>134</v>
      </c>
      <c r="C118">
        <v>33906333</v>
      </c>
      <c r="D118">
        <v>397525</v>
      </c>
      <c r="E118">
        <v>0</v>
      </c>
      <c r="F118">
        <v>0</v>
      </c>
      <c r="G118">
        <v>260040744</v>
      </c>
      <c r="H118">
        <v>2184459</v>
      </c>
      <c r="I118">
        <v>35605</v>
      </c>
      <c r="J118">
        <v>20487871</v>
      </c>
      <c r="K118">
        <v>38350</v>
      </c>
      <c r="L118" t="s">
        <v>936</v>
      </c>
      <c r="M118" t="s">
        <v>944</v>
      </c>
    </row>
    <row r="119" spans="1:13" x14ac:dyDescent="0.3">
      <c r="A119" t="s">
        <v>963</v>
      </c>
      <c r="B119">
        <v>118</v>
      </c>
      <c r="C119">
        <v>18951419</v>
      </c>
      <c r="D119">
        <v>396110</v>
      </c>
      <c r="E119">
        <v>901</v>
      </c>
      <c r="F119">
        <v>0</v>
      </c>
      <c r="G119">
        <v>277475764</v>
      </c>
      <c r="H119">
        <v>2594528</v>
      </c>
      <c r="I119">
        <v>50070</v>
      </c>
      <c r="J119">
        <v>3449800</v>
      </c>
      <c r="K119">
        <v>30860</v>
      </c>
      <c r="L119" t="s">
        <v>936</v>
      </c>
      <c r="M119" t="s">
        <v>946</v>
      </c>
    </row>
    <row r="120" spans="1:13" x14ac:dyDescent="0.3">
      <c r="A120" t="s">
        <v>838</v>
      </c>
      <c r="B120">
        <v>128</v>
      </c>
      <c r="C120">
        <v>24180546</v>
      </c>
      <c r="D120">
        <v>392768</v>
      </c>
      <c r="E120">
        <v>740</v>
      </c>
      <c r="F120">
        <v>935880</v>
      </c>
      <c r="G120">
        <v>213600353</v>
      </c>
      <c r="H120">
        <v>2432142</v>
      </c>
      <c r="I120">
        <v>45920</v>
      </c>
      <c r="J120">
        <v>5152246</v>
      </c>
      <c r="K120">
        <v>34733</v>
      </c>
      <c r="L120" t="s">
        <v>936</v>
      </c>
      <c r="M120" t="s">
        <v>942</v>
      </c>
    </row>
    <row r="121" spans="1:13" x14ac:dyDescent="0.3">
      <c r="A121" t="s">
        <v>855</v>
      </c>
      <c r="B121">
        <v>144</v>
      </c>
      <c r="C121">
        <v>31793208</v>
      </c>
      <c r="D121">
        <v>388673</v>
      </c>
      <c r="E121">
        <v>754</v>
      </c>
      <c r="F121">
        <v>0</v>
      </c>
      <c r="G121">
        <v>216780974</v>
      </c>
      <c r="H121">
        <v>1926254</v>
      </c>
      <c r="I121">
        <v>37586</v>
      </c>
      <c r="J121">
        <v>3571075</v>
      </c>
      <c r="K121">
        <v>35590</v>
      </c>
      <c r="L121" t="s">
        <v>936</v>
      </c>
      <c r="M121" t="s">
        <v>940</v>
      </c>
    </row>
    <row r="122" spans="1:13" x14ac:dyDescent="0.3">
      <c r="A122" t="s">
        <v>969</v>
      </c>
      <c r="B122">
        <v>107</v>
      </c>
      <c r="C122">
        <v>34379865</v>
      </c>
      <c r="D122">
        <v>386760</v>
      </c>
      <c r="E122">
        <v>0</v>
      </c>
      <c r="F122">
        <v>0</v>
      </c>
      <c r="G122">
        <v>296632069</v>
      </c>
      <c r="H122">
        <v>2731501</v>
      </c>
      <c r="I122">
        <v>28126</v>
      </c>
      <c r="J122">
        <v>17338769</v>
      </c>
      <c r="K122">
        <v>34120</v>
      </c>
      <c r="L122" t="s">
        <v>936</v>
      </c>
      <c r="M122" t="s">
        <v>946</v>
      </c>
    </row>
    <row r="123" spans="1:13" x14ac:dyDescent="0.3">
      <c r="A123" t="s">
        <v>791</v>
      </c>
      <c r="B123">
        <v>62</v>
      </c>
      <c r="C123">
        <v>20837754</v>
      </c>
      <c r="D123">
        <v>385135</v>
      </c>
      <c r="E123">
        <v>202</v>
      </c>
      <c r="F123">
        <v>0</v>
      </c>
      <c r="G123">
        <v>305040016</v>
      </c>
      <c r="H123">
        <v>3551666</v>
      </c>
      <c r="I123">
        <v>59670</v>
      </c>
      <c r="J123">
        <v>3355651</v>
      </c>
      <c r="K123">
        <v>36470</v>
      </c>
      <c r="L123" t="s">
        <v>936</v>
      </c>
      <c r="M123" t="s">
        <v>939</v>
      </c>
    </row>
    <row r="124" spans="1:13" x14ac:dyDescent="0.3">
      <c r="A124" t="s">
        <v>884</v>
      </c>
      <c r="B124">
        <v>180</v>
      </c>
      <c r="C124">
        <v>20455784</v>
      </c>
      <c r="D124">
        <v>378069</v>
      </c>
      <c r="E124">
        <v>23102</v>
      </c>
      <c r="F124">
        <v>0</v>
      </c>
      <c r="G124">
        <v>116960976</v>
      </c>
      <c r="H124">
        <v>1752948</v>
      </c>
      <c r="I124">
        <v>109234</v>
      </c>
      <c r="J124">
        <v>33252253</v>
      </c>
      <c r="K124">
        <v>26966</v>
      </c>
      <c r="L124" t="s">
        <v>936</v>
      </c>
      <c r="M124" t="s">
        <v>959</v>
      </c>
    </row>
    <row r="125" spans="1:13" x14ac:dyDescent="0.3">
      <c r="A125" t="s">
        <v>787</v>
      </c>
      <c r="B125">
        <v>60</v>
      </c>
      <c r="C125">
        <v>18671774</v>
      </c>
      <c r="D125">
        <v>374143</v>
      </c>
      <c r="E125">
        <v>0</v>
      </c>
      <c r="F125">
        <v>0</v>
      </c>
      <c r="G125">
        <v>291166012</v>
      </c>
      <c r="H125">
        <v>3680365</v>
      </c>
      <c r="I125">
        <v>42937</v>
      </c>
      <c r="J125">
        <v>3787035</v>
      </c>
      <c r="K125">
        <v>33190</v>
      </c>
      <c r="L125" t="s">
        <v>936</v>
      </c>
      <c r="M125" t="s">
        <v>939</v>
      </c>
    </row>
    <row r="126" spans="1:13" x14ac:dyDescent="0.3">
      <c r="A126" t="s">
        <v>846</v>
      </c>
      <c r="B126">
        <v>137</v>
      </c>
      <c r="C126">
        <v>27583305</v>
      </c>
      <c r="D126">
        <v>372905</v>
      </c>
      <c r="E126">
        <v>14605</v>
      </c>
      <c r="F126">
        <v>0</v>
      </c>
      <c r="G126">
        <v>214937872</v>
      </c>
      <c r="H126">
        <v>2186747</v>
      </c>
      <c r="I126">
        <v>122318</v>
      </c>
      <c r="J126">
        <v>3654670</v>
      </c>
      <c r="K126">
        <v>33940</v>
      </c>
      <c r="L126" t="s">
        <v>936</v>
      </c>
      <c r="M126" t="s">
        <v>942</v>
      </c>
    </row>
    <row r="127" spans="1:13" x14ac:dyDescent="0.3">
      <c r="A127" t="s">
        <v>840</v>
      </c>
      <c r="B127">
        <v>131</v>
      </c>
      <c r="C127">
        <v>22466635</v>
      </c>
      <c r="D127">
        <v>372714</v>
      </c>
      <c r="E127">
        <v>404</v>
      </c>
      <c r="F127">
        <v>0</v>
      </c>
      <c r="G127">
        <v>206164640</v>
      </c>
      <c r="H127">
        <v>2364509</v>
      </c>
      <c r="I127">
        <v>24709</v>
      </c>
      <c r="J127">
        <v>7092507</v>
      </c>
      <c r="K127">
        <v>35350</v>
      </c>
      <c r="L127" t="s">
        <v>936</v>
      </c>
      <c r="M127" t="s">
        <v>937</v>
      </c>
    </row>
    <row r="128" spans="1:13" x14ac:dyDescent="0.3">
      <c r="A128" t="s">
        <v>965</v>
      </c>
      <c r="B128">
        <v>135</v>
      </c>
      <c r="C128">
        <v>16496556</v>
      </c>
      <c r="D128">
        <v>371566</v>
      </c>
      <c r="E128">
        <v>394</v>
      </c>
      <c r="F128">
        <v>0</v>
      </c>
      <c r="G128">
        <v>205050505</v>
      </c>
      <c r="H128">
        <v>2164343</v>
      </c>
      <c r="I128">
        <v>49210</v>
      </c>
      <c r="J128">
        <v>2946859</v>
      </c>
      <c r="K128">
        <v>36013</v>
      </c>
      <c r="L128" t="s">
        <v>936</v>
      </c>
      <c r="M128" t="s">
        <v>942</v>
      </c>
    </row>
    <row r="129" spans="1:13" x14ac:dyDescent="0.3">
      <c r="A129" t="s">
        <v>869</v>
      </c>
      <c r="B129">
        <v>165</v>
      </c>
      <c r="C129">
        <v>21970663</v>
      </c>
      <c r="D129">
        <v>369440</v>
      </c>
      <c r="E129">
        <v>8100</v>
      </c>
      <c r="F129">
        <v>0</v>
      </c>
      <c r="G129">
        <v>167501645</v>
      </c>
      <c r="H129">
        <v>1844624</v>
      </c>
      <c r="I129">
        <v>88777</v>
      </c>
      <c r="J129">
        <v>2945065</v>
      </c>
      <c r="K129">
        <v>27240</v>
      </c>
      <c r="L129" t="s">
        <v>936</v>
      </c>
      <c r="M129" t="s">
        <v>940</v>
      </c>
    </row>
    <row r="130" spans="1:13" x14ac:dyDescent="0.3">
      <c r="A130" t="s">
        <v>819</v>
      </c>
      <c r="B130">
        <v>99</v>
      </c>
      <c r="C130">
        <v>18179096</v>
      </c>
      <c r="D130">
        <v>365160</v>
      </c>
      <c r="E130">
        <v>0</v>
      </c>
      <c r="F130">
        <v>0</v>
      </c>
      <c r="G130">
        <v>218345863</v>
      </c>
      <c r="H130">
        <v>2817174</v>
      </c>
      <c r="I130">
        <v>61107</v>
      </c>
      <c r="J130">
        <v>8640603</v>
      </c>
      <c r="K130">
        <v>28983</v>
      </c>
      <c r="L130" t="s">
        <v>936</v>
      </c>
      <c r="M130" t="s">
        <v>946</v>
      </c>
    </row>
    <row r="131" spans="1:13" x14ac:dyDescent="0.3">
      <c r="A131" t="s">
        <v>848</v>
      </c>
      <c r="B131">
        <v>139</v>
      </c>
      <c r="C131">
        <v>15095065</v>
      </c>
      <c r="D131">
        <v>352701</v>
      </c>
      <c r="E131">
        <v>3250</v>
      </c>
      <c r="F131">
        <v>0</v>
      </c>
      <c r="G131">
        <v>208154393</v>
      </c>
      <c r="H131">
        <v>2169565</v>
      </c>
      <c r="I131">
        <v>44287</v>
      </c>
      <c r="J131">
        <v>6223868</v>
      </c>
      <c r="K131">
        <v>36879</v>
      </c>
      <c r="L131" t="s">
        <v>936</v>
      </c>
      <c r="M131" t="s">
        <v>945</v>
      </c>
    </row>
    <row r="132" spans="1:13" x14ac:dyDescent="0.3">
      <c r="A132" t="s">
        <v>843</v>
      </c>
      <c r="B132">
        <v>136</v>
      </c>
      <c r="C132">
        <v>17398165</v>
      </c>
      <c r="D132">
        <v>343356</v>
      </c>
      <c r="E132">
        <v>2744</v>
      </c>
      <c r="F132">
        <v>0</v>
      </c>
      <c r="G132">
        <v>193729043</v>
      </c>
      <c r="H132">
        <v>2283440</v>
      </c>
      <c r="I132">
        <v>54005</v>
      </c>
      <c r="J132">
        <v>3519551</v>
      </c>
      <c r="K132">
        <v>34730</v>
      </c>
      <c r="L132" t="s">
        <v>936</v>
      </c>
      <c r="M132" t="s">
        <v>962</v>
      </c>
    </row>
    <row r="133" spans="1:13" x14ac:dyDescent="0.3">
      <c r="A133" t="s">
        <v>849</v>
      </c>
      <c r="B133">
        <v>140</v>
      </c>
      <c r="C133">
        <v>34178419</v>
      </c>
      <c r="D133">
        <v>339131</v>
      </c>
      <c r="E133">
        <v>760</v>
      </c>
      <c r="F133">
        <v>0</v>
      </c>
      <c r="G133">
        <v>337062860</v>
      </c>
      <c r="H133">
        <v>1993698</v>
      </c>
      <c r="I133">
        <v>19742</v>
      </c>
      <c r="J133">
        <v>4192603</v>
      </c>
      <c r="K133">
        <v>38990</v>
      </c>
      <c r="L133" t="s">
        <v>936</v>
      </c>
      <c r="M133" t="s">
        <v>937</v>
      </c>
    </row>
    <row r="134" spans="1:13" x14ac:dyDescent="0.3">
      <c r="A134" t="s">
        <v>859</v>
      </c>
      <c r="B134">
        <v>151</v>
      </c>
      <c r="C134">
        <v>35326035</v>
      </c>
      <c r="D134">
        <v>335768</v>
      </c>
      <c r="E134">
        <v>771</v>
      </c>
      <c r="F134">
        <v>0</v>
      </c>
      <c r="G134">
        <v>257007895</v>
      </c>
      <c r="H134">
        <v>2023199</v>
      </c>
      <c r="I134">
        <v>19746</v>
      </c>
      <c r="J134">
        <v>5374699</v>
      </c>
      <c r="K134">
        <v>40730</v>
      </c>
      <c r="L134" t="s">
        <v>936</v>
      </c>
      <c r="M134" t="s">
        <v>962</v>
      </c>
    </row>
    <row r="135" spans="1:13" x14ac:dyDescent="0.3">
      <c r="A135" t="s">
        <v>832</v>
      </c>
      <c r="B135">
        <v>123</v>
      </c>
      <c r="C135">
        <v>15115992</v>
      </c>
      <c r="D135">
        <v>334032</v>
      </c>
      <c r="E135">
        <v>11700</v>
      </c>
      <c r="F135">
        <v>0</v>
      </c>
      <c r="G135">
        <v>214341281</v>
      </c>
      <c r="H135">
        <v>2307216</v>
      </c>
      <c r="I135">
        <v>104052</v>
      </c>
      <c r="J135">
        <v>47067969</v>
      </c>
      <c r="K135">
        <v>30730</v>
      </c>
      <c r="L135" t="s">
        <v>936</v>
      </c>
      <c r="M135" t="s">
        <v>946</v>
      </c>
    </row>
    <row r="136" spans="1:13" x14ac:dyDescent="0.3">
      <c r="A136" t="s">
        <v>886</v>
      </c>
      <c r="B136">
        <v>183</v>
      </c>
      <c r="C136">
        <v>12955524</v>
      </c>
      <c r="D136">
        <v>332697</v>
      </c>
      <c r="E136">
        <v>16370</v>
      </c>
      <c r="F136">
        <v>0</v>
      </c>
      <c r="G136">
        <v>143693298</v>
      </c>
      <c r="H136">
        <v>1232359</v>
      </c>
      <c r="I136">
        <v>47637</v>
      </c>
      <c r="J136">
        <v>6840688</v>
      </c>
      <c r="K136">
        <v>31570</v>
      </c>
      <c r="L136" t="s">
        <v>936</v>
      </c>
      <c r="M136" t="s">
        <v>959</v>
      </c>
    </row>
    <row r="137" spans="1:13" x14ac:dyDescent="0.3">
      <c r="A137" t="s">
        <v>870</v>
      </c>
      <c r="B137">
        <v>166</v>
      </c>
      <c r="C137">
        <v>32672707</v>
      </c>
      <c r="D137">
        <v>323472</v>
      </c>
      <c r="E137">
        <v>270</v>
      </c>
      <c r="F137">
        <v>0</v>
      </c>
      <c r="G137">
        <v>184275279</v>
      </c>
      <c r="H137">
        <v>1505538</v>
      </c>
      <c r="I137">
        <v>46759</v>
      </c>
      <c r="J137">
        <v>3293993</v>
      </c>
      <c r="K137">
        <v>31230</v>
      </c>
      <c r="L137" t="s">
        <v>936</v>
      </c>
      <c r="M137" t="s">
        <v>944</v>
      </c>
    </row>
    <row r="138" spans="1:13" x14ac:dyDescent="0.3">
      <c r="A138" t="s">
        <v>830</v>
      </c>
      <c r="B138">
        <v>122</v>
      </c>
      <c r="C138">
        <v>15289236</v>
      </c>
      <c r="D138">
        <v>322900</v>
      </c>
      <c r="E138">
        <v>4950</v>
      </c>
      <c r="F138">
        <v>0</v>
      </c>
      <c r="G138">
        <v>204290409</v>
      </c>
      <c r="H138">
        <v>2540711</v>
      </c>
      <c r="I138">
        <v>56309</v>
      </c>
      <c r="J138">
        <v>4167307</v>
      </c>
      <c r="K138">
        <v>24890</v>
      </c>
      <c r="L138" t="s">
        <v>936</v>
      </c>
      <c r="M138" t="s">
        <v>945</v>
      </c>
    </row>
    <row r="139" spans="1:13" x14ac:dyDescent="0.3">
      <c r="A139" t="s">
        <v>872</v>
      </c>
      <c r="B139">
        <v>170</v>
      </c>
      <c r="C139">
        <v>15579151</v>
      </c>
      <c r="D139">
        <v>315959</v>
      </c>
      <c r="E139">
        <v>0</v>
      </c>
      <c r="F139">
        <v>0</v>
      </c>
      <c r="G139">
        <v>187420162</v>
      </c>
      <c r="H139">
        <v>1448138</v>
      </c>
      <c r="I139">
        <v>2600</v>
      </c>
      <c r="J139">
        <v>2749870</v>
      </c>
      <c r="K139">
        <v>35759</v>
      </c>
      <c r="L139" t="s">
        <v>936</v>
      </c>
      <c r="M139" t="s">
        <v>944</v>
      </c>
    </row>
    <row r="140" spans="1:13" x14ac:dyDescent="0.3">
      <c r="A140" t="s">
        <v>841</v>
      </c>
      <c r="B140">
        <v>133</v>
      </c>
      <c r="C140">
        <v>15832428</v>
      </c>
      <c r="D140">
        <v>315722</v>
      </c>
      <c r="E140">
        <v>4500</v>
      </c>
      <c r="F140">
        <v>1332616</v>
      </c>
      <c r="G140">
        <v>155453407</v>
      </c>
      <c r="H140">
        <v>2230055</v>
      </c>
      <c r="I140">
        <v>62403</v>
      </c>
      <c r="J140">
        <v>37062837</v>
      </c>
      <c r="K140">
        <v>30190</v>
      </c>
      <c r="L140" t="s">
        <v>936</v>
      </c>
      <c r="M140" t="s">
        <v>945</v>
      </c>
    </row>
    <row r="141" spans="1:13" x14ac:dyDescent="0.3">
      <c r="A141" t="s">
        <v>817</v>
      </c>
      <c r="B141">
        <v>97</v>
      </c>
      <c r="C141">
        <v>15773428</v>
      </c>
      <c r="D141">
        <v>315495</v>
      </c>
      <c r="E141">
        <v>120</v>
      </c>
      <c r="F141">
        <v>0</v>
      </c>
      <c r="G141">
        <v>266030989</v>
      </c>
      <c r="H141">
        <v>3083349</v>
      </c>
      <c r="I141">
        <v>49596</v>
      </c>
      <c r="J141">
        <v>3612005</v>
      </c>
      <c r="K141">
        <v>32899</v>
      </c>
      <c r="L141" t="s">
        <v>936</v>
      </c>
      <c r="M141" t="s">
        <v>940</v>
      </c>
    </row>
    <row r="142" spans="1:13" x14ac:dyDescent="0.3">
      <c r="A142" t="s">
        <v>971</v>
      </c>
      <c r="B142">
        <v>124</v>
      </c>
      <c r="C142">
        <v>17099018</v>
      </c>
      <c r="D142">
        <v>315065</v>
      </c>
      <c r="E142">
        <v>0</v>
      </c>
      <c r="F142">
        <v>0</v>
      </c>
      <c r="G142">
        <v>239824019</v>
      </c>
      <c r="H142">
        <v>2369456</v>
      </c>
      <c r="I142">
        <v>32401</v>
      </c>
      <c r="J142">
        <v>3579744</v>
      </c>
      <c r="K142">
        <v>35330</v>
      </c>
      <c r="L142" t="s">
        <v>936</v>
      </c>
      <c r="M142" t="s">
        <v>942</v>
      </c>
    </row>
    <row r="143" spans="1:13" x14ac:dyDescent="0.3">
      <c r="A143" t="s">
        <v>871</v>
      </c>
      <c r="B143">
        <v>168</v>
      </c>
      <c r="C143">
        <v>22503034</v>
      </c>
      <c r="D143">
        <v>304682</v>
      </c>
      <c r="E143">
        <v>350</v>
      </c>
      <c r="F143">
        <v>0</v>
      </c>
      <c r="G143">
        <v>161340331</v>
      </c>
      <c r="H143">
        <v>1573345</v>
      </c>
      <c r="I143">
        <v>7896</v>
      </c>
      <c r="J143">
        <v>4022349</v>
      </c>
      <c r="K143">
        <v>33165</v>
      </c>
      <c r="L143" t="s">
        <v>936</v>
      </c>
      <c r="M143" t="s">
        <v>959</v>
      </c>
    </row>
    <row r="144" spans="1:13" x14ac:dyDescent="0.3">
      <c r="A144" t="s">
        <v>862</v>
      </c>
      <c r="B144">
        <v>161</v>
      </c>
      <c r="C144">
        <v>15332195</v>
      </c>
      <c r="D144">
        <v>301862</v>
      </c>
      <c r="E144">
        <v>1900</v>
      </c>
      <c r="F144">
        <v>0</v>
      </c>
      <c r="G144">
        <v>246140730</v>
      </c>
      <c r="H144">
        <v>1685435</v>
      </c>
      <c r="I144">
        <v>23461</v>
      </c>
      <c r="J144">
        <v>2262023</v>
      </c>
      <c r="K144">
        <v>39686</v>
      </c>
      <c r="L144" t="s">
        <v>936</v>
      </c>
      <c r="M144" t="s">
        <v>944</v>
      </c>
    </row>
    <row r="145" spans="1:13" x14ac:dyDescent="0.3">
      <c r="A145" t="s">
        <v>604</v>
      </c>
      <c r="B145">
        <v>132</v>
      </c>
      <c r="C145">
        <v>14259146</v>
      </c>
      <c r="D145">
        <v>299868</v>
      </c>
      <c r="E145">
        <v>350</v>
      </c>
      <c r="F145">
        <v>1776948</v>
      </c>
      <c r="G145">
        <v>243843913</v>
      </c>
      <c r="H145">
        <v>2147499</v>
      </c>
      <c r="I145">
        <v>25331</v>
      </c>
      <c r="J145">
        <v>8601549</v>
      </c>
      <c r="K145">
        <v>29543</v>
      </c>
      <c r="L145" t="s">
        <v>936</v>
      </c>
      <c r="M145" t="s">
        <v>945</v>
      </c>
    </row>
    <row r="146" spans="1:13" x14ac:dyDescent="0.3">
      <c r="A146" t="s">
        <v>976</v>
      </c>
      <c r="B146">
        <v>111</v>
      </c>
      <c r="C146">
        <v>13509654</v>
      </c>
      <c r="D146">
        <v>293942</v>
      </c>
      <c r="E146">
        <v>750</v>
      </c>
      <c r="F146">
        <v>0</v>
      </c>
      <c r="G146">
        <v>243898138</v>
      </c>
      <c r="H146">
        <v>2885270</v>
      </c>
      <c r="I146">
        <v>18522</v>
      </c>
      <c r="J146">
        <v>7382587</v>
      </c>
      <c r="K146">
        <v>36943</v>
      </c>
      <c r="L146" t="s">
        <v>936</v>
      </c>
      <c r="M146" t="s">
        <v>942</v>
      </c>
    </row>
    <row r="147" spans="1:13" x14ac:dyDescent="0.3">
      <c r="A147" t="s">
        <v>970</v>
      </c>
      <c r="B147">
        <v>105</v>
      </c>
      <c r="C147">
        <v>12908239</v>
      </c>
      <c r="D147">
        <v>290501</v>
      </c>
      <c r="E147">
        <v>2150</v>
      </c>
      <c r="F147">
        <v>0</v>
      </c>
      <c r="G147">
        <v>218111406</v>
      </c>
      <c r="H147">
        <v>2654860</v>
      </c>
      <c r="I147">
        <v>48867</v>
      </c>
      <c r="J147">
        <v>9585335</v>
      </c>
      <c r="K147">
        <v>34060</v>
      </c>
      <c r="L147" t="s">
        <v>936</v>
      </c>
      <c r="M147" t="s">
        <v>939</v>
      </c>
    </row>
    <row r="148" spans="1:13" x14ac:dyDescent="0.3">
      <c r="A148" t="s">
        <v>977</v>
      </c>
      <c r="B148">
        <v>162</v>
      </c>
      <c r="C148">
        <v>12626133</v>
      </c>
      <c r="D148">
        <v>286159</v>
      </c>
      <c r="E148">
        <v>350</v>
      </c>
      <c r="F148">
        <v>453192</v>
      </c>
      <c r="G148">
        <v>185043390</v>
      </c>
      <c r="H148">
        <v>1859879</v>
      </c>
      <c r="I148">
        <v>6242</v>
      </c>
      <c r="J148">
        <v>9466611</v>
      </c>
      <c r="K148">
        <v>36990</v>
      </c>
      <c r="L148" t="s">
        <v>936</v>
      </c>
      <c r="M148" t="s">
        <v>959</v>
      </c>
    </row>
    <row r="149" spans="1:13" x14ac:dyDescent="0.3">
      <c r="A149" t="s">
        <v>828</v>
      </c>
      <c r="B149">
        <v>119</v>
      </c>
      <c r="C149">
        <v>21129454</v>
      </c>
      <c r="D149">
        <v>283885</v>
      </c>
      <c r="E149">
        <v>9500</v>
      </c>
      <c r="F149">
        <v>0</v>
      </c>
      <c r="G149">
        <v>215486689</v>
      </c>
      <c r="H149">
        <v>2386630</v>
      </c>
      <c r="I149">
        <v>61201</v>
      </c>
      <c r="J149">
        <v>13759215</v>
      </c>
      <c r="K149">
        <v>34509</v>
      </c>
      <c r="L149" t="s">
        <v>936</v>
      </c>
      <c r="M149" t="s">
        <v>946</v>
      </c>
    </row>
    <row r="150" spans="1:13" x14ac:dyDescent="0.3">
      <c r="A150" t="s">
        <v>852</v>
      </c>
      <c r="B150">
        <v>147</v>
      </c>
      <c r="C150">
        <v>25551905</v>
      </c>
      <c r="D150">
        <v>280010</v>
      </c>
      <c r="E150">
        <v>552</v>
      </c>
      <c r="F150">
        <v>0</v>
      </c>
      <c r="G150">
        <v>195654954</v>
      </c>
      <c r="H150">
        <v>1934002</v>
      </c>
      <c r="I150">
        <v>17044</v>
      </c>
      <c r="J150">
        <v>3417438</v>
      </c>
      <c r="K150">
        <v>32460</v>
      </c>
      <c r="L150" t="s">
        <v>936</v>
      </c>
      <c r="M150" t="s">
        <v>940</v>
      </c>
    </row>
    <row r="151" spans="1:13" x14ac:dyDescent="0.3">
      <c r="A151" t="s">
        <v>867</v>
      </c>
      <c r="B151">
        <v>164</v>
      </c>
      <c r="C151">
        <v>16879457</v>
      </c>
      <c r="D151">
        <v>279099</v>
      </c>
      <c r="E151">
        <v>202</v>
      </c>
      <c r="F151">
        <v>0</v>
      </c>
      <c r="G151">
        <v>193970477</v>
      </c>
      <c r="H151">
        <v>1523065</v>
      </c>
      <c r="I151">
        <v>31882</v>
      </c>
      <c r="J151">
        <v>3753806</v>
      </c>
      <c r="K151">
        <v>31620</v>
      </c>
      <c r="L151" t="s">
        <v>936</v>
      </c>
      <c r="M151" t="s">
        <v>940</v>
      </c>
    </row>
    <row r="152" spans="1:13" x14ac:dyDescent="0.3">
      <c r="A152" t="s">
        <v>877</v>
      </c>
      <c r="B152">
        <v>175</v>
      </c>
      <c r="C152">
        <v>16416040</v>
      </c>
      <c r="D152">
        <v>273739</v>
      </c>
      <c r="E152">
        <v>0</v>
      </c>
      <c r="F152">
        <v>2929423</v>
      </c>
      <c r="G152">
        <v>180859042</v>
      </c>
      <c r="H152">
        <v>1350434</v>
      </c>
      <c r="I152">
        <v>33003</v>
      </c>
      <c r="J152">
        <v>11408653</v>
      </c>
      <c r="K152">
        <v>37560</v>
      </c>
      <c r="L152" t="s">
        <v>936</v>
      </c>
      <c r="M152" t="s">
        <v>942</v>
      </c>
    </row>
    <row r="153" spans="1:13" x14ac:dyDescent="0.3">
      <c r="A153" t="s">
        <v>874</v>
      </c>
      <c r="B153">
        <v>172</v>
      </c>
      <c r="C153">
        <v>28854307</v>
      </c>
      <c r="D153">
        <v>264768</v>
      </c>
      <c r="E153">
        <v>765</v>
      </c>
      <c r="F153">
        <v>1158211</v>
      </c>
      <c r="G153">
        <v>196439255</v>
      </c>
      <c r="H153">
        <v>1326152</v>
      </c>
      <c r="I153">
        <v>9363</v>
      </c>
      <c r="J153">
        <v>7543542</v>
      </c>
      <c r="K153">
        <v>38456</v>
      </c>
      <c r="L153" t="s">
        <v>936</v>
      </c>
      <c r="M153" t="s">
        <v>937</v>
      </c>
    </row>
    <row r="154" spans="1:13" x14ac:dyDescent="0.3">
      <c r="A154" t="s">
        <v>809</v>
      </c>
      <c r="B154">
        <v>92</v>
      </c>
      <c r="C154">
        <v>12987688</v>
      </c>
      <c r="D154">
        <v>262581</v>
      </c>
      <c r="E154">
        <v>0</v>
      </c>
      <c r="F154">
        <v>2016823</v>
      </c>
      <c r="G154">
        <v>290650000</v>
      </c>
      <c r="H154">
        <v>3130429</v>
      </c>
      <c r="I154">
        <v>48970</v>
      </c>
      <c r="J154">
        <v>5987927</v>
      </c>
      <c r="K154">
        <v>38853</v>
      </c>
      <c r="L154" t="s">
        <v>936</v>
      </c>
      <c r="M154" t="s">
        <v>939</v>
      </c>
    </row>
    <row r="155" spans="1:13" x14ac:dyDescent="0.3">
      <c r="A155" t="s">
        <v>831</v>
      </c>
      <c r="B155">
        <v>125</v>
      </c>
      <c r="C155">
        <v>11784014</v>
      </c>
      <c r="D155">
        <v>261644</v>
      </c>
      <c r="E155">
        <v>3050</v>
      </c>
      <c r="F155">
        <v>15481774</v>
      </c>
      <c r="G155">
        <v>209408428</v>
      </c>
      <c r="H155">
        <v>2187548</v>
      </c>
      <c r="I155">
        <v>75527</v>
      </c>
      <c r="J155">
        <v>44757350</v>
      </c>
      <c r="K155">
        <v>36406</v>
      </c>
      <c r="L155" t="s">
        <v>936</v>
      </c>
      <c r="M155" t="s">
        <v>940</v>
      </c>
    </row>
    <row r="156" spans="1:13" x14ac:dyDescent="0.3">
      <c r="A156" t="s">
        <v>824</v>
      </c>
      <c r="B156">
        <v>110</v>
      </c>
      <c r="C156">
        <v>27875033</v>
      </c>
      <c r="D156">
        <v>249693</v>
      </c>
      <c r="E156">
        <v>1801</v>
      </c>
      <c r="F156">
        <v>0</v>
      </c>
      <c r="G156">
        <v>234807474</v>
      </c>
      <c r="H156">
        <v>2493544</v>
      </c>
      <c r="I156">
        <v>3206</v>
      </c>
      <c r="J156">
        <v>5042586</v>
      </c>
      <c r="K156">
        <v>33513</v>
      </c>
      <c r="L156" t="s">
        <v>936</v>
      </c>
      <c r="M156" t="s">
        <v>959</v>
      </c>
    </row>
    <row r="157" spans="1:13" x14ac:dyDescent="0.3">
      <c r="A157" t="s">
        <v>858</v>
      </c>
      <c r="B157">
        <v>154</v>
      </c>
      <c r="C157">
        <v>33493467</v>
      </c>
      <c r="D157">
        <v>248980</v>
      </c>
      <c r="E157">
        <v>7953</v>
      </c>
      <c r="F157">
        <v>4760591</v>
      </c>
      <c r="G157">
        <v>264451576</v>
      </c>
      <c r="H157">
        <v>1683015</v>
      </c>
      <c r="I157">
        <v>46987</v>
      </c>
      <c r="J157">
        <v>38613980</v>
      </c>
      <c r="K157">
        <v>35210</v>
      </c>
      <c r="L157" t="s">
        <v>936</v>
      </c>
      <c r="M157" t="s">
        <v>942</v>
      </c>
    </row>
    <row r="158" spans="1:13" x14ac:dyDescent="0.3">
      <c r="A158" t="s">
        <v>885</v>
      </c>
      <c r="B158">
        <v>184</v>
      </c>
      <c r="C158">
        <v>31088837</v>
      </c>
      <c r="D158">
        <v>247819</v>
      </c>
      <c r="E158">
        <v>350</v>
      </c>
      <c r="F158">
        <v>0</v>
      </c>
      <c r="G158">
        <v>139072684</v>
      </c>
      <c r="H158">
        <v>1136085</v>
      </c>
      <c r="I158">
        <v>9351</v>
      </c>
      <c r="J158">
        <v>4030908</v>
      </c>
      <c r="K158">
        <v>31288</v>
      </c>
      <c r="L158" t="s">
        <v>936</v>
      </c>
      <c r="M158" t="s">
        <v>959</v>
      </c>
    </row>
    <row r="159" spans="1:13" x14ac:dyDescent="0.3">
      <c r="A159" t="s">
        <v>868</v>
      </c>
      <c r="B159">
        <v>167</v>
      </c>
      <c r="C159">
        <v>12331684</v>
      </c>
      <c r="D159">
        <v>241676</v>
      </c>
      <c r="E159">
        <v>350</v>
      </c>
      <c r="F159">
        <v>5197952</v>
      </c>
      <c r="G159">
        <v>136861821</v>
      </c>
      <c r="H159">
        <v>1432195</v>
      </c>
      <c r="I159">
        <v>15497</v>
      </c>
      <c r="J159">
        <v>34085517</v>
      </c>
      <c r="K159">
        <v>33203</v>
      </c>
      <c r="L159" t="s">
        <v>936</v>
      </c>
      <c r="M159" t="s">
        <v>962</v>
      </c>
    </row>
    <row r="160" spans="1:13" x14ac:dyDescent="0.3">
      <c r="A160" t="s">
        <v>887</v>
      </c>
      <c r="B160">
        <v>185</v>
      </c>
      <c r="C160">
        <v>7754771</v>
      </c>
      <c r="D160">
        <v>241015</v>
      </c>
      <c r="E160">
        <v>18776</v>
      </c>
      <c r="F160">
        <v>8393322</v>
      </c>
      <c r="G160">
        <v>96299538</v>
      </c>
      <c r="H160">
        <v>1322700</v>
      </c>
      <c r="I160">
        <v>104970</v>
      </c>
      <c r="J160">
        <v>60110088</v>
      </c>
      <c r="K160">
        <v>17691</v>
      </c>
      <c r="L160" t="s">
        <v>936</v>
      </c>
      <c r="M160" t="s">
        <v>937</v>
      </c>
    </row>
    <row r="161" spans="1:13" x14ac:dyDescent="0.3">
      <c r="A161" t="s">
        <v>974</v>
      </c>
      <c r="B161">
        <v>143</v>
      </c>
      <c r="C161">
        <v>10908579</v>
      </c>
      <c r="D161">
        <v>240596</v>
      </c>
      <c r="E161">
        <v>1090</v>
      </c>
      <c r="F161">
        <v>1175742</v>
      </c>
      <c r="G161">
        <v>211389385</v>
      </c>
      <c r="H161">
        <v>2045517</v>
      </c>
      <c r="I161">
        <v>23926</v>
      </c>
      <c r="J161">
        <v>7686182</v>
      </c>
      <c r="K161">
        <v>37786</v>
      </c>
      <c r="L161" t="s">
        <v>936</v>
      </c>
      <c r="M161" t="s">
        <v>942</v>
      </c>
    </row>
    <row r="162" spans="1:13" x14ac:dyDescent="0.3">
      <c r="A162" t="s">
        <v>873</v>
      </c>
      <c r="B162">
        <v>171</v>
      </c>
      <c r="C162">
        <v>10426087</v>
      </c>
      <c r="D162">
        <v>231648</v>
      </c>
      <c r="E162">
        <v>0</v>
      </c>
      <c r="F162">
        <v>0</v>
      </c>
      <c r="G162">
        <v>190198849</v>
      </c>
      <c r="H162">
        <v>1537039</v>
      </c>
      <c r="I162">
        <v>32366</v>
      </c>
      <c r="J162">
        <v>6642651</v>
      </c>
      <c r="K162">
        <v>33663</v>
      </c>
      <c r="L162" t="s">
        <v>936</v>
      </c>
      <c r="M162" t="s">
        <v>937</v>
      </c>
    </row>
    <row r="163" spans="1:13" x14ac:dyDescent="0.3">
      <c r="A163" t="s">
        <v>847</v>
      </c>
      <c r="B163">
        <v>142</v>
      </c>
      <c r="C163">
        <v>41300845</v>
      </c>
      <c r="D163">
        <v>229485</v>
      </c>
      <c r="E163">
        <v>0</v>
      </c>
      <c r="F163">
        <v>0</v>
      </c>
      <c r="G163">
        <v>202265734</v>
      </c>
      <c r="H163">
        <v>1965226</v>
      </c>
      <c r="I163">
        <v>42681</v>
      </c>
      <c r="J163">
        <v>3573341</v>
      </c>
      <c r="K163">
        <v>31353</v>
      </c>
      <c r="L163" t="s">
        <v>936</v>
      </c>
      <c r="M163" t="s">
        <v>937</v>
      </c>
    </row>
    <row r="164" spans="1:13" x14ac:dyDescent="0.3">
      <c r="A164" t="s">
        <v>851</v>
      </c>
      <c r="B164">
        <v>146</v>
      </c>
      <c r="C164">
        <v>11916710</v>
      </c>
      <c r="D164">
        <v>229023</v>
      </c>
      <c r="E164">
        <v>7750</v>
      </c>
      <c r="F164">
        <v>0</v>
      </c>
      <c r="G164">
        <v>157193489</v>
      </c>
      <c r="H164">
        <v>1739466</v>
      </c>
      <c r="I164">
        <v>45120</v>
      </c>
      <c r="J164">
        <v>4801442</v>
      </c>
      <c r="K164">
        <v>29940</v>
      </c>
      <c r="L164" t="s">
        <v>936</v>
      </c>
      <c r="M164" t="s">
        <v>940</v>
      </c>
    </row>
    <row r="165" spans="1:13" x14ac:dyDescent="0.3">
      <c r="A165" t="s">
        <v>788</v>
      </c>
      <c r="B165">
        <v>65</v>
      </c>
      <c r="C165">
        <v>30280120</v>
      </c>
      <c r="D165">
        <v>226374</v>
      </c>
      <c r="E165">
        <v>350</v>
      </c>
      <c r="F165">
        <v>0</v>
      </c>
      <c r="G165">
        <v>307000935</v>
      </c>
      <c r="H165">
        <v>3443947</v>
      </c>
      <c r="I165">
        <v>48040</v>
      </c>
      <c r="J165">
        <v>3359356</v>
      </c>
      <c r="K165">
        <v>43020</v>
      </c>
      <c r="L165" t="s">
        <v>936</v>
      </c>
      <c r="M165" t="s">
        <v>944</v>
      </c>
    </row>
    <row r="166" spans="1:13" x14ac:dyDescent="0.3">
      <c r="A166" t="s">
        <v>882</v>
      </c>
      <c r="B166">
        <v>179</v>
      </c>
      <c r="C166">
        <v>10923665</v>
      </c>
      <c r="D166">
        <v>224028</v>
      </c>
      <c r="E166">
        <v>451</v>
      </c>
      <c r="F166">
        <v>0</v>
      </c>
      <c r="G166">
        <v>151246464</v>
      </c>
      <c r="H166">
        <v>1162525</v>
      </c>
      <c r="I166">
        <v>10340</v>
      </c>
      <c r="J166">
        <v>4024234</v>
      </c>
      <c r="K166">
        <v>29561</v>
      </c>
      <c r="L166" t="s">
        <v>936</v>
      </c>
      <c r="M166" t="s">
        <v>959</v>
      </c>
    </row>
    <row r="167" spans="1:13" x14ac:dyDescent="0.3">
      <c r="A167" t="s">
        <v>879</v>
      </c>
      <c r="B167">
        <v>176</v>
      </c>
      <c r="C167">
        <v>11107607</v>
      </c>
      <c r="D167">
        <v>223050</v>
      </c>
      <c r="E167">
        <v>0</v>
      </c>
      <c r="F167">
        <v>0</v>
      </c>
      <c r="G167">
        <v>139451452</v>
      </c>
      <c r="H167">
        <v>1203424</v>
      </c>
      <c r="I167">
        <v>12762</v>
      </c>
      <c r="J167">
        <v>1523337</v>
      </c>
      <c r="K167">
        <v>28120</v>
      </c>
      <c r="L167" t="s">
        <v>936</v>
      </c>
      <c r="M167" t="s">
        <v>942</v>
      </c>
    </row>
    <row r="168" spans="1:13" x14ac:dyDescent="0.3">
      <c r="A168" t="s">
        <v>876</v>
      </c>
      <c r="B168">
        <v>174</v>
      </c>
      <c r="C168">
        <v>13793928</v>
      </c>
      <c r="D168">
        <v>218787</v>
      </c>
      <c r="E168">
        <v>700</v>
      </c>
      <c r="F168">
        <v>3325055</v>
      </c>
      <c r="G168">
        <v>193368357</v>
      </c>
      <c r="H168">
        <v>1234962</v>
      </c>
      <c r="I168">
        <v>28244</v>
      </c>
      <c r="J168">
        <v>13900776</v>
      </c>
      <c r="K168">
        <v>36700</v>
      </c>
      <c r="L168" t="s">
        <v>936</v>
      </c>
      <c r="M168" t="s">
        <v>945</v>
      </c>
    </row>
    <row r="169" spans="1:13" x14ac:dyDescent="0.3">
      <c r="A169" t="s">
        <v>854</v>
      </c>
      <c r="B169">
        <v>149</v>
      </c>
      <c r="C169">
        <v>9845986</v>
      </c>
      <c r="D169">
        <v>197734</v>
      </c>
      <c r="E169">
        <v>202</v>
      </c>
      <c r="F169">
        <v>0</v>
      </c>
      <c r="G169">
        <v>209156262</v>
      </c>
      <c r="H169">
        <v>1687170</v>
      </c>
      <c r="I169">
        <v>26173</v>
      </c>
      <c r="J169">
        <v>3243805</v>
      </c>
      <c r="K169">
        <v>18953</v>
      </c>
      <c r="L169" t="s">
        <v>936</v>
      </c>
      <c r="M169" t="s">
        <v>942</v>
      </c>
    </row>
    <row r="170" spans="1:13" x14ac:dyDescent="0.3">
      <c r="A170" t="s">
        <v>968</v>
      </c>
      <c r="B170">
        <v>163</v>
      </c>
      <c r="C170">
        <v>9379226</v>
      </c>
      <c r="D170">
        <v>194402</v>
      </c>
      <c r="E170">
        <v>0</v>
      </c>
      <c r="F170">
        <v>0</v>
      </c>
      <c r="G170">
        <v>167434410</v>
      </c>
      <c r="H170">
        <v>1646894</v>
      </c>
      <c r="I170">
        <v>7508</v>
      </c>
      <c r="J170">
        <v>3626092</v>
      </c>
      <c r="K170">
        <v>32970</v>
      </c>
      <c r="L170" t="s">
        <v>936</v>
      </c>
      <c r="M170" t="s">
        <v>945</v>
      </c>
    </row>
    <row r="171" spans="1:13" x14ac:dyDescent="0.3">
      <c r="A171" t="s">
        <v>860</v>
      </c>
      <c r="B171">
        <v>157</v>
      </c>
      <c r="C171">
        <v>12220822</v>
      </c>
      <c r="D171">
        <v>188981</v>
      </c>
      <c r="E171">
        <v>3150</v>
      </c>
      <c r="F171">
        <v>5188039</v>
      </c>
      <c r="G171">
        <v>127174379</v>
      </c>
      <c r="H171">
        <v>1697665</v>
      </c>
      <c r="I171">
        <v>17320</v>
      </c>
      <c r="J171">
        <v>30769049</v>
      </c>
      <c r="K171">
        <v>31263</v>
      </c>
      <c r="L171" t="s">
        <v>936</v>
      </c>
      <c r="M171" t="s">
        <v>946</v>
      </c>
    </row>
    <row r="172" spans="1:13" x14ac:dyDescent="0.3">
      <c r="A172" t="s">
        <v>844</v>
      </c>
      <c r="B172">
        <v>141</v>
      </c>
      <c r="C172">
        <v>19332359</v>
      </c>
      <c r="D172">
        <v>185263</v>
      </c>
      <c r="E172">
        <v>723</v>
      </c>
      <c r="F172">
        <v>0</v>
      </c>
      <c r="G172">
        <v>237213812</v>
      </c>
      <c r="H172">
        <v>2031597</v>
      </c>
      <c r="I172">
        <v>46077</v>
      </c>
      <c r="J172">
        <v>9247747</v>
      </c>
      <c r="K172">
        <v>33340</v>
      </c>
      <c r="L172" t="s">
        <v>936</v>
      </c>
      <c r="M172" t="s">
        <v>939</v>
      </c>
    </row>
    <row r="173" spans="1:13" x14ac:dyDescent="0.3">
      <c r="A173" t="s">
        <v>875</v>
      </c>
      <c r="B173">
        <v>173</v>
      </c>
      <c r="C173">
        <v>30652094</v>
      </c>
      <c r="D173">
        <v>178875</v>
      </c>
      <c r="E173">
        <v>350</v>
      </c>
      <c r="F173">
        <v>3192867</v>
      </c>
      <c r="G173">
        <v>229471314</v>
      </c>
      <c r="H173">
        <v>1129334</v>
      </c>
      <c r="I173">
        <v>45474</v>
      </c>
      <c r="J173">
        <v>16918918</v>
      </c>
      <c r="K173">
        <v>39370</v>
      </c>
      <c r="L173" t="s">
        <v>936</v>
      </c>
      <c r="M173" t="s">
        <v>962</v>
      </c>
    </row>
    <row r="174" spans="1:13" x14ac:dyDescent="0.3">
      <c r="A174" t="s">
        <v>835</v>
      </c>
      <c r="B174">
        <v>130</v>
      </c>
      <c r="C174">
        <v>20473820</v>
      </c>
      <c r="D174">
        <v>173452</v>
      </c>
      <c r="E174">
        <v>0</v>
      </c>
      <c r="F174">
        <v>0</v>
      </c>
      <c r="G174">
        <v>245392835</v>
      </c>
      <c r="H174">
        <v>2082772</v>
      </c>
      <c r="I174">
        <v>32568</v>
      </c>
      <c r="J174">
        <v>4525150</v>
      </c>
      <c r="K174">
        <v>36713</v>
      </c>
      <c r="L174" t="s">
        <v>936</v>
      </c>
      <c r="M174" t="s">
        <v>944</v>
      </c>
    </row>
    <row r="175" spans="1:13" x14ac:dyDescent="0.3">
      <c r="A175" t="s">
        <v>878</v>
      </c>
      <c r="B175">
        <v>177</v>
      </c>
      <c r="C175">
        <v>20417040</v>
      </c>
      <c r="D175">
        <v>167053</v>
      </c>
      <c r="E175">
        <v>202</v>
      </c>
      <c r="F175">
        <v>0</v>
      </c>
      <c r="G175">
        <v>142366936</v>
      </c>
      <c r="H175">
        <v>1123694</v>
      </c>
      <c r="I175">
        <v>26727</v>
      </c>
      <c r="J175">
        <v>3024324</v>
      </c>
      <c r="K175">
        <v>35890</v>
      </c>
      <c r="L175" t="s">
        <v>936</v>
      </c>
      <c r="M175" t="s">
        <v>962</v>
      </c>
    </row>
    <row r="176" spans="1:13" x14ac:dyDescent="0.3">
      <c r="A176" t="s">
        <v>850</v>
      </c>
      <c r="B176">
        <v>148</v>
      </c>
      <c r="C176">
        <v>7913820</v>
      </c>
      <c r="D176">
        <v>159026</v>
      </c>
      <c r="E176">
        <v>700</v>
      </c>
      <c r="F176">
        <v>0</v>
      </c>
      <c r="G176">
        <v>167675082</v>
      </c>
      <c r="H176">
        <v>1759945</v>
      </c>
      <c r="I176">
        <v>40028</v>
      </c>
      <c r="J176">
        <v>2328448</v>
      </c>
      <c r="K176">
        <v>30740</v>
      </c>
      <c r="L176" t="s">
        <v>936</v>
      </c>
      <c r="M176" t="s">
        <v>944</v>
      </c>
    </row>
    <row r="177" spans="1:13" x14ac:dyDescent="0.3">
      <c r="A177" t="s">
        <v>975</v>
      </c>
      <c r="B177">
        <v>153</v>
      </c>
      <c r="C177">
        <v>6563679</v>
      </c>
      <c r="D177">
        <v>152391</v>
      </c>
      <c r="E177">
        <v>2352</v>
      </c>
      <c r="F177">
        <v>0</v>
      </c>
      <c r="G177">
        <v>158909105</v>
      </c>
      <c r="H177">
        <v>1729020</v>
      </c>
      <c r="I177">
        <v>56481</v>
      </c>
      <c r="J177">
        <v>5539743</v>
      </c>
      <c r="K177">
        <v>35100</v>
      </c>
      <c r="L177" t="s">
        <v>936</v>
      </c>
      <c r="M177" t="s">
        <v>945</v>
      </c>
    </row>
    <row r="178" spans="1:13" x14ac:dyDescent="0.3">
      <c r="A178" t="s">
        <v>883</v>
      </c>
      <c r="B178">
        <v>182</v>
      </c>
      <c r="C178">
        <v>9855027</v>
      </c>
      <c r="D178">
        <v>141296</v>
      </c>
      <c r="E178">
        <v>400</v>
      </c>
      <c r="F178">
        <v>0</v>
      </c>
      <c r="G178">
        <v>122380078</v>
      </c>
      <c r="H178">
        <v>963536</v>
      </c>
      <c r="I178">
        <v>19725</v>
      </c>
      <c r="J178">
        <v>8057288</v>
      </c>
      <c r="K178">
        <v>37140</v>
      </c>
      <c r="L178" t="s">
        <v>936</v>
      </c>
      <c r="M178" t="s">
        <v>962</v>
      </c>
    </row>
    <row r="179" spans="1:13" x14ac:dyDescent="0.3">
      <c r="A179" t="s">
        <v>888</v>
      </c>
      <c r="B179">
        <v>186</v>
      </c>
      <c r="C179">
        <v>7011167</v>
      </c>
      <c r="D179">
        <v>126079</v>
      </c>
      <c r="E179">
        <v>101</v>
      </c>
      <c r="F179">
        <v>0</v>
      </c>
      <c r="G179">
        <v>121153235</v>
      </c>
      <c r="H179">
        <v>822145</v>
      </c>
      <c r="I179">
        <v>29123</v>
      </c>
      <c r="J179">
        <v>10097123</v>
      </c>
      <c r="K179">
        <v>30930</v>
      </c>
      <c r="L179" t="s">
        <v>936</v>
      </c>
      <c r="M179" t="s">
        <v>937</v>
      </c>
    </row>
    <row r="180" spans="1:13" x14ac:dyDescent="0.3">
      <c r="A180" t="s">
        <v>861</v>
      </c>
      <c r="B180">
        <v>159</v>
      </c>
      <c r="C180">
        <v>17048280</v>
      </c>
      <c r="D180">
        <v>125899</v>
      </c>
      <c r="E180">
        <v>6450</v>
      </c>
      <c r="F180">
        <v>0</v>
      </c>
      <c r="G180">
        <v>183506374</v>
      </c>
      <c r="H180">
        <v>1434715</v>
      </c>
      <c r="I180">
        <v>46868</v>
      </c>
      <c r="J180">
        <v>12560636</v>
      </c>
      <c r="K180">
        <v>33390</v>
      </c>
      <c r="L180" t="s">
        <v>936</v>
      </c>
      <c r="M180" t="s">
        <v>942</v>
      </c>
    </row>
    <row r="181" spans="1:13" x14ac:dyDescent="0.3">
      <c r="A181" t="s">
        <v>890</v>
      </c>
      <c r="B181">
        <v>188</v>
      </c>
      <c r="C181">
        <v>8999432</v>
      </c>
      <c r="D181">
        <v>123604</v>
      </c>
      <c r="E181">
        <v>303</v>
      </c>
      <c r="F181">
        <v>0</v>
      </c>
      <c r="G181">
        <v>97902373</v>
      </c>
      <c r="H181">
        <v>700299</v>
      </c>
      <c r="I181">
        <v>11923</v>
      </c>
      <c r="J181">
        <v>11815276</v>
      </c>
      <c r="K181">
        <v>28830</v>
      </c>
      <c r="L181" t="s">
        <v>936</v>
      </c>
      <c r="M181" t="s">
        <v>942</v>
      </c>
    </row>
    <row r="182" spans="1:13" x14ac:dyDescent="0.3">
      <c r="A182" t="s">
        <v>853</v>
      </c>
      <c r="B182">
        <v>152</v>
      </c>
      <c r="C182">
        <v>6152568</v>
      </c>
      <c r="D182">
        <v>119069</v>
      </c>
      <c r="E182">
        <v>0</v>
      </c>
      <c r="F182">
        <v>0</v>
      </c>
      <c r="G182">
        <v>147587671</v>
      </c>
      <c r="H182">
        <v>1600687</v>
      </c>
      <c r="I182">
        <v>36309</v>
      </c>
      <c r="J182">
        <v>53580116</v>
      </c>
      <c r="K182">
        <v>28230</v>
      </c>
      <c r="L182" t="s">
        <v>936</v>
      </c>
      <c r="M182" t="s">
        <v>943</v>
      </c>
    </row>
    <row r="183" spans="1:13" x14ac:dyDescent="0.3">
      <c r="A183" t="s">
        <v>899</v>
      </c>
      <c r="B183">
        <v>197</v>
      </c>
      <c r="C183">
        <v>8473240</v>
      </c>
      <c r="D183">
        <v>113652</v>
      </c>
      <c r="E183">
        <v>4950</v>
      </c>
      <c r="F183">
        <v>0</v>
      </c>
      <c r="G183">
        <v>71866566</v>
      </c>
      <c r="H183">
        <v>469546</v>
      </c>
      <c r="I183">
        <v>33036</v>
      </c>
      <c r="J183">
        <v>64649956</v>
      </c>
      <c r="K183">
        <v>23403</v>
      </c>
      <c r="L183" t="s">
        <v>936</v>
      </c>
      <c r="M183" t="s">
        <v>945</v>
      </c>
    </row>
    <row r="184" spans="1:13" x14ac:dyDescent="0.3">
      <c r="A184" t="s">
        <v>889</v>
      </c>
      <c r="B184">
        <v>187</v>
      </c>
      <c r="C184">
        <v>6166195</v>
      </c>
      <c r="D184">
        <v>106556</v>
      </c>
      <c r="E184">
        <v>0</v>
      </c>
      <c r="F184">
        <v>0</v>
      </c>
      <c r="G184">
        <v>130376836</v>
      </c>
      <c r="H184">
        <v>760443</v>
      </c>
      <c r="I184">
        <v>30181</v>
      </c>
      <c r="J184">
        <v>5178541</v>
      </c>
      <c r="K184">
        <v>30663</v>
      </c>
      <c r="L184" t="s">
        <v>936</v>
      </c>
      <c r="M184" t="s">
        <v>962</v>
      </c>
    </row>
    <row r="185" spans="1:13" x14ac:dyDescent="0.3">
      <c r="A185" t="s">
        <v>881</v>
      </c>
      <c r="B185">
        <v>181</v>
      </c>
      <c r="C185">
        <v>5033223</v>
      </c>
      <c r="D185">
        <v>100699</v>
      </c>
      <c r="E185">
        <v>0</v>
      </c>
      <c r="F185">
        <v>0</v>
      </c>
      <c r="G185">
        <v>138240753</v>
      </c>
      <c r="H185">
        <v>1020865</v>
      </c>
      <c r="I185">
        <v>5980</v>
      </c>
      <c r="J185">
        <v>3912709</v>
      </c>
      <c r="K185">
        <v>32133</v>
      </c>
      <c r="L185" t="s">
        <v>936</v>
      </c>
      <c r="M185" t="s">
        <v>940</v>
      </c>
    </row>
    <row r="186" spans="1:13" x14ac:dyDescent="0.3">
      <c r="A186" t="s">
        <v>866</v>
      </c>
      <c r="B186">
        <v>169</v>
      </c>
      <c r="C186">
        <v>8175066</v>
      </c>
      <c r="D186">
        <v>86849</v>
      </c>
      <c r="E186">
        <v>350</v>
      </c>
      <c r="F186">
        <v>0</v>
      </c>
      <c r="G186">
        <v>197410160</v>
      </c>
      <c r="H186">
        <v>1220540</v>
      </c>
      <c r="I186">
        <v>81093</v>
      </c>
      <c r="J186">
        <v>2792897</v>
      </c>
      <c r="K186">
        <v>35160</v>
      </c>
      <c r="L186" t="s">
        <v>936</v>
      </c>
      <c r="M186" t="s">
        <v>944</v>
      </c>
    </row>
    <row r="187" spans="1:13" x14ac:dyDescent="0.3">
      <c r="A187" t="s">
        <v>896</v>
      </c>
      <c r="B187">
        <v>194</v>
      </c>
      <c r="C187">
        <v>12268158</v>
      </c>
      <c r="D187">
        <v>85814</v>
      </c>
      <c r="E187">
        <v>2450</v>
      </c>
      <c r="F187">
        <v>9168087</v>
      </c>
      <c r="G187">
        <v>143876717</v>
      </c>
      <c r="H187">
        <v>508595</v>
      </c>
      <c r="I187">
        <v>14208</v>
      </c>
      <c r="J187">
        <v>12551708</v>
      </c>
      <c r="K187">
        <v>27208</v>
      </c>
      <c r="L187" t="s">
        <v>936</v>
      </c>
      <c r="M187" t="s">
        <v>962</v>
      </c>
    </row>
    <row r="188" spans="1:13" x14ac:dyDescent="0.3">
      <c r="A188" t="s">
        <v>842</v>
      </c>
      <c r="B188">
        <v>138</v>
      </c>
      <c r="C188">
        <v>4575889</v>
      </c>
      <c r="D188">
        <v>79578</v>
      </c>
      <c r="E188">
        <v>350</v>
      </c>
      <c r="F188">
        <v>0</v>
      </c>
      <c r="G188">
        <v>203590578</v>
      </c>
      <c r="H188">
        <v>1680205</v>
      </c>
      <c r="I188">
        <v>81866</v>
      </c>
      <c r="J188">
        <v>3770795</v>
      </c>
      <c r="K188">
        <v>36440</v>
      </c>
      <c r="L188" t="s">
        <v>936</v>
      </c>
      <c r="M188" t="s">
        <v>946</v>
      </c>
    </row>
    <row r="189" spans="1:13" x14ac:dyDescent="0.3">
      <c r="A189" t="s">
        <v>880</v>
      </c>
      <c r="B189">
        <v>178</v>
      </c>
      <c r="C189">
        <v>13553571</v>
      </c>
      <c r="D189">
        <v>79310</v>
      </c>
      <c r="E189">
        <v>900</v>
      </c>
      <c r="F189">
        <v>0</v>
      </c>
      <c r="G189">
        <v>147837110</v>
      </c>
      <c r="H189">
        <v>1044765</v>
      </c>
      <c r="I189">
        <v>49572</v>
      </c>
      <c r="J189">
        <v>2022935</v>
      </c>
      <c r="K189">
        <v>32460</v>
      </c>
      <c r="L189" t="s">
        <v>936</v>
      </c>
      <c r="M189" t="s">
        <v>942</v>
      </c>
    </row>
    <row r="190" spans="1:13" x14ac:dyDescent="0.3">
      <c r="A190" t="s">
        <v>892</v>
      </c>
      <c r="B190">
        <v>190</v>
      </c>
      <c r="C190">
        <v>3433154</v>
      </c>
      <c r="D190">
        <v>71157</v>
      </c>
      <c r="E190">
        <v>0</v>
      </c>
      <c r="F190">
        <v>0</v>
      </c>
      <c r="G190">
        <v>110166328</v>
      </c>
      <c r="H190">
        <v>650059</v>
      </c>
      <c r="I190">
        <v>4977</v>
      </c>
      <c r="J190">
        <v>15924862</v>
      </c>
      <c r="K190">
        <v>33603</v>
      </c>
      <c r="L190" t="s">
        <v>936</v>
      </c>
      <c r="M190" t="s">
        <v>962</v>
      </c>
    </row>
    <row r="191" spans="1:13" x14ac:dyDescent="0.3">
      <c r="A191" t="s">
        <v>898</v>
      </c>
      <c r="B191">
        <v>195</v>
      </c>
      <c r="C191">
        <v>2824944</v>
      </c>
      <c r="D191">
        <v>65650</v>
      </c>
      <c r="E191">
        <v>350</v>
      </c>
      <c r="F191">
        <v>0</v>
      </c>
      <c r="G191">
        <v>81982940</v>
      </c>
      <c r="H191">
        <v>489834</v>
      </c>
      <c r="I191">
        <v>15966</v>
      </c>
      <c r="J191">
        <v>34567796</v>
      </c>
      <c r="K191">
        <v>22563</v>
      </c>
      <c r="L191" t="s">
        <v>936</v>
      </c>
      <c r="M191" t="s">
        <v>937</v>
      </c>
    </row>
    <row r="192" spans="1:13" x14ac:dyDescent="0.3">
      <c r="A192" t="s">
        <v>900</v>
      </c>
      <c r="B192">
        <v>198</v>
      </c>
      <c r="C192">
        <v>2129924</v>
      </c>
      <c r="D192">
        <v>55014</v>
      </c>
      <c r="E192">
        <v>3950</v>
      </c>
      <c r="F192">
        <v>0</v>
      </c>
      <c r="G192">
        <v>49937778</v>
      </c>
      <c r="H192">
        <v>290806</v>
      </c>
      <c r="I192">
        <v>17275</v>
      </c>
      <c r="J192">
        <v>62304170</v>
      </c>
      <c r="K192">
        <v>17470</v>
      </c>
      <c r="L192" t="s">
        <v>936</v>
      </c>
      <c r="M192" t="s">
        <v>937</v>
      </c>
    </row>
    <row r="193" spans="1:13" x14ac:dyDescent="0.3">
      <c r="A193" t="s">
        <v>894</v>
      </c>
      <c r="B193">
        <v>192</v>
      </c>
      <c r="C193">
        <v>2078018</v>
      </c>
      <c r="D193">
        <v>41580</v>
      </c>
      <c r="E193">
        <v>350</v>
      </c>
      <c r="F193">
        <v>0</v>
      </c>
      <c r="G193">
        <v>99498338</v>
      </c>
      <c r="H193">
        <v>558241</v>
      </c>
      <c r="I193">
        <v>7644</v>
      </c>
      <c r="J193">
        <v>6188510</v>
      </c>
      <c r="K193">
        <v>25160</v>
      </c>
      <c r="L193" t="s">
        <v>936</v>
      </c>
      <c r="M193" t="s">
        <v>940</v>
      </c>
    </row>
    <row r="194" spans="1:13" x14ac:dyDescent="0.3">
      <c r="A194" t="s">
        <v>895</v>
      </c>
      <c r="B194">
        <v>193</v>
      </c>
      <c r="C194">
        <v>3020592</v>
      </c>
      <c r="D194">
        <v>39364</v>
      </c>
      <c r="E194">
        <v>350</v>
      </c>
      <c r="F194">
        <v>0</v>
      </c>
      <c r="G194">
        <v>117891438</v>
      </c>
      <c r="H194">
        <v>484724</v>
      </c>
      <c r="I194">
        <v>12947</v>
      </c>
      <c r="J194">
        <v>9629723</v>
      </c>
      <c r="K194">
        <v>33749</v>
      </c>
      <c r="L194" t="s">
        <v>936</v>
      </c>
      <c r="M194" t="s">
        <v>962</v>
      </c>
    </row>
    <row r="195" spans="1:13" x14ac:dyDescent="0.3">
      <c r="A195" t="s">
        <v>893</v>
      </c>
      <c r="B195">
        <v>191</v>
      </c>
      <c r="C195">
        <v>2333471</v>
      </c>
      <c r="D195">
        <v>39070</v>
      </c>
      <c r="E195">
        <v>358</v>
      </c>
      <c r="F195">
        <v>38040960</v>
      </c>
      <c r="G195">
        <v>42063995</v>
      </c>
      <c r="H195">
        <v>442567</v>
      </c>
      <c r="I195">
        <v>76192</v>
      </c>
      <c r="J195">
        <v>264760708</v>
      </c>
      <c r="K195">
        <v>20506</v>
      </c>
      <c r="L195" t="s">
        <v>936</v>
      </c>
      <c r="M195" t="s">
        <v>937</v>
      </c>
    </row>
    <row r="196" spans="1:13" x14ac:dyDescent="0.3">
      <c r="A196" t="s">
        <v>891</v>
      </c>
      <c r="B196">
        <v>189</v>
      </c>
      <c r="C196">
        <v>4305648</v>
      </c>
      <c r="D196">
        <v>35903</v>
      </c>
      <c r="E196">
        <v>3600</v>
      </c>
      <c r="F196">
        <v>0</v>
      </c>
      <c r="G196">
        <v>58579138</v>
      </c>
      <c r="H196">
        <v>445525</v>
      </c>
      <c r="I196">
        <v>3600</v>
      </c>
      <c r="J196">
        <v>47915047</v>
      </c>
      <c r="K196">
        <v>23693</v>
      </c>
      <c r="L196" t="s">
        <v>973</v>
      </c>
      <c r="M196" t="s">
        <v>959</v>
      </c>
    </row>
    <row r="197" spans="1:13" x14ac:dyDescent="0.3">
      <c r="A197" t="s">
        <v>980</v>
      </c>
      <c r="B197">
        <v>200</v>
      </c>
      <c r="C197">
        <v>2054058</v>
      </c>
      <c r="D197">
        <v>30295</v>
      </c>
      <c r="E197">
        <v>9900</v>
      </c>
      <c r="F197">
        <v>0</v>
      </c>
      <c r="G197">
        <v>21514330</v>
      </c>
      <c r="H197">
        <v>114251</v>
      </c>
      <c r="I197">
        <v>9900</v>
      </c>
      <c r="J197">
        <v>45779027</v>
      </c>
      <c r="K197">
        <v>14640</v>
      </c>
      <c r="L197" t="s">
        <v>973</v>
      </c>
      <c r="M197" t="s">
        <v>959</v>
      </c>
    </row>
    <row r="198" spans="1:13" x14ac:dyDescent="0.3">
      <c r="A198" t="s">
        <v>764</v>
      </c>
      <c r="B198">
        <v>42</v>
      </c>
      <c r="C198">
        <v>3886021</v>
      </c>
      <c r="D198">
        <v>25282</v>
      </c>
      <c r="E198">
        <v>0</v>
      </c>
      <c r="F198">
        <v>0</v>
      </c>
      <c r="G198">
        <v>320470797</v>
      </c>
      <c r="H198">
        <v>3713739</v>
      </c>
      <c r="I198">
        <v>28495</v>
      </c>
      <c r="J198">
        <v>4597158</v>
      </c>
      <c r="K198">
        <v>31030</v>
      </c>
      <c r="L198" t="s">
        <v>936</v>
      </c>
      <c r="M198" t="s">
        <v>946</v>
      </c>
    </row>
    <row r="199" spans="1:13" x14ac:dyDescent="0.3">
      <c r="A199" t="s">
        <v>856</v>
      </c>
      <c r="B199">
        <v>155</v>
      </c>
      <c r="C199">
        <v>681708</v>
      </c>
      <c r="D199">
        <v>13637</v>
      </c>
      <c r="E199">
        <v>0</v>
      </c>
      <c r="F199">
        <v>0</v>
      </c>
      <c r="G199">
        <v>117371929</v>
      </c>
      <c r="H199">
        <v>1562395</v>
      </c>
      <c r="I199">
        <v>38444</v>
      </c>
      <c r="J199">
        <v>37620030</v>
      </c>
      <c r="K199">
        <v>17328</v>
      </c>
      <c r="L199" t="s">
        <v>936</v>
      </c>
      <c r="M199" t="s">
        <v>939</v>
      </c>
    </row>
    <row r="200" spans="1:13" x14ac:dyDescent="0.3">
      <c r="A200" t="s">
        <v>901</v>
      </c>
      <c r="B200">
        <v>199</v>
      </c>
      <c r="C200">
        <v>3241297</v>
      </c>
      <c r="D200">
        <v>4654</v>
      </c>
      <c r="E200">
        <v>0</v>
      </c>
      <c r="F200">
        <v>853698</v>
      </c>
      <c r="G200">
        <v>95152015</v>
      </c>
      <c r="H200">
        <v>224029</v>
      </c>
      <c r="I200">
        <v>23752</v>
      </c>
      <c r="J200">
        <v>51043346</v>
      </c>
      <c r="K200">
        <v>23610</v>
      </c>
      <c r="L200" t="s">
        <v>936</v>
      </c>
      <c r="M200" t="s">
        <v>937</v>
      </c>
    </row>
    <row r="201" spans="1:13" x14ac:dyDescent="0.3">
      <c r="A201" t="s">
        <v>897</v>
      </c>
      <c r="B201">
        <v>196</v>
      </c>
      <c r="C201">
        <v>0</v>
      </c>
      <c r="D201">
        <v>0</v>
      </c>
      <c r="E201">
        <v>0</v>
      </c>
      <c r="F201">
        <v>0</v>
      </c>
      <c r="G201">
        <v>56342414</v>
      </c>
      <c r="H201">
        <v>305271</v>
      </c>
      <c r="I201">
        <v>5816</v>
      </c>
      <c r="J201">
        <v>2216756</v>
      </c>
      <c r="K201">
        <v>23480</v>
      </c>
      <c r="L201" t="s">
        <v>936</v>
      </c>
      <c r="M201" t="s">
        <v>937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0721-02F7-489F-96F2-B8C2F4015005}">
  <dimension ref="A1:M201"/>
  <sheetViews>
    <sheetView workbookViewId="0">
      <selection activeCell="K12" sqref="K12"/>
    </sheetView>
  </sheetViews>
  <sheetFormatPr defaultRowHeight="16.5" x14ac:dyDescent="0.3"/>
  <sheetData>
    <row r="1" spans="1:13" x14ac:dyDescent="0.3">
      <c r="A1" t="s">
        <v>923</v>
      </c>
      <c r="B1" t="s">
        <v>924</v>
      </c>
      <c r="C1" t="s">
        <v>925</v>
      </c>
      <c r="D1" t="s">
        <v>926</v>
      </c>
      <c r="E1" t="s">
        <v>927</v>
      </c>
      <c r="F1" t="s">
        <v>928</v>
      </c>
      <c r="G1" t="s">
        <v>929</v>
      </c>
      <c r="H1" t="s">
        <v>930</v>
      </c>
      <c r="I1" t="s">
        <v>931</v>
      </c>
      <c r="J1" t="s">
        <v>932</v>
      </c>
      <c r="K1" t="s">
        <v>933</v>
      </c>
      <c r="L1" t="s">
        <v>934</v>
      </c>
      <c r="M1" t="s">
        <v>935</v>
      </c>
    </row>
    <row r="2" spans="1:13" x14ac:dyDescent="0.3">
      <c r="A2" t="s">
        <v>740</v>
      </c>
      <c r="B2">
        <v>1</v>
      </c>
      <c r="C2">
        <v>81989483</v>
      </c>
      <c r="D2">
        <v>1373166</v>
      </c>
      <c r="E2">
        <v>8141</v>
      </c>
      <c r="F2">
        <v>0</v>
      </c>
      <c r="G2">
        <v>532071206</v>
      </c>
      <c r="H2">
        <v>7803783</v>
      </c>
      <c r="I2">
        <v>110575</v>
      </c>
      <c r="J2">
        <v>2709594</v>
      </c>
      <c r="K2">
        <v>40910</v>
      </c>
      <c r="L2" t="s">
        <v>936</v>
      </c>
      <c r="M2" t="s">
        <v>944</v>
      </c>
    </row>
    <row r="3" spans="1:13" x14ac:dyDescent="0.3">
      <c r="A3" t="s">
        <v>742</v>
      </c>
      <c r="B3">
        <v>2</v>
      </c>
      <c r="C3">
        <v>80421510</v>
      </c>
      <c r="D3">
        <v>1459498</v>
      </c>
      <c r="E3">
        <v>1479</v>
      </c>
      <c r="F3">
        <v>0</v>
      </c>
      <c r="G3">
        <v>520413676</v>
      </c>
      <c r="H3">
        <v>7375855</v>
      </c>
      <c r="I3">
        <v>54929</v>
      </c>
      <c r="J3">
        <v>2762893</v>
      </c>
      <c r="K3">
        <v>42110</v>
      </c>
      <c r="L3" t="s">
        <v>936</v>
      </c>
      <c r="M3" t="s">
        <v>937</v>
      </c>
    </row>
    <row r="4" spans="1:13" x14ac:dyDescent="0.3">
      <c r="A4" t="s">
        <v>938</v>
      </c>
      <c r="B4">
        <v>4</v>
      </c>
      <c r="C4">
        <v>66709641</v>
      </c>
      <c r="D4">
        <v>1375719</v>
      </c>
      <c r="E4">
        <v>777</v>
      </c>
      <c r="F4">
        <v>0</v>
      </c>
      <c r="G4">
        <v>513569588</v>
      </c>
      <c r="H4">
        <v>6994041</v>
      </c>
      <c r="I4">
        <v>35438</v>
      </c>
      <c r="J4">
        <v>3237273</v>
      </c>
      <c r="K4">
        <v>45120</v>
      </c>
      <c r="L4" t="s">
        <v>936</v>
      </c>
      <c r="M4" t="s">
        <v>939</v>
      </c>
    </row>
    <row r="5" spans="1:13" x14ac:dyDescent="0.3">
      <c r="A5" t="s">
        <v>598</v>
      </c>
      <c r="B5">
        <v>3</v>
      </c>
      <c r="C5">
        <v>68630542</v>
      </c>
      <c r="D5">
        <v>1172448</v>
      </c>
      <c r="E5">
        <v>4448</v>
      </c>
      <c r="F5">
        <v>0</v>
      </c>
      <c r="G5">
        <v>495413652</v>
      </c>
      <c r="H5">
        <v>6855465</v>
      </c>
      <c r="I5">
        <v>53905</v>
      </c>
      <c r="J5">
        <v>3882655</v>
      </c>
      <c r="K5">
        <v>40833</v>
      </c>
      <c r="L5" t="s">
        <v>936</v>
      </c>
      <c r="M5" t="s">
        <v>945</v>
      </c>
    </row>
    <row r="6" spans="1:13" x14ac:dyDescent="0.3">
      <c r="A6" t="s">
        <v>743</v>
      </c>
      <c r="B6">
        <v>6</v>
      </c>
      <c r="C6">
        <v>69636374</v>
      </c>
      <c r="D6">
        <v>1268708</v>
      </c>
      <c r="E6">
        <v>394</v>
      </c>
      <c r="F6">
        <v>0</v>
      </c>
      <c r="G6">
        <v>461178795</v>
      </c>
      <c r="H6">
        <v>6795026</v>
      </c>
      <c r="I6">
        <v>53727</v>
      </c>
      <c r="J6">
        <v>2727930</v>
      </c>
      <c r="K6">
        <v>40680</v>
      </c>
      <c r="L6" t="s">
        <v>936</v>
      </c>
      <c r="M6" t="s">
        <v>940</v>
      </c>
    </row>
    <row r="7" spans="1:13" x14ac:dyDescent="0.3">
      <c r="A7" t="s">
        <v>744</v>
      </c>
      <c r="B7">
        <v>7</v>
      </c>
      <c r="C7">
        <v>67382500</v>
      </c>
      <c r="D7">
        <v>1368716</v>
      </c>
      <c r="E7">
        <v>1609</v>
      </c>
      <c r="F7">
        <v>0</v>
      </c>
      <c r="G7">
        <v>494585359</v>
      </c>
      <c r="H7">
        <v>6677276</v>
      </c>
      <c r="I7">
        <v>47312</v>
      </c>
      <c r="J7">
        <v>8203813</v>
      </c>
      <c r="K7">
        <v>47200</v>
      </c>
      <c r="L7" t="s">
        <v>936</v>
      </c>
      <c r="M7" t="s">
        <v>939</v>
      </c>
    </row>
    <row r="8" spans="1:13" x14ac:dyDescent="0.3">
      <c r="A8" t="s">
        <v>741</v>
      </c>
      <c r="B8">
        <v>5</v>
      </c>
      <c r="C8">
        <v>54587525</v>
      </c>
      <c r="D8">
        <v>1067955</v>
      </c>
      <c r="E8">
        <v>350</v>
      </c>
      <c r="F8">
        <v>0</v>
      </c>
      <c r="G8">
        <v>442061564</v>
      </c>
      <c r="H8">
        <v>6627497</v>
      </c>
      <c r="I8">
        <v>31623</v>
      </c>
      <c r="J8">
        <v>2802676</v>
      </c>
      <c r="K8">
        <v>36300</v>
      </c>
      <c r="L8" t="s">
        <v>936</v>
      </c>
      <c r="M8" t="s">
        <v>940</v>
      </c>
    </row>
    <row r="9" spans="1:13" x14ac:dyDescent="0.3">
      <c r="A9" t="s">
        <v>745</v>
      </c>
      <c r="B9">
        <v>10</v>
      </c>
      <c r="C9">
        <v>52223727</v>
      </c>
      <c r="D9">
        <v>1113946</v>
      </c>
      <c r="E9">
        <v>1301</v>
      </c>
      <c r="F9">
        <v>0</v>
      </c>
      <c r="G9">
        <v>434984547</v>
      </c>
      <c r="H9">
        <v>6440799</v>
      </c>
      <c r="I9">
        <v>62361</v>
      </c>
      <c r="J9">
        <v>3058362</v>
      </c>
      <c r="K9">
        <v>42190</v>
      </c>
      <c r="L9" t="s">
        <v>936</v>
      </c>
      <c r="M9" t="s">
        <v>943</v>
      </c>
    </row>
    <row r="10" spans="1:13" x14ac:dyDescent="0.3">
      <c r="A10" t="s">
        <v>941</v>
      </c>
      <c r="B10">
        <v>8</v>
      </c>
      <c r="C10">
        <v>72206269</v>
      </c>
      <c r="D10">
        <v>1226311</v>
      </c>
      <c r="E10">
        <v>520</v>
      </c>
      <c r="F10">
        <v>0</v>
      </c>
      <c r="G10">
        <v>456289147</v>
      </c>
      <c r="H10">
        <v>6394005</v>
      </c>
      <c r="I10">
        <v>40689</v>
      </c>
      <c r="J10">
        <v>2702688</v>
      </c>
      <c r="K10">
        <v>43040</v>
      </c>
      <c r="L10" t="s">
        <v>936</v>
      </c>
      <c r="M10" t="s">
        <v>942</v>
      </c>
    </row>
    <row r="11" spans="1:13" x14ac:dyDescent="0.3">
      <c r="A11" t="s">
        <v>746</v>
      </c>
      <c r="B11">
        <v>9</v>
      </c>
      <c r="C11">
        <v>64769311</v>
      </c>
      <c r="D11">
        <v>1236123</v>
      </c>
      <c r="E11">
        <v>5473</v>
      </c>
      <c r="F11">
        <v>0</v>
      </c>
      <c r="G11">
        <v>427390862</v>
      </c>
      <c r="H11">
        <v>6269555</v>
      </c>
      <c r="I11">
        <v>57895</v>
      </c>
      <c r="J11">
        <v>2964363</v>
      </c>
      <c r="K11">
        <v>38543</v>
      </c>
      <c r="L11" t="s">
        <v>936</v>
      </c>
      <c r="M11" t="s">
        <v>943</v>
      </c>
    </row>
    <row r="12" spans="1:13" x14ac:dyDescent="0.3">
      <c r="A12" t="s">
        <v>747</v>
      </c>
      <c r="B12">
        <v>11</v>
      </c>
      <c r="C12">
        <v>71620826</v>
      </c>
      <c r="D12">
        <v>1087776</v>
      </c>
      <c r="E12">
        <v>14501</v>
      </c>
      <c r="F12">
        <v>0</v>
      </c>
      <c r="G12">
        <v>464016276</v>
      </c>
      <c r="H12">
        <v>5943508</v>
      </c>
      <c r="I12">
        <v>102173</v>
      </c>
      <c r="J12">
        <v>2761789</v>
      </c>
      <c r="K12">
        <v>42070</v>
      </c>
      <c r="L12" t="s">
        <v>936</v>
      </c>
      <c r="M12" t="s">
        <v>943</v>
      </c>
    </row>
    <row r="13" spans="1:13" x14ac:dyDescent="0.3">
      <c r="A13" t="s">
        <v>752</v>
      </c>
      <c r="B13">
        <v>13</v>
      </c>
      <c r="C13">
        <v>52985698</v>
      </c>
      <c r="D13">
        <v>1062980</v>
      </c>
      <c r="E13">
        <v>2962</v>
      </c>
      <c r="F13">
        <v>0</v>
      </c>
      <c r="G13">
        <v>416990724</v>
      </c>
      <c r="H13">
        <v>5728820</v>
      </c>
      <c r="I13">
        <v>62255</v>
      </c>
      <c r="J13">
        <v>3457225</v>
      </c>
      <c r="K13">
        <v>44480</v>
      </c>
      <c r="L13" t="s">
        <v>936</v>
      </c>
      <c r="M13" t="s">
        <v>943</v>
      </c>
    </row>
    <row r="14" spans="1:13" x14ac:dyDescent="0.3">
      <c r="A14" t="s">
        <v>751</v>
      </c>
      <c r="B14">
        <v>15</v>
      </c>
      <c r="C14">
        <v>49666321</v>
      </c>
      <c r="D14">
        <v>1001863</v>
      </c>
      <c r="E14">
        <v>705</v>
      </c>
      <c r="F14">
        <v>0</v>
      </c>
      <c r="G14">
        <v>383770115</v>
      </c>
      <c r="H14">
        <v>5628410</v>
      </c>
      <c r="I14">
        <v>46851</v>
      </c>
      <c r="J14">
        <v>4819625</v>
      </c>
      <c r="K14">
        <v>40060</v>
      </c>
      <c r="L14" t="s">
        <v>936</v>
      </c>
      <c r="M14" t="s">
        <v>939</v>
      </c>
    </row>
    <row r="15" spans="1:13" x14ac:dyDescent="0.3">
      <c r="A15" t="s">
        <v>753</v>
      </c>
      <c r="B15">
        <v>16</v>
      </c>
      <c r="C15">
        <v>62719632</v>
      </c>
      <c r="D15">
        <v>889724</v>
      </c>
      <c r="E15">
        <v>1555</v>
      </c>
      <c r="F15">
        <v>0</v>
      </c>
      <c r="G15">
        <v>459778376</v>
      </c>
      <c r="H15">
        <v>5473237</v>
      </c>
      <c r="I15">
        <v>41451</v>
      </c>
      <c r="J15">
        <v>2702231</v>
      </c>
      <c r="K15">
        <v>37790</v>
      </c>
      <c r="L15" t="s">
        <v>936</v>
      </c>
      <c r="M15" t="s">
        <v>939</v>
      </c>
    </row>
    <row r="16" spans="1:13" x14ac:dyDescent="0.3">
      <c r="A16" t="s">
        <v>599</v>
      </c>
      <c r="B16">
        <v>18</v>
      </c>
      <c r="C16">
        <v>41740189</v>
      </c>
      <c r="D16">
        <v>872921</v>
      </c>
      <c r="E16">
        <v>550</v>
      </c>
      <c r="F16">
        <v>0</v>
      </c>
      <c r="G16">
        <v>409104866</v>
      </c>
      <c r="H16">
        <v>5447389</v>
      </c>
      <c r="I16">
        <v>43491</v>
      </c>
      <c r="J16">
        <v>2707023</v>
      </c>
      <c r="K16">
        <v>41690</v>
      </c>
      <c r="L16" t="s">
        <v>936</v>
      </c>
      <c r="M16" t="s">
        <v>945</v>
      </c>
    </row>
    <row r="17" spans="1:13" x14ac:dyDescent="0.3">
      <c r="A17" t="s">
        <v>749</v>
      </c>
      <c r="B17">
        <v>14</v>
      </c>
      <c r="C17">
        <v>45284077</v>
      </c>
      <c r="D17">
        <v>894279</v>
      </c>
      <c r="E17">
        <v>1339</v>
      </c>
      <c r="F17">
        <v>0</v>
      </c>
      <c r="G17">
        <v>410783181</v>
      </c>
      <c r="H17">
        <v>5445341</v>
      </c>
      <c r="I17">
        <v>43718</v>
      </c>
      <c r="J17">
        <v>3448225</v>
      </c>
      <c r="K17">
        <v>44490</v>
      </c>
      <c r="L17" t="s">
        <v>936</v>
      </c>
      <c r="M17" t="s">
        <v>940</v>
      </c>
    </row>
    <row r="18" spans="1:13" x14ac:dyDescent="0.3">
      <c r="A18" t="s">
        <v>748</v>
      </c>
      <c r="B18">
        <v>12</v>
      </c>
      <c r="C18">
        <v>40761545</v>
      </c>
      <c r="D18">
        <v>816401</v>
      </c>
      <c r="E18">
        <v>514</v>
      </c>
      <c r="F18">
        <v>0</v>
      </c>
      <c r="G18">
        <v>453553310</v>
      </c>
      <c r="H18">
        <v>5409808</v>
      </c>
      <c r="I18">
        <v>29239</v>
      </c>
      <c r="J18">
        <v>2770716</v>
      </c>
      <c r="K18">
        <v>35530</v>
      </c>
      <c r="L18" t="s">
        <v>936</v>
      </c>
      <c r="M18" t="s">
        <v>937</v>
      </c>
    </row>
    <row r="19" spans="1:13" x14ac:dyDescent="0.3">
      <c r="A19" t="s">
        <v>755</v>
      </c>
      <c r="B19">
        <v>19</v>
      </c>
      <c r="C19">
        <v>55042939</v>
      </c>
      <c r="D19">
        <v>1091850</v>
      </c>
      <c r="E19">
        <v>13103</v>
      </c>
      <c r="F19">
        <v>0</v>
      </c>
      <c r="G19">
        <v>406096852</v>
      </c>
      <c r="H19">
        <v>5282824</v>
      </c>
      <c r="I19">
        <v>119122</v>
      </c>
      <c r="J19">
        <v>6912971</v>
      </c>
      <c r="K19">
        <v>40450</v>
      </c>
      <c r="L19" t="s">
        <v>936</v>
      </c>
      <c r="M19" t="s">
        <v>940</v>
      </c>
    </row>
    <row r="20" spans="1:13" x14ac:dyDescent="0.3">
      <c r="A20" t="s">
        <v>758</v>
      </c>
      <c r="B20">
        <v>22</v>
      </c>
      <c r="C20">
        <v>66980224</v>
      </c>
      <c r="D20">
        <v>997995</v>
      </c>
      <c r="E20">
        <v>5300</v>
      </c>
      <c r="F20">
        <v>0</v>
      </c>
      <c r="G20">
        <v>383024081</v>
      </c>
      <c r="H20">
        <v>5209521</v>
      </c>
      <c r="I20">
        <v>47094</v>
      </c>
      <c r="J20">
        <v>2705074</v>
      </c>
      <c r="K20">
        <v>40543</v>
      </c>
      <c r="L20" t="s">
        <v>936</v>
      </c>
      <c r="M20" t="s">
        <v>939</v>
      </c>
    </row>
    <row r="21" spans="1:13" x14ac:dyDescent="0.3">
      <c r="A21" t="s">
        <v>750</v>
      </c>
      <c r="B21">
        <v>17</v>
      </c>
      <c r="C21">
        <v>43596717</v>
      </c>
      <c r="D21">
        <v>871612</v>
      </c>
      <c r="E21">
        <v>1372</v>
      </c>
      <c r="F21">
        <v>0</v>
      </c>
      <c r="G21">
        <v>347875766</v>
      </c>
      <c r="H21">
        <v>5144670</v>
      </c>
      <c r="I21">
        <v>38063</v>
      </c>
      <c r="J21">
        <v>2726006</v>
      </c>
      <c r="K21">
        <v>40720</v>
      </c>
      <c r="L21" t="s">
        <v>936</v>
      </c>
      <c r="M21" t="s">
        <v>940</v>
      </c>
    </row>
    <row r="22" spans="1:13" x14ac:dyDescent="0.3">
      <c r="A22" t="s">
        <v>756</v>
      </c>
      <c r="B22">
        <v>21</v>
      </c>
      <c r="C22">
        <v>41323777</v>
      </c>
      <c r="D22">
        <v>898063</v>
      </c>
      <c r="E22">
        <v>902</v>
      </c>
      <c r="F22">
        <v>81327</v>
      </c>
      <c r="G22">
        <v>352283838</v>
      </c>
      <c r="H22">
        <v>5114273</v>
      </c>
      <c r="I22">
        <v>55605</v>
      </c>
      <c r="J22">
        <v>3079272</v>
      </c>
      <c r="K22">
        <v>38053</v>
      </c>
      <c r="L22" t="s">
        <v>936</v>
      </c>
      <c r="M22" t="s">
        <v>945</v>
      </c>
    </row>
    <row r="23" spans="1:13" x14ac:dyDescent="0.3">
      <c r="A23" t="s">
        <v>761</v>
      </c>
      <c r="B23">
        <v>26</v>
      </c>
      <c r="C23">
        <v>42612006</v>
      </c>
      <c r="D23">
        <v>936972</v>
      </c>
      <c r="E23">
        <v>7647</v>
      </c>
      <c r="F23">
        <v>133675</v>
      </c>
      <c r="G23">
        <v>400125201</v>
      </c>
      <c r="H23">
        <v>5094357</v>
      </c>
      <c r="I23">
        <v>62773</v>
      </c>
      <c r="J23">
        <v>5426407</v>
      </c>
      <c r="K23">
        <v>40890</v>
      </c>
      <c r="L23" t="s">
        <v>936</v>
      </c>
      <c r="M23" t="s">
        <v>945</v>
      </c>
    </row>
    <row r="24" spans="1:13" x14ac:dyDescent="0.3">
      <c r="A24" t="s">
        <v>757</v>
      </c>
      <c r="B24">
        <v>23</v>
      </c>
      <c r="C24">
        <v>47354025</v>
      </c>
      <c r="D24">
        <v>931297</v>
      </c>
      <c r="E24">
        <v>197</v>
      </c>
      <c r="F24">
        <v>0</v>
      </c>
      <c r="G24">
        <v>362117480</v>
      </c>
      <c r="H24">
        <v>5040307</v>
      </c>
      <c r="I24">
        <v>36538</v>
      </c>
      <c r="J24">
        <v>2782290</v>
      </c>
      <c r="K24">
        <v>37000</v>
      </c>
      <c r="L24" t="s">
        <v>936</v>
      </c>
      <c r="M24" t="s">
        <v>942</v>
      </c>
    </row>
    <row r="25" spans="1:13" x14ac:dyDescent="0.3">
      <c r="A25" t="s">
        <v>754</v>
      </c>
      <c r="B25">
        <v>20</v>
      </c>
      <c r="C25">
        <v>61895377</v>
      </c>
      <c r="D25">
        <v>898804</v>
      </c>
      <c r="E25">
        <v>631</v>
      </c>
      <c r="F25">
        <v>0</v>
      </c>
      <c r="G25">
        <v>359756684</v>
      </c>
      <c r="H25">
        <v>4960832</v>
      </c>
      <c r="I25">
        <v>32007</v>
      </c>
      <c r="J25">
        <v>3859526</v>
      </c>
      <c r="K25">
        <v>39923</v>
      </c>
      <c r="L25" t="s">
        <v>936</v>
      </c>
      <c r="M25" t="s">
        <v>942</v>
      </c>
    </row>
    <row r="26" spans="1:13" x14ac:dyDescent="0.3">
      <c r="A26" t="s">
        <v>760</v>
      </c>
      <c r="B26">
        <v>24</v>
      </c>
      <c r="C26">
        <v>53914278</v>
      </c>
      <c r="D26">
        <v>887427</v>
      </c>
      <c r="E26">
        <v>1050</v>
      </c>
      <c r="F26">
        <v>0</v>
      </c>
      <c r="G26">
        <v>591283464</v>
      </c>
      <c r="H26">
        <v>4872381</v>
      </c>
      <c r="I26">
        <v>35534</v>
      </c>
      <c r="J26">
        <v>4082120</v>
      </c>
      <c r="K26">
        <v>44193</v>
      </c>
      <c r="L26" t="s">
        <v>936</v>
      </c>
      <c r="M26" t="s">
        <v>940</v>
      </c>
    </row>
    <row r="27" spans="1:13" x14ac:dyDescent="0.3">
      <c r="A27" t="s">
        <v>765</v>
      </c>
      <c r="B27">
        <v>29</v>
      </c>
      <c r="C27">
        <v>50510544</v>
      </c>
      <c r="D27">
        <v>895909</v>
      </c>
      <c r="E27">
        <v>6500</v>
      </c>
      <c r="F27">
        <v>0</v>
      </c>
      <c r="G27">
        <v>370692977</v>
      </c>
      <c r="H27">
        <v>4868576</v>
      </c>
      <c r="I27">
        <v>76674</v>
      </c>
      <c r="J27">
        <v>3463910</v>
      </c>
      <c r="K27">
        <v>43723</v>
      </c>
      <c r="L27" t="s">
        <v>936</v>
      </c>
      <c r="M27" t="s">
        <v>946</v>
      </c>
    </row>
    <row r="28" spans="1:13" x14ac:dyDescent="0.3">
      <c r="A28" t="s">
        <v>759</v>
      </c>
      <c r="B28">
        <v>25</v>
      </c>
      <c r="C28">
        <v>39486596</v>
      </c>
      <c r="D28">
        <v>794181</v>
      </c>
      <c r="E28">
        <v>4602</v>
      </c>
      <c r="F28">
        <v>0</v>
      </c>
      <c r="G28">
        <v>384043077</v>
      </c>
      <c r="H28">
        <v>4822379</v>
      </c>
      <c r="I28">
        <v>66089</v>
      </c>
      <c r="J28">
        <v>3467961</v>
      </c>
      <c r="K28">
        <v>45090</v>
      </c>
      <c r="L28" t="s">
        <v>936</v>
      </c>
      <c r="M28" t="s">
        <v>946</v>
      </c>
    </row>
    <row r="29" spans="1:13" x14ac:dyDescent="0.3">
      <c r="A29" t="s">
        <v>785</v>
      </c>
      <c r="B29">
        <v>51</v>
      </c>
      <c r="C29">
        <v>39809498</v>
      </c>
      <c r="D29">
        <v>902281</v>
      </c>
      <c r="E29">
        <v>21118</v>
      </c>
      <c r="F29">
        <v>0</v>
      </c>
      <c r="G29">
        <v>295621855</v>
      </c>
      <c r="H29">
        <v>4764724</v>
      </c>
      <c r="I29">
        <v>131132</v>
      </c>
      <c r="J29">
        <v>3404300</v>
      </c>
      <c r="K29">
        <v>39110</v>
      </c>
      <c r="L29" t="s">
        <v>936</v>
      </c>
      <c r="M29" t="s">
        <v>946</v>
      </c>
    </row>
    <row r="30" spans="1:13" x14ac:dyDescent="0.3">
      <c r="A30" t="s">
        <v>767</v>
      </c>
      <c r="B30">
        <v>30</v>
      </c>
      <c r="C30">
        <v>46403469</v>
      </c>
      <c r="D30">
        <v>818150</v>
      </c>
      <c r="E30">
        <v>7300</v>
      </c>
      <c r="F30">
        <v>0</v>
      </c>
      <c r="G30">
        <v>353048158</v>
      </c>
      <c r="H30">
        <v>4703030</v>
      </c>
      <c r="I30">
        <v>74614</v>
      </c>
      <c r="J30">
        <v>3135417</v>
      </c>
      <c r="K30">
        <v>37850</v>
      </c>
      <c r="L30" t="s">
        <v>936</v>
      </c>
      <c r="M30" t="s">
        <v>944</v>
      </c>
    </row>
    <row r="31" spans="1:13" x14ac:dyDescent="0.3">
      <c r="A31" t="s">
        <v>949</v>
      </c>
      <c r="B31">
        <v>31</v>
      </c>
      <c r="C31">
        <v>39526788</v>
      </c>
      <c r="D31">
        <v>838347</v>
      </c>
      <c r="E31">
        <v>451</v>
      </c>
      <c r="F31">
        <v>0</v>
      </c>
      <c r="G31">
        <v>332492616</v>
      </c>
      <c r="H31">
        <v>4700214</v>
      </c>
      <c r="I31">
        <v>61840</v>
      </c>
      <c r="J31">
        <v>3815296</v>
      </c>
      <c r="K31">
        <v>39300</v>
      </c>
      <c r="L31" t="s">
        <v>936</v>
      </c>
      <c r="M31" t="s">
        <v>945</v>
      </c>
    </row>
    <row r="32" spans="1:13" x14ac:dyDescent="0.3">
      <c r="A32" t="s">
        <v>769</v>
      </c>
      <c r="B32">
        <v>35</v>
      </c>
      <c r="C32">
        <v>41168903</v>
      </c>
      <c r="D32">
        <v>841481</v>
      </c>
      <c r="E32">
        <v>1253</v>
      </c>
      <c r="F32">
        <v>0</v>
      </c>
      <c r="G32">
        <v>327113566</v>
      </c>
      <c r="H32">
        <v>4647798</v>
      </c>
      <c r="I32">
        <v>45389</v>
      </c>
      <c r="J32">
        <v>3310084</v>
      </c>
      <c r="K32">
        <v>41530</v>
      </c>
      <c r="L32" t="s">
        <v>936</v>
      </c>
      <c r="M32" t="s">
        <v>939</v>
      </c>
    </row>
    <row r="33" spans="1:13" x14ac:dyDescent="0.3">
      <c r="A33" t="s">
        <v>797</v>
      </c>
      <c r="B33">
        <v>64</v>
      </c>
      <c r="C33">
        <v>40404535</v>
      </c>
      <c r="D33">
        <v>914804</v>
      </c>
      <c r="E33">
        <v>24841</v>
      </c>
      <c r="F33">
        <v>0</v>
      </c>
      <c r="G33">
        <v>320063197</v>
      </c>
      <c r="H33">
        <v>4634623</v>
      </c>
      <c r="I33">
        <v>148642</v>
      </c>
      <c r="J33">
        <v>5856448</v>
      </c>
      <c r="K33">
        <v>39590</v>
      </c>
      <c r="L33" t="s">
        <v>936</v>
      </c>
      <c r="M33" t="s">
        <v>939</v>
      </c>
    </row>
    <row r="34" spans="1:13" x14ac:dyDescent="0.3">
      <c r="A34" t="s">
        <v>762</v>
      </c>
      <c r="B34">
        <v>27</v>
      </c>
      <c r="C34">
        <v>51307388</v>
      </c>
      <c r="D34">
        <v>816371</v>
      </c>
      <c r="E34">
        <v>5678</v>
      </c>
      <c r="F34">
        <v>0</v>
      </c>
      <c r="G34">
        <v>393174619</v>
      </c>
      <c r="H34">
        <v>4588590</v>
      </c>
      <c r="I34">
        <v>68847</v>
      </c>
      <c r="J34">
        <v>4079718</v>
      </c>
      <c r="K34">
        <v>43569</v>
      </c>
      <c r="L34" t="s">
        <v>936</v>
      </c>
      <c r="M34" t="s">
        <v>937</v>
      </c>
    </row>
    <row r="35" spans="1:13" x14ac:dyDescent="0.3">
      <c r="A35" t="s">
        <v>776</v>
      </c>
      <c r="B35">
        <v>40</v>
      </c>
      <c r="C35">
        <v>56970762</v>
      </c>
      <c r="D35">
        <v>898933</v>
      </c>
      <c r="E35">
        <v>451</v>
      </c>
      <c r="F35">
        <v>0</v>
      </c>
      <c r="G35">
        <v>354436517</v>
      </c>
      <c r="H35">
        <v>4553821</v>
      </c>
      <c r="I35">
        <v>31461</v>
      </c>
      <c r="J35">
        <v>19401162</v>
      </c>
      <c r="K35">
        <v>42890</v>
      </c>
      <c r="L35" t="s">
        <v>936</v>
      </c>
      <c r="M35" t="s">
        <v>939</v>
      </c>
    </row>
    <row r="36" spans="1:13" x14ac:dyDescent="0.3">
      <c r="A36" t="s">
        <v>773</v>
      </c>
      <c r="B36">
        <v>38</v>
      </c>
      <c r="C36">
        <v>37534600</v>
      </c>
      <c r="D36">
        <v>822833</v>
      </c>
      <c r="E36">
        <v>350</v>
      </c>
      <c r="F36">
        <v>0</v>
      </c>
      <c r="G36">
        <v>345782438</v>
      </c>
      <c r="H36">
        <v>4525677</v>
      </c>
      <c r="I36">
        <v>63434</v>
      </c>
      <c r="J36">
        <v>3727713</v>
      </c>
      <c r="K36">
        <v>42036</v>
      </c>
      <c r="L36" t="s">
        <v>936</v>
      </c>
      <c r="M36" t="s">
        <v>946</v>
      </c>
    </row>
    <row r="37" spans="1:13" x14ac:dyDescent="0.3">
      <c r="A37" t="s">
        <v>763</v>
      </c>
      <c r="B37">
        <v>28</v>
      </c>
      <c r="C37">
        <v>37482396</v>
      </c>
      <c r="D37">
        <v>742658</v>
      </c>
      <c r="E37">
        <v>588</v>
      </c>
      <c r="F37">
        <v>0</v>
      </c>
      <c r="G37">
        <v>311520219</v>
      </c>
      <c r="H37">
        <v>4517219</v>
      </c>
      <c r="I37">
        <v>43894</v>
      </c>
      <c r="J37">
        <v>2990195</v>
      </c>
      <c r="K37">
        <v>35500</v>
      </c>
      <c r="L37" t="s">
        <v>936</v>
      </c>
      <c r="M37" t="s">
        <v>940</v>
      </c>
    </row>
    <row r="38" spans="1:13" x14ac:dyDescent="0.3">
      <c r="A38" t="s">
        <v>774</v>
      </c>
      <c r="B38">
        <v>34</v>
      </c>
      <c r="C38">
        <v>47693312</v>
      </c>
      <c r="D38">
        <v>884377</v>
      </c>
      <c r="E38">
        <v>350</v>
      </c>
      <c r="F38">
        <v>0</v>
      </c>
      <c r="G38">
        <v>355735754</v>
      </c>
      <c r="H38">
        <v>4431229</v>
      </c>
      <c r="I38">
        <v>32608</v>
      </c>
      <c r="J38">
        <v>4422108</v>
      </c>
      <c r="K38">
        <v>36940</v>
      </c>
      <c r="L38" t="s">
        <v>936</v>
      </c>
      <c r="M38" t="s">
        <v>946</v>
      </c>
    </row>
    <row r="39" spans="1:13" x14ac:dyDescent="0.3">
      <c r="A39" t="s">
        <v>772</v>
      </c>
      <c r="B39">
        <v>36</v>
      </c>
      <c r="C39">
        <v>42570010</v>
      </c>
      <c r="D39">
        <v>909573</v>
      </c>
      <c r="E39">
        <v>780</v>
      </c>
      <c r="F39">
        <v>0</v>
      </c>
      <c r="G39">
        <v>354567844</v>
      </c>
      <c r="H39">
        <v>4429849</v>
      </c>
      <c r="I39">
        <v>62346</v>
      </c>
      <c r="J39">
        <v>2504414</v>
      </c>
      <c r="K39">
        <v>39203</v>
      </c>
      <c r="L39" t="s">
        <v>936</v>
      </c>
      <c r="M39" t="s">
        <v>946</v>
      </c>
    </row>
    <row r="40" spans="1:13" x14ac:dyDescent="0.3">
      <c r="A40" t="s">
        <v>770</v>
      </c>
      <c r="B40">
        <v>32</v>
      </c>
      <c r="C40">
        <v>45557586</v>
      </c>
      <c r="D40">
        <v>815142</v>
      </c>
      <c r="E40">
        <v>4127</v>
      </c>
      <c r="F40">
        <v>0</v>
      </c>
      <c r="G40">
        <v>378603782</v>
      </c>
      <c r="H40">
        <v>4424109</v>
      </c>
      <c r="I40">
        <v>65134</v>
      </c>
      <c r="J40">
        <v>2702575</v>
      </c>
      <c r="K40">
        <v>39530</v>
      </c>
      <c r="L40" t="s">
        <v>936</v>
      </c>
      <c r="M40" t="s">
        <v>940</v>
      </c>
    </row>
    <row r="41" spans="1:13" x14ac:dyDescent="0.3">
      <c r="A41" t="s">
        <v>766</v>
      </c>
      <c r="B41">
        <v>33</v>
      </c>
      <c r="C41">
        <v>28834074</v>
      </c>
      <c r="D41">
        <v>570927</v>
      </c>
      <c r="E41">
        <v>404</v>
      </c>
      <c r="F41">
        <v>0</v>
      </c>
      <c r="G41">
        <v>346938505</v>
      </c>
      <c r="H41">
        <v>4385693</v>
      </c>
      <c r="I41">
        <v>58652</v>
      </c>
      <c r="J41">
        <v>2762450</v>
      </c>
      <c r="K41">
        <v>37630</v>
      </c>
      <c r="L41" t="s">
        <v>936</v>
      </c>
      <c r="M41" t="s">
        <v>937</v>
      </c>
    </row>
    <row r="42" spans="1:13" x14ac:dyDescent="0.3">
      <c r="A42" t="s">
        <v>955</v>
      </c>
      <c r="B42">
        <v>45</v>
      </c>
      <c r="C42">
        <v>52897311</v>
      </c>
      <c r="D42">
        <v>704124</v>
      </c>
      <c r="E42">
        <v>350</v>
      </c>
      <c r="F42">
        <v>0</v>
      </c>
      <c r="G42">
        <v>366255700</v>
      </c>
      <c r="H42">
        <v>4363968</v>
      </c>
      <c r="I42">
        <v>57962</v>
      </c>
      <c r="J42">
        <v>2743373</v>
      </c>
      <c r="K42">
        <v>42300</v>
      </c>
      <c r="L42" t="s">
        <v>936</v>
      </c>
      <c r="M42" t="s">
        <v>939</v>
      </c>
    </row>
    <row r="43" spans="1:13" x14ac:dyDescent="0.3">
      <c r="A43" t="s">
        <v>804</v>
      </c>
      <c r="B43">
        <v>65</v>
      </c>
      <c r="C43">
        <v>66558553</v>
      </c>
      <c r="D43">
        <v>1049062</v>
      </c>
      <c r="E43">
        <v>350</v>
      </c>
      <c r="F43">
        <v>0</v>
      </c>
      <c r="G43">
        <v>387509975</v>
      </c>
      <c r="H43">
        <v>4348963</v>
      </c>
      <c r="I43">
        <v>15261</v>
      </c>
      <c r="J43">
        <v>12260817</v>
      </c>
      <c r="K43">
        <v>39640</v>
      </c>
      <c r="L43" t="s">
        <v>936</v>
      </c>
      <c r="M43" t="s">
        <v>937</v>
      </c>
    </row>
    <row r="44" spans="1:13" x14ac:dyDescent="0.3">
      <c r="A44" t="s">
        <v>771</v>
      </c>
      <c r="B44">
        <v>37</v>
      </c>
      <c r="C44">
        <v>39037579</v>
      </c>
      <c r="D44">
        <v>811098</v>
      </c>
      <c r="E44">
        <v>500</v>
      </c>
      <c r="F44">
        <v>0</v>
      </c>
      <c r="G44">
        <v>306960275</v>
      </c>
      <c r="H44">
        <v>4347559</v>
      </c>
      <c r="I44">
        <v>48301</v>
      </c>
      <c r="J44">
        <v>3978341</v>
      </c>
      <c r="K44">
        <v>29006</v>
      </c>
      <c r="L44" t="s">
        <v>936</v>
      </c>
      <c r="M44" t="s">
        <v>939</v>
      </c>
    </row>
    <row r="45" spans="1:13" x14ac:dyDescent="0.3">
      <c r="A45" t="s">
        <v>783</v>
      </c>
      <c r="B45">
        <v>41</v>
      </c>
      <c r="C45">
        <v>62343881</v>
      </c>
      <c r="D45">
        <v>1006663</v>
      </c>
      <c r="E45">
        <v>300</v>
      </c>
      <c r="F45">
        <v>0</v>
      </c>
      <c r="G45">
        <v>348495334</v>
      </c>
      <c r="H45">
        <v>4343367</v>
      </c>
      <c r="I45">
        <v>57591</v>
      </c>
      <c r="J45">
        <v>2823608</v>
      </c>
      <c r="K45">
        <v>43220</v>
      </c>
      <c r="L45" t="s">
        <v>936</v>
      </c>
      <c r="M45" t="s">
        <v>945</v>
      </c>
    </row>
    <row r="46" spans="1:13" x14ac:dyDescent="0.3">
      <c r="A46" t="s">
        <v>780</v>
      </c>
      <c r="B46">
        <v>47</v>
      </c>
      <c r="C46">
        <v>50838201</v>
      </c>
      <c r="D46">
        <v>705614</v>
      </c>
      <c r="E46">
        <v>0</v>
      </c>
      <c r="F46">
        <v>0</v>
      </c>
      <c r="G46">
        <v>380740934</v>
      </c>
      <c r="H46">
        <v>4308953</v>
      </c>
      <c r="I46">
        <v>50577</v>
      </c>
      <c r="J46">
        <v>3385461</v>
      </c>
      <c r="K46">
        <v>38720</v>
      </c>
      <c r="L46" t="s">
        <v>936</v>
      </c>
      <c r="M46" t="s">
        <v>942</v>
      </c>
    </row>
    <row r="47" spans="1:13" x14ac:dyDescent="0.3">
      <c r="A47" t="s">
        <v>784</v>
      </c>
      <c r="B47">
        <v>46</v>
      </c>
      <c r="C47">
        <v>44245779</v>
      </c>
      <c r="D47">
        <v>837054</v>
      </c>
      <c r="E47">
        <v>0</v>
      </c>
      <c r="F47">
        <v>0</v>
      </c>
      <c r="G47">
        <v>358184683</v>
      </c>
      <c r="H47">
        <v>4304399</v>
      </c>
      <c r="I47">
        <v>69120</v>
      </c>
      <c r="J47">
        <v>5913914</v>
      </c>
      <c r="K47">
        <v>41750</v>
      </c>
      <c r="L47" t="s">
        <v>936</v>
      </c>
      <c r="M47" t="s">
        <v>942</v>
      </c>
    </row>
    <row r="48" spans="1:13" x14ac:dyDescent="0.3">
      <c r="A48" t="s">
        <v>786</v>
      </c>
      <c r="B48">
        <v>53</v>
      </c>
      <c r="C48">
        <v>61039569</v>
      </c>
      <c r="D48">
        <v>820069</v>
      </c>
      <c r="E48">
        <v>11180</v>
      </c>
      <c r="F48">
        <v>0</v>
      </c>
      <c r="G48">
        <v>380979336</v>
      </c>
      <c r="H48">
        <v>4298434</v>
      </c>
      <c r="I48">
        <v>71775</v>
      </c>
      <c r="J48">
        <v>2065216</v>
      </c>
      <c r="K48">
        <v>37770</v>
      </c>
      <c r="L48" t="s">
        <v>936</v>
      </c>
      <c r="M48" t="s">
        <v>940</v>
      </c>
    </row>
    <row r="49" spans="1:13" x14ac:dyDescent="0.3">
      <c r="A49" t="s">
        <v>775</v>
      </c>
      <c r="B49">
        <v>42</v>
      </c>
      <c r="C49">
        <v>35113605</v>
      </c>
      <c r="D49">
        <v>728871</v>
      </c>
      <c r="E49">
        <v>100</v>
      </c>
      <c r="F49">
        <v>0</v>
      </c>
      <c r="G49">
        <v>294766251</v>
      </c>
      <c r="H49">
        <v>4263740</v>
      </c>
      <c r="I49">
        <v>49560</v>
      </c>
      <c r="J49">
        <v>3406692</v>
      </c>
      <c r="K49">
        <v>37373</v>
      </c>
      <c r="L49" t="s">
        <v>936</v>
      </c>
      <c r="M49" t="s">
        <v>939</v>
      </c>
    </row>
    <row r="50" spans="1:13" x14ac:dyDescent="0.3">
      <c r="A50" t="s">
        <v>779</v>
      </c>
      <c r="B50">
        <v>49</v>
      </c>
      <c r="C50">
        <v>65969411</v>
      </c>
      <c r="D50">
        <v>712443</v>
      </c>
      <c r="E50">
        <v>400</v>
      </c>
      <c r="F50">
        <v>0</v>
      </c>
      <c r="G50">
        <v>365395358</v>
      </c>
      <c r="H50">
        <v>4233124</v>
      </c>
      <c r="I50">
        <v>35171</v>
      </c>
      <c r="J50">
        <v>3066559</v>
      </c>
      <c r="K50">
        <v>38600</v>
      </c>
      <c r="L50" t="s">
        <v>936</v>
      </c>
      <c r="M50" t="s">
        <v>940</v>
      </c>
    </row>
    <row r="51" spans="1:13" x14ac:dyDescent="0.3">
      <c r="A51" t="s">
        <v>947</v>
      </c>
      <c r="B51">
        <v>60</v>
      </c>
      <c r="C51">
        <v>56855323</v>
      </c>
      <c r="D51">
        <v>890837</v>
      </c>
      <c r="E51">
        <v>545</v>
      </c>
      <c r="F51">
        <v>0</v>
      </c>
      <c r="G51">
        <v>342606980</v>
      </c>
      <c r="H51">
        <v>4231702</v>
      </c>
      <c r="I51">
        <v>45090</v>
      </c>
      <c r="J51">
        <v>9110940</v>
      </c>
      <c r="K51">
        <v>42370</v>
      </c>
      <c r="L51" t="s">
        <v>936</v>
      </c>
      <c r="M51" t="s">
        <v>939</v>
      </c>
    </row>
    <row r="52" spans="1:13" x14ac:dyDescent="0.3">
      <c r="A52" t="s">
        <v>777</v>
      </c>
      <c r="B52">
        <v>44</v>
      </c>
      <c r="C52">
        <v>33877367</v>
      </c>
      <c r="D52">
        <v>749693</v>
      </c>
      <c r="E52">
        <v>6650</v>
      </c>
      <c r="F52">
        <v>0</v>
      </c>
      <c r="G52">
        <v>303400278</v>
      </c>
      <c r="H52">
        <v>4188775</v>
      </c>
      <c r="I52">
        <v>88392</v>
      </c>
      <c r="J52">
        <v>5085296</v>
      </c>
      <c r="K52">
        <v>37550</v>
      </c>
      <c r="L52" t="s">
        <v>936</v>
      </c>
      <c r="M52" t="s">
        <v>940</v>
      </c>
    </row>
    <row r="53" spans="1:13" x14ac:dyDescent="0.3">
      <c r="A53" t="s">
        <v>789</v>
      </c>
      <c r="B53">
        <v>56</v>
      </c>
      <c r="C53">
        <v>46798203</v>
      </c>
      <c r="D53">
        <v>715151</v>
      </c>
      <c r="E53">
        <v>3238</v>
      </c>
      <c r="F53">
        <v>0</v>
      </c>
      <c r="G53">
        <v>348902396</v>
      </c>
      <c r="H53">
        <v>4185109</v>
      </c>
      <c r="I53">
        <v>90077</v>
      </c>
      <c r="J53">
        <v>3538091</v>
      </c>
      <c r="K53">
        <v>40750</v>
      </c>
      <c r="L53" t="s">
        <v>936</v>
      </c>
      <c r="M53" t="s">
        <v>945</v>
      </c>
    </row>
    <row r="54" spans="1:13" x14ac:dyDescent="0.3">
      <c r="A54" t="s">
        <v>957</v>
      </c>
      <c r="B54">
        <v>48</v>
      </c>
      <c r="C54">
        <v>46810863</v>
      </c>
      <c r="D54">
        <v>652256</v>
      </c>
      <c r="E54">
        <v>928</v>
      </c>
      <c r="F54">
        <v>0</v>
      </c>
      <c r="G54">
        <v>333665158</v>
      </c>
      <c r="H54">
        <v>4173276</v>
      </c>
      <c r="I54">
        <v>40493</v>
      </c>
      <c r="J54">
        <v>2705997</v>
      </c>
      <c r="K54">
        <v>40249</v>
      </c>
      <c r="L54" t="s">
        <v>936</v>
      </c>
      <c r="M54" t="s">
        <v>943</v>
      </c>
    </row>
    <row r="55" spans="1:13" x14ac:dyDescent="0.3">
      <c r="A55" t="s">
        <v>792</v>
      </c>
      <c r="B55">
        <v>61</v>
      </c>
      <c r="C55">
        <v>41560199</v>
      </c>
      <c r="D55">
        <v>814777</v>
      </c>
      <c r="E55">
        <v>4292</v>
      </c>
      <c r="F55">
        <v>0</v>
      </c>
      <c r="G55">
        <v>306296995</v>
      </c>
      <c r="H55">
        <v>4161004</v>
      </c>
      <c r="I55">
        <v>125839</v>
      </c>
      <c r="J55">
        <v>5387592</v>
      </c>
      <c r="K55">
        <v>37706</v>
      </c>
      <c r="L55" t="s">
        <v>936</v>
      </c>
      <c r="M55" t="s">
        <v>943</v>
      </c>
    </row>
    <row r="56" spans="1:13" x14ac:dyDescent="0.3">
      <c r="A56" t="s">
        <v>952</v>
      </c>
      <c r="B56">
        <v>75</v>
      </c>
      <c r="C56">
        <v>38330185</v>
      </c>
      <c r="D56">
        <v>811621</v>
      </c>
      <c r="E56">
        <v>1696</v>
      </c>
      <c r="F56">
        <v>0</v>
      </c>
      <c r="G56">
        <v>365731044</v>
      </c>
      <c r="H56">
        <v>4159467</v>
      </c>
      <c r="I56">
        <v>55235</v>
      </c>
      <c r="J56">
        <v>3312487</v>
      </c>
      <c r="K56">
        <v>35436</v>
      </c>
      <c r="L56" t="s">
        <v>936</v>
      </c>
      <c r="M56" t="s">
        <v>942</v>
      </c>
    </row>
    <row r="57" spans="1:13" x14ac:dyDescent="0.3">
      <c r="A57" t="s">
        <v>793</v>
      </c>
      <c r="B57">
        <v>57</v>
      </c>
      <c r="C57">
        <v>46830562</v>
      </c>
      <c r="D57">
        <v>951325</v>
      </c>
      <c r="E57">
        <v>668</v>
      </c>
      <c r="F57">
        <v>0</v>
      </c>
      <c r="G57">
        <v>335415437</v>
      </c>
      <c r="H57">
        <v>4146578</v>
      </c>
      <c r="I57">
        <v>44332</v>
      </c>
      <c r="J57">
        <v>3522751</v>
      </c>
      <c r="K57">
        <v>39460</v>
      </c>
      <c r="L57" t="s">
        <v>936</v>
      </c>
      <c r="M57" t="s">
        <v>937</v>
      </c>
    </row>
    <row r="58" spans="1:13" x14ac:dyDescent="0.3">
      <c r="A58" t="s">
        <v>950</v>
      </c>
      <c r="B58">
        <v>74</v>
      </c>
      <c r="C58">
        <v>39248177</v>
      </c>
      <c r="D58">
        <v>829738</v>
      </c>
      <c r="E58">
        <v>872</v>
      </c>
      <c r="F58">
        <v>0</v>
      </c>
      <c r="G58">
        <v>333366042</v>
      </c>
      <c r="H58">
        <v>4129419</v>
      </c>
      <c r="I58">
        <v>35028</v>
      </c>
      <c r="J58">
        <v>3348287</v>
      </c>
      <c r="K58">
        <v>36760</v>
      </c>
      <c r="L58" t="s">
        <v>936</v>
      </c>
      <c r="M58" t="s">
        <v>942</v>
      </c>
    </row>
    <row r="59" spans="1:13" x14ac:dyDescent="0.3">
      <c r="A59" t="s">
        <v>961</v>
      </c>
      <c r="B59">
        <v>54</v>
      </c>
      <c r="C59">
        <v>30959449</v>
      </c>
      <c r="D59">
        <v>635413</v>
      </c>
      <c r="E59">
        <v>0</v>
      </c>
      <c r="F59">
        <v>0</v>
      </c>
      <c r="G59">
        <v>321763693</v>
      </c>
      <c r="H59">
        <v>4118633</v>
      </c>
      <c r="I59">
        <v>44537</v>
      </c>
      <c r="J59">
        <v>3480620</v>
      </c>
      <c r="K59">
        <v>42300</v>
      </c>
      <c r="L59" t="s">
        <v>936</v>
      </c>
      <c r="M59" t="s">
        <v>946</v>
      </c>
    </row>
    <row r="60" spans="1:13" x14ac:dyDescent="0.3">
      <c r="A60" t="s">
        <v>781</v>
      </c>
      <c r="B60">
        <v>43</v>
      </c>
      <c r="C60">
        <v>43859464</v>
      </c>
      <c r="D60">
        <v>774565</v>
      </c>
      <c r="E60">
        <v>101</v>
      </c>
      <c r="F60">
        <v>0</v>
      </c>
      <c r="G60">
        <v>329052370</v>
      </c>
      <c r="H60">
        <v>4110094</v>
      </c>
      <c r="I60">
        <v>44811</v>
      </c>
      <c r="J60">
        <v>2870594</v>
      </c>
      <c r="K60">
        <v>40940</v>
      </c>
      <c r="L60" t="s">
        <v>936</v>
      </c>
      <c r="M60" t="s">
        <v>944</v>
      </c>
    </row>
    <row r="61" spans="1:13" x14ac:dyDescent="0.3">
      <c r="A61" t="s">
        <v>951</v>
      </c>
      <c r="B61">
        <v>69</v>
      </c>
      <c r="C61">
        <v>35230856</v>
      </c>
      <c r="D61">
        <v>748064</v>
      </c>
      <c r="E61">
        <v>1030</v>
      </c>
      <c r="F61">
        <v>0</v>
      </c>
      <c r="G61">
        <v>286188055</v>
      </c>
      <c r="H61">
        <v>4108054</v>
      </c>
      <c r="I61">
        <v>109835</v>
      </c>
      <c r="J61">
        <v>2944971</v>
      </c>
      <c r="K61">
        <v>37220</v>
      </c>
      <c r="L61" t="s">
        <v>936</v>
      </c>
      <c r="M61" t="s">
        <v>940</v>
      </c>
    </row>
    <row r="62" spans="1:13" x14ac:dyDescent="0.3">
      <c r="A62" t="s">
        <v>798</v>
      </c>
      <c r="B62">
        <v>72</v>
      </c>
      <c r="C62">
        <v>36027204</v>
      </c>
      <c r="D62">
        <v>776117</v>
      </c>
      <c r="E62">
        <v>3085</v>
      </c>
      <c r="F62">
        <v>0</v>
      </c>
      <c r="G62">
        <v>316494962</v>
      </c>
      <c r="H62">
        <v>4106165</v>
      </c>
      <c r="I62">
        <v>127961</v>
      </c>
      <c r="J62">
        <v>4290497</v>
      </c>
      <c r="K62">
        <v>39039</v>
      </c>
      <c r="L62" t="s">
        <v>936</v>
      </c>
      <c r="M62" t="s">
        <v>946</v>
      </c>
    </row>
    <row r="63" spans="1:13" x14ac:dyDescent="0.3">
      <c r="A63" t="s">
        <v>800</v>
      </c>
      <c r="B63">
        <v>66</v>
      </c>
      <c r="C63">
        <v>49657331</v>
      </c>
      <c r="D63">
        <v>892946</v>
      </c>
      <c r="E63">
        <v>274</v>
      </c>
      <c r="F63">
        <v>0</v>
      </c>
      <c r="G63">
        <v>318230734</v>
      </c>
      <c r="H63">
        <v>4085990</v>
      </c>
      <c r="I63">
        <v>127835</v>
      </c>
      <c r="J63">
        <v>6872085</v>
      </c>
      <c r="K63">
        <v>39230</v>
      </c>
      <c r="L63" t="s">
        <v>936</v>
      </c>
      <c r="M63" t="s">
        <v>945</v>
      </c>
    </row>
    <row r="64" spans="1:13" x14ac:dyDescent="0.3">
      <c r="A64" t="s">
        <v>768</v>
      </c>
      <c r="B64">
        <v>39</v>
      </c>
      <c r="C64">
        <v>29892905</v>
      </c>
      <c r="D64">
        <v>593096</v>
      </c>
      <c r="E64">
        <v>350</v>
      </c>
      <c r="F64">
        <v>0</v>
      </c>
      <c r="G64">
        <v>326173610</v>
      </c>
      <c r="H64">
        <v>4080860</v>
      </c>
      <c r="I64">
        <v>49944</v>
      </c>
      <c r="J64">
        <v>2817074</v>
      </c>
      <c r="K64">
        <v>40950</v>
      </c>
      <c r="L64" t="s">
        <v>936</v>
      </c>
      <c r="M64" t="s">
        <v>937</v>
      </c>
    </row>
    <row r="65" spans="1:13" x14ac:dyDescent="0.3">
      <c r="A65" t="s">
        <v>799</v>
      </c>
      <c r="B65">
        <v>71</v>
      </c>
      <c r="C65">
        <v>62293827</v>
      </c>
      <c r="D65">
        <v>821661</v>
      </c>
      <c r="E65">
        <v>50</v>
      </c>
      <c r="F65">
        <v>0</v>
      </c>
      <c r="G65">
        <v>480620375</v>
      </c>
      <c r="H65">
        <v>4064525</v>
      </c>
      <c r="I65">
        <v>49475</v>
      </c>
      <c r="J65">
        <v>3345422</v>
      </c>
      <c r="K65">
        <v>45970</v>
      </c>
      <c r="L65" t="s">
        <v>936</v>
      </c>
      <c r="M65" t="s">
        <v>940</v>
      </c>
    </row>
    <row r="66" spans="1:13" x14ac:dyDescent="0.3">
      <c r="A66" t="s">
        <v>778</v>
      </c>
      <c r="B66">
        <v>52</v>
      </c>
      <c r="C66">
        <v>59086942</v>
      </c>
      <c r="D66">
        <v>596067</v>
      </c>
      <c r="E66">
        <v>224</v>
      </c>
      <c r="F66">
        <v>0</v>
      </c>
      <c r="G66">
        <v>395780785</v>
      </c>
      <c r="H66">
        <v>4025864</v>
      </c>
      <c r="I66">
        <v>46958</v>
      </c>
      <c r="J66">
        <v>2712776</v>
      </c>
      <c r="K66">
        <v>37500</v>
      </c>
      <c r="L66" t="s">
        <v>936</v>
      </c>
      <c r="M66" t="s">
        <v>937</v>
      </c>
    </row>
    <row r="67" spans="1:13" x14ac:dyDescent="0.3">
      <c r="A67" t="s">
        <v>795</v>
      </c>
      <c r="B67">
        <v>63</v>
      </c>
      <c r="C67">
        <v>35793704</v>
      </c>
      <c r="D67">
        <v>735982</v>
      </c>
      <c r="E67">
        <v>1286</v>
      </c>
      <c r="F67">
        <v>0</v>
      </c>
      <c r="G67">
        <v>314380681</v>
      </c>
      <c r="H67">
        <v>4001142</v>
      </c>
      <c r="I67">
        <v>42027</v>
      </c>
      <c r="J67">
        <v>3989749</v>
      </c>
      <c r="K67">
        <v>41463</v>
      </c>
      <c r="L67" t="s">
        <v>936</v>
      </c>
      <c r="M67" t="s">
        <v>939</v>
      </c>
    </row>
    <row r="68" spans="1:13" x14ac:dyDescent="0.3">
      <c r="A68" t="s">
        <v>801</v>
      </c>
      <c r="B68">
        <v>77</v>
      </c>
      <c r="C68">
        <v>47673391</v>
      </c>
      <c r="D68">
        <v>708100</v>
      </c>
      <c r="E68">
        <v>120</v>
      </c>
      <c r="F68">
        <v>0</v>
      </c>
      <c r="G68">
        <v>323335299</v>
      </c>
      <c r="H68">
        <v>3994649</v>
      </c>
      <c r="I68">
        <v>44558</v>
      </c>
      <c r="J68">
        <v>5367439</v>
      </c>
      <c r="K68">
        <v>41800</v>
      </c>
      <c r="L68" t="s">
        <v>936</v>
      </c>
      <c r="M68" t="s">
        <v>944</v>
      </c>
    </row>
    <row r="69" spans="1:13" x14ac:dyDescent="0.3">
      <c r="A69" t="s">
        <v>805</v>
      </c>
      <c r="B69">
        <v>76</v>
      </c>
      <c r="C69">
        <v>56560778</v>
      </c>
      <c r="D69">
        <v>766967</v>
      </c>
      <c r="E69">
        <v>858</v>
      </c>
      <c r="F69">
        <v>0</v>
      </c>
      <c r="G69">
        <v>335184061</v>
      </c>
      <c r="H69">
        <v>3987538</v>
      </c>
      <c r="I69">
        <v>29428</v>
      </c>
      <c r="J69">
        <v>3701831</v>
      </c>
      <c r="K69">
        <v>41450</v>
      </c>
      <c r="L69" t="s">
        <v>936</v>
      </c>
      <c r="M69" t="s">
        <v>940</v>
      </c>
    </row>
    <row r="70" spans="1:13" x14ac:dyDescent="0.3">
      <c r="A70" t="s">
        <v>782</v>
      </c>
      <c r="B70">
        <v>55</v>
      </c>
      <c r="C70">
        <v>31904018</v>
      </c>
      <c r="D70">
        <v>581590</v>
      </c>
      <c r="E70">
        <v>3670</v>
      </c>
      <c r="F70">
        <v>0</v>
      </c>
      <c r="G70">
        <v>371828415</v>
      </c>
      <c r="H70">
        <v>3945235</v>
      </c>
      <c r="I70">
        <v>69368</v>
      </c>
      <c r="J70">
        <v>3629210</v>
      </c>
      <c r="K70">
        <v>41010</v>
      </c>
      <c r="L70" t="s">
        <v>936</v>
      </c>
      <c r="M70" t="s">
        <v>937</v>
      </c>
    </row>
    <row r="71" spans="1:13" x14ac:dyDescent="0.3">
      <c r="A71" t="s">
        <v>808</v>
      </c>
      <c r="B71">
        <v>78</v>
      </c>
      <c r="C71">
        <v>40614942</v>
      </c>
      <c r="D71">
        <v>759512</v>
      </c>
      <c r="E71">
        <v>648</v>
      </c>
      <c r="F71">
        <v>0</v>
      </c>
      <c r="G71">
        <v>330897085</v>
      </c>
      <c r="H71">
        <v>3943186</v>
      </c>
      <c r="I71">
        <v>31169</v>
      </c>
      <c r="J71">
        <v>3174407</v>
      </c>
      <c r="K71">
        <v>34490</v>
      </c>
      <c r="L71" t="s">
        <v>936</v>
      </c>
      <c r="M71" t="s">
        <v>946</v>
      </c>
    </row>
    <row r="72" spans="1:13" x14ac:dyDescent="0.3">
      <c r="A72" t="s">
        <v>790</v>
      </c>
      <c r="B72">
        <v>58</v>
      </c>
      <c r="C72">
        <v>36315505</v>
      </c>
      <c r="D72">
        <v>702077</v>
      </c>
      <c r="E72">
        <v>754</v>
      </c>
      <c r="F72">
        <v>0</v>
      </c>
      <c r="G72">
        <v>312028600</v>
      </c>
      <c r="H72">
        <v>3924485</v>
      </c>
      <c r="I72">
        <v>45031</v>
      </c>
      <c r="J72">
        <v>2836865</v>
      </c>
      <c r="K72">
        <v>38370</v>
      </c>
      <c r="L72" t="s">
        <v>936</v>
      </c>
      <c r="M72" t="s">
        <v>945</v>
      </c>
    </row>
    <row r="73" spans="1:13" x14ac:dyDescent="0.3">
      <c r="A73" t="s">
        <v>803</v>
      </c>
      <c r="B73">
        <v>73</v>
      </c>
      <c r="C73">
        <v>43009731</v>
      </c>
      <c r="D73">
        <v>820307</v>
      </c>
      <c r="E73">
        <v>3454</v>
      </c>
      <c r="F73">
        <v>0</v>
      </c>
      <c r="G73">
        <v>298433455</v>
      </c>
      <c r="H73">
        <v>3922692</v>
      </c>
      <c r="I73">
        <v>47397</v>
      </c>
      <c r="J73">
        <v>52282692</v>
      </c>
      <c r="K73">
        <v>41780</v>
      </c>
      <c r="L73" t="s">
        <v>936</v>
      </c>
      <c r="M73" t="s">
        <v>939</v>
      </c>
    </row>
    <row r="74" spans="1:13" x14ac:dyDescent="0.3">
      <c r="A74" t="s">
        <v>812</v>
      </c>
      <c r="B74">
        <v>86</v>
      </c>
      <c r="C74">
        <v>38581678</v>
      </c>
      <c r="D74">
        <v>849163</v>
      </c>
      <c r="E74">
        <v>1162</v>
      </c>
      <c r="F74">
        <v>0</v>
      </c>
      <c r="G74">
        <v>304690301</v>
      </c>
      <c r="H74">
        <v>3916014</v>
      </c>
      <c r="I74">
        <v>4823</v>
      </c>
      <c r="J74">
        <v>10589521</v>
      </c>
      <c r="K74">
        <v>42900</v>
      </c>
      <c r="L74" t="s">
        <v>936</v>
      </c>
      <c r="M74" t="s">
        <v>940</v>
      </c>
    </row>
    <row r="75" spans="1:13" x14ac:dyDescent="0.3">
      <c r="A75" t="s">
        <v>802</v>
      </c>
      <c r="B75">
        <v>79</v>
      </c>
      <c r="C75">
        <v>54250385</v>
      </c>
      <c r="D75">
        <v>566655</v>
      </c>
      <c r="E75">
        <v>446</v>
      </c>
      <c r="F75">
        <v>0</v>
      </c>
      <c r="G75">
        <v>343193280</v>
      </c>
      <c r="H75">
        <v>3868302</v>
      </c>
      <c r="I75">
        <v>44468</v>
      </c>
      <c r="J75">
        <v>2912558</v>
      </c>
      <c r="K75">
        <v>39840</v>
      </c>
      <c r="L75" t="s">
        <v>936</v>
      </c>
      <c r="M75" t="s">
        <v>937</v>
      </c>
    </row>
    <row r="76" spans="1:13" x14ac:dyDescent="0.3">
      <c r="A76" t="s">
        <v>787</v>
      </c>
      <c r="B76">
        <v>59</v>
      </c>
      <c r="C76">
        <v>27700060</v>
      </c>
      <c r="D76">
        <v>545470</v>
      </c>
      <c r="E76">
        <v>0</v>
      </c>
      <c r="F76">
        <v>0</v>
      </c>
      <c r="G76">
        <v>300194298</v>
      </c>
      <c r="H76">
        <v>3851692</v>
      </c>
      <c r="I76">
        <v>42937</v>
      </c>
      <c r="J76">
        <v>3787035</v>
      </c>
      <c r="K76">
        <v>33140</v>
      </c>
      <c r="L76" t="s">
        <v>936</v>
      </c>
      <c r="M76" t="s">
        <v>939</v>
      </c>
    </row>
    <row r="77" spans="1:13" x14ac:dyDescent="0.3">
      <c r="A77" t="s">
        <v>600</v>
      </c>
      <c r="B77">
        <v>80</v>
      </c>
      <c r="C77">
        <v>33400042</v>
      </c>
      <c r="D77">
        <v>695897</v>
      </c>
      <c r="E77">
        <v>1938</v>
      </c>
      <c r="F77">
        <v>0</v>
      </c>
      <c r="G77">
        <v>297476169</v>
      </c>
      <c r="H77">
        <v>3798549</v>
      </c>
      <c r="I77">
        <v>29779</v>
      </c>
      <c r="J77">
        <v>4821497</v>
      </c>
      <c r="K77">
        <v>40113</v>
      </c>
      <c r="L77" t="s">
        <v>936</v>
      </c>
      <c r="M77" t="s">
        <v>945</v>
      </c>
    </row>
    <row r="78" spans="1:13" x14ac:dyDescent="0.3">
      <c r="A78" t="s">
        <v>796</v>
      </c>
      <c r="B78">
        <v>67</v>
      </c>
      <c r="C78">
        <v>37010066</v>
      </c>
      <c r="D78">
        <v>656577</v>
      </c>
      <c r="E78">
        <v>477</v>
      </c>
      <c r="F78">
        <v>0</v>
      </c>
      <c r="G78">
        <v>327548678</v>
      </c>
      <c r="H78">
        <v>3764565</v>
      </c>
      <c r="I78">
        <v>82745</v>
      </c>
      <c r="J78">
        <v>3048789</v>
      </c>
      <c r="K78">
        <v>34450</v>
      </c>
      <c r="L78" t="s">
        <v>936</v>
      </c>
      <c r="M78" t="s">
        <v>946</v>
      </c>
    </row>
    <row r="79" spans="1:13" x14ac:dyDescent="0.3">
      <c r="A79" t="s">
        <v>807</v>
      </c>
      <c r="B79">
        <v>82</v>
      </c>
      <c r="C79">
        <v>25351201</v>
      </c>
      <c r="D79">
        <v>534492</v>
      </c>
      <c r="E79">
        <v>1570</v>
      </c>
      <c r="F79">
        <v>0</v>
      </c>
      <c r="G79">
        <v>294033122</v>
      </c>
      <c r="H79">
        <v>3741217</v>
      </c>
      <c r="I79">
        <v>34705</v>
      </c>
      <c r="J79">
        <v>3953012</v>
      </c>
      <c r="K79">
        <v>41940</v>
      </c>
      <c r="L79" t="s">
        <v>936</v>
      </c>
      <c r="M79" t="s">
        <v>939</v>
      </c>
    </row>
    <row r="80" spans="1:13" x14ac:dyDescent="0.3">
      <c r="A80" t="s">
        <v>953</v>
      </c>
      <c r="B80">
        <v>88</v>
      </c>
      <c r="C80">
        <v>33658972</v>
      </c>
      <c r="D80">
        <v>695938</v>
      </c>
      <c r="E80">
        <v>50</v>
      </c>
      <c r="F80">
        <v>0</v>
      </c>
      <c r="G80">
        <v>330931213</v>
      </c>
      <c r="H80">
        <v>3719039</v>
      </c>
      <c r="I80">
        <v>32156</v>
      </c>
      <c r="J80">
        <v>3306963</v>
      </c>
      <c r="K80">
        <v>40636</v>
      </c>
      <c r="L80" t="s">
        <v>936</v>
      </c>
      <c r="M80" t="s">
        <v>942</v>
      </c>
    </row>
    <row r="81" spans="1:13" x14ac:dyDescent="0.3">
      <c r="A81" t="s">
        <v>948</v>
      </c>
      <c r="B81">
        <v>84</v>
      </c>
      <c r="C81">
        <v>38064866</v>
      </c>
      <c r="D81">
        <v>830012</v>
      </c>
      <c r="E81">
        <v>653</v>
      </c>
      <c r="F81">
        <v>0</v>
      </c>
      <c r="G81">
        <v>315854704</v>
      </c>
      <c r="H81">
        <v>3716543</v>
      </c>
      <c r="I81">
        <v>59864</v>
      </c>
      <c r="J81">
        <v>3007799</v>
      </c>
      <c r="K81">
        <v>39093</v>
      </c>
      <c r="L81" t="s">
        <v>936</v>
      </c>
      <c r="M81" t="s">
        <v>942</v>
      </c>
    </row>
    <row r="82" spans="1:13" x14ac:dyDescent="0.3">
      <c r="A82" t="s">
        <v>764</v>
      </c>
      <c r="B82">
        <v>50</v>
      </c>
      <c r="C82">
        <v>15720973</v>
      </c>
      <c r="D82">
        <v>25282</v>
      </c>
      <c r="E82">
        <v>0</v>
      </c>
      <c r="F82">
        <v>0</v>
      </c>
      <c r="G82">
        <v>332305749</v>
      </c>
      <c r="H82">
        <v>3713739</v>
      </c>
      <c r="I82">
        <v>28495</v>
      </c>
      <c r="J82">
        <v>4597158</v>
      </c>
      <c r="K82">
        <v>31030</v>
      </c>
      <c r="L82" t="s">
        <v>936</v>
      </c>
      <c r="M82" t="s">
        <v>946</v>
      </c>
    </row>
    <row r="83" spans="1:13" x14ac:dyDescent="0.3">
      <c r="A83" t="s">
        <v>813</v>
      </c>
      <c r="B83">
        <v>91</v>
      </c>
      <c r="C83">
        <v>30229486</v>
      </c>
      <c r="D83">
        <v>671822</v>
      </c>
      <c r="E83">
        <v>202</v>
      </c>
      <c r="F83">
        <v>0</v>
      </c>
      <c r="G83">
        <v>279257792</v>
      </c>
      <c r="H83">
        <v>3695854</v>
      </c>
      <c r="I83">
        <v>34907</v>
      </c>
      <c r="J83">
        <v>3365819</v>
      </c>
      <c r="K83">
        <v>34930</v>
      </c>
      <c r="L83" t="s">
        <v>936</v>
      </c>
      <c r="M83" t="s">
        <v>939</v>
      </c>
    </row>
    <row r="84" spans="1:13" x14ac:dyDescent="0.3">
      <c r="A84" t="s">
        <v>601</v>
      </c>
      <c r="B84">
        <v>92</v>
      </c>
      <c r="C84">
        <v>36660207</v>
      </c>
      <c r="D84">
        <v>756567</v>
      </c>
      <c r="E84">
        <v>998</v>
      </c>
      <c r="F84">
        <v>0</v>
      </c>
      <c r="G84">
        <v>261165273</v>
      </c>
      <c r="H84">
        <v>3684733</v>
      </c>
      <c r="I84">
        <v>47174</v>
      </c>
      <c r="J84">
        <v>4578043</v>
      </c>
      <c r="K84">
        <v>35830</v>
      </c>
      <c r="L84" t="s">
        <v>936</v>
      </c>
      <c r="M84" t="s">
        <v>945</v>
      </c>
    </row>
    <row r="85" spans="1:13" x14ac:dyDescent="0.3">
      <c r="A85" t="s">
        <v>788</v>
      </c>
      <c r="B85">
        <v>62</v>
      </c>
      <c r="C85">
        <v>41387725</v>
      </c>
      <c r="D85">
        <v>399909</v>
      </c>
      <c r="E85">
        <v>800</v>
      </c>
      <c r="F85">
        <v>0</v>
      </c>
      <c r="G85">
        <v>318108540</v>
      </c>
      <c r="H85">
        <v>3617482</v>
      </c>
      <c r="I85">
        <v>48490</v>
      </c>
      <c r="J85">
        <v>3359356</v>
      </c>
      <c r="K85">
        <v>44509</v>
      </c>
      <c r="L85" t="s">
        <v>936</v>
      </c>
      <c r="M85" t="s">
        <v>944</v>
      </c>
    </row>
    <row r="86" spans="1:13" x14ac:dyDescent="0.3">
      <c r="A86" t="s">
        <v>791</v>
      </c>
      <c r="B86">
        <v>68</v>
      </c>
      <c r="C86">
        <v>24531932</v>
      </c>
      <c r="D86">
        <v>449234</v>
      </c>
      <c r="E86">
        <v>202</v>
      </c>
      <c r="F86">
        <v>0</v>
      </c>
      <c r="G86">
        <v>308734194</v>
      </c>
      <c r="H86">
        <v>3615765</v>
      </c>
      <c r="I86">
        <v>59670</v>
      </c>
      <c r="J86">
        <v>3355651</v>
      </c>
      <c r="K86">
        <v>34470</v>
      </c>
      <c r="L86" t="s">
        <v>936</v>
      </c>
      <c r="M86" t="s">
        <v>939</v>
      </c>
    </row>
    <row r="87" spans="1:13" x14ac:dyDescent="0.3">
      <c r="A87" t="s">
        <v>794</v>
      </c>
      <c r="B87">
        <v>70</v>
      </c>
      <c r="C87">
        <v>42294075</v>
      </c>
      <c r="D87">
        <v>604006</v>
      </c>
      <c r="E87">
        <v>96</v>
      </c>
      <c r="F87">
        <v>0</v>
      </c>
      <c r="G87">
        <v>307711932</v>
      </c>
      <c r="H87">
        <v>3587481</v>
      </c>
      <c r="I87">
        <v>29179</v>
      </c>
      <c r="J87">
        <v>6477417</v>
      </c>
      <c r="K87">
        <v>41373</v>
      </c>
      <c r="L87" t="s">
        <v>936</v>
      </c>
      <c r="M87" t="s">
        <v>942</v>
      </c>
    </row>
    <row r="88" spans="1:13" x14ac:dyDescent="0.3">
      <c r="A88" t="s">
        <v>960</v>
      </c>
      <c r="B88">
        <v>87</v>
      </c>
      <c r="C88">
        <v>44521092</v>
      </c>
      <c r="D88">
        <v>609938</v>
      </c>
      <c r="E88">
        <v>100</v>
      </c>
      <c r="F88">
        <v>0</v>
      </c>
      <c r="G88">
        <v>317423487</v>
      </c>
      <c r="H88">
        <v>3562333</v>
      </c>
      <c r="I88">
        <v>23200</v>
      </c>
      <c r="J88">
        <v>6151726</v>
      </c>
      <c r="K88">
        <v>35820</v>
      </c>
      <c r="L88" t="s">
        <v>936</v>
      </c>
      <c r="M88" t="s">
        <v>945</v>
      </c>
    </row>
    <row r="89" spans="1:13" x14ac:dyDescent="0.3">
      <c r="A89" t="s">
        <v>810</v>
      </c>
      <c r="B89">
        <v>83</v>
      </c>
      <c r="C89">
        <v>45704002</v>
      </c>
      <c r="D89">
        <v>637597</v>
      </c>
      <c r="E89">
        <v>146</v>
      </c>
      <c r="F89">
        <v>289522</v>
      </c>
      <c r="G89">
        <v>340379378</v>
      </c>
      <c r="H89">
        <v>3509256</v>
      </c>
      <c r="I89">
        <v>21815</v>
      </c>
      <c r="J89">
        <v>6172317</v>
      </c>
      <c r="K89">
        <v>34070</v>
      </c>
      <c r="L89" t="s">
        <v>936</v>
      </c>
      <c r="M89" t="s">
        <v>940</v>
      </c>
    </row>
    <row r="90" spans="1:13" x14ac:dyDescent="0.3">
      <c r="A90" t="s">
        <v>815</v>
      </c>
      <c r="B90">
        <v>94</v>
      </c>
      <c r="C90">
        <v>38520555</v>
      </c>
      <c r="D90">
        <v>549999</v>
      </c>
      <c r="E90">
        <v>250</v>
      </c>
      <c r="F90">
        <v>0</v>
      </c>
      <c r="G90">
        <v>237561714</v>
      </c>
      <c r="H90">
        <v>3507688</v>
      </c>
      <c r="I90">
        <v>56036</v>
      </c>
      <c r="J90">
        <v>37906240</v>
      </c>
      <c r="K90">
        <v>30620</v>
      </c>
      <c r="L90" t="s">
        <v>936</v>
      </c>
      <c r="M90" t="s">
        <v>939</v>
      </c>
    </row>
    <row r="91" spans="1:13" x14ac:dyDescent="0.3">
      <c r="A91" t="s">
        <v>972</v>
      </c>
      <c r="B91">
        <v>85</v>
      </c>
      <c r="C91">
        <v>38161798</v>
      </c>
      <c r="D91">
        <v>552073</v>
      </c>
      <c r="E91">
        <v>757</v>
      </c>
      <c r="F91">
        <v>0</v>
      </c>
      <c r="G91">
        <v>336342220</v>
      </c>
      <c r="H91">
        <v>3495335</v>
      </c>
      <c r="I91">
        <v>40639</v>
      </c>
      <c r="J91">
        <v>2716994</v>
      </c>
      <c r="K91">
        <v>41320</v>
      </c>
      <c r="L91" t="s">
        <v>936</v>
      </c>
      <c r="M91" t="s">
        <v>942</v>
      </c>
    </row>
    <row r="92" spans="1:13" x14ac:dyDescent="0.3">
      <c r="A92" t="s">
        <v>806</v>
      </c>
      <c r="B92">
        <v>81</v>
      </c>
      <c r="C92">
        <v>53164865</v>
      </c>
      <c r="D92">
        <v>576984</v>
      </c>
      <c r="E92">
        <v>444</v>
      </c>
      <c r="F92">
        <v>0</v>
      </c>
      <c r="G92">
        <v>387477334</v>
      </c>
      <c r="H92">
        <v>3475623</v>
      </c>
      <c r="I92">
        <v>34958</v>
      </c>
      <c r="J92">
        <v>4581119</v>
      </c>
      <c r="K92">
        <v>45940</v>
      </c>
      <c r="L92" t="s">
        <v>936</v>
      </c>
      <c r="M92" t="s">
        <v>939</v>
      </c>
    </row>
    <row r="93" spans="1:13" x14ac:dyDescent="0.3">
      <c r="A93" t="s">
        <v>818</v>
      </c>
      <c r="B93">
        <v>96</v>
      </c>
      <c r="C93">
        <v>32675164</v>
      </c>
      <c r="D93">
        <v>717087</v>
      </c>
      <c r="E93">
        <v>24940</v>
      </c>
      <c r="F93">
        <v>0</v>
      </c>
      <c r="G93">
        <v>280571480</v>
      </c>
      <c r="H93">
        <v>3460902</v>
      </c>
      <c r="I93">
        <v>127377</v>
      </c>
      <c r="J93">
        <v>4891434</v>
      </c>
      <c r="K93">
        <v>40460</v>
      </c>
      <c r="L93" t="s">
        <v>936</v>
      </c>
      <c r="M93" t="s">
        <v>946</v>
      </c>
    </row>
    <row r="94" spans="1:13" x14ac:dyDescent="0.3">
      <c r="A94" t="s">
        <v>811</v>
      </c>
      <c r="B94">
        <v>89</v>
      </c>
      <c r="C94">
        <v>33176970</v>
      </c>
      <c r="D94">
        <v>645275</v>
      </c>
      <c r="E94">
        <v>1050</v>
      </c>
      <c r="F94">
        <v>995732</v>
      </c>
      <c r="G94">
        <v>267242025</v>
      </c>
      <c r="H94">
        <v>3457200</v>
      </c>
      <c r="I94">
        <v>65286</v>
      </c>
      <c r="J94">
        <v>5828444</v>
      </c>
      <c r="K94">
        <v>38480</v>
      </c>
      <c r="L94" t="s">
        <v>936</v>
      </c>
      <c r="M94" t="s">
        <v>939</v>
      </c>
    </row>
    <row r="95" spans="1:13" x14ac:dyDescent="0.3">
      <c r="A95" t="s">
        <v>816</v>
      </c>
      <c r="B95">
        <v>95</v>
      </c>
      <c r="C95">
        <v>28717709</v>
      </c>
      <c r="D95">
        <v>604871</v>
      </c>
      <c r="E95">
        <v>12851</v>
      </c>
      <c r="F95">
        <v>0</v>
      </c>
      <c r="G95">
        <v>255157822</v>
      </c>
      <c r="H95">
        <v>3352172</v>
      </c>
      <c r="I95">
        <v>106889</v>
      </c>
      <c r="J95">
        <v>2734459</v>
      </c>
      <c r="K95">
        <v>37160</v>
      </c>
      <c r="L95" t="s">
        <v>936</v>
      </c>
      <c r="M95" t="s">
        <v>940</v>
      </c>
    </row>
    <row r="96" spans="1:13" x14ac:dyDescent="0.3">
      <c r="A96" t="s">
        <v>814</v>
      </c>
      <c r="B96">
        <v>90</v>
      </c>
      <c r="C96">
        <v>36756285</v>
      </c>
      <c r="D96">
        <v>781451</v>
      </c>
      <c r="E96">
        <v>303</v>
      </c>
      <c r="F96">
        <v>0</v>
      </c>
      <c r="G96">
        <v>296986328</v>
      </c>
      <c r="H96">
        <v>3319800</v>
      </c>
      <c r="I96">
        <v>37502</v>
      </c>
      <c r="J96">
        <v>6353831</v>
      </c>
      <c r="K96">
        <v>41390</v>
      </c>
      <c r="L96" t="s">
        <v>936</v>
      </c>
      <c r="M96" t="s">
        <v>940</v>
      </c>
    </row>
    <row r="97" spans="1:13" x14ac:dyDescent="0.3">
      <c r="A97" t="s">
        <v>826</v>
      </c>
      <c r="B97">
        <v>107</v>
      </c>
      <c r="C97">
        <v>29551498</v>
      </c>
      <c r="D97">
        <v>645187</v>
      </c>
      <c r="E97">
        <v>338</v>
      </c>
      <c r="F97">
        <v>0</v>
      </c>
      <c r="G97">
        <v>263784364</v>
      </c>
      <c r="H97">
        <v>3319339</v>
      </c>
      <c r="I97">
        <v>25549</v>
      </c>
      <c r="J97">
        <v>2706596</v>
      </c>
      <c r="K97">
        <v>36770</v>
      </c>
      <c r="L97" t="s">
        <v>936</v>
      </c>
      <c r="M97" t="s">
        <v>940</v>
      </c>
    </row>
    <row r="98" spans="1:13" x14ac:dyDescent="0.3">
      <c r="A98" t="s">
        <v>823</v>
      </c>
      <c r="B98">
        <v>102</v>
      </c>
      <c r="C98">
        <v>39604346</v>
      </c>
      <c r="D98">
        <v>598359</v>
      </c>
      <c r="E98">
        <v>552</v>
      </c>
      <c r="F98">
        <v>715058</v>
      </c>
      <c r="G98">
        <v>283763399</v>
      </c>
      <c r="H98">
        <v>3249305</v>
      </c>
      <c r="I98">
        <v>50451</v>
      </c>
      <c r="J98">
        <v>8073140</v>
      </c>
      <c r="K98">
        <v>37033</v>
      </c>
      <c r="L98" t="s">
        <v>936</v>
      </c>
      <c r="M98" t="s">
        <v>937</v>
      </c>
    </row>
    <row r="99" spans="1:13" x14ac:dyDescent="0.3">
      <c r="A99" t="s">
        <v>809</v>
      </c>
      <c r="B99">
        <v>93</v>
      </c>
      <c r="C99">
        <v>17791721</v>
      </c>
      <c r="D99">
        <v>357232</v>
      </c>
      <c r="E99">
        <v>0</v>
      </c>
      <c r="F99">
        <v>2016823</v>
      </c>
      <c r="G99">
        <v>295454033</v>
      </c>
      <c r="H99">
        <v>3225080</v>
      </c>
      <c r="I99">
        <v>48970</v>
      </c>
      <c r="J99">
        <v>5987927</v>
      </c>
      <c r="K99">
        <v>39153</v>
      </c>
      <c r="L99" t="s">
        <v>936</v>
      </c>
      <c r="M99" t="s">
        <v>939</v>
      </c>
    </row>
    <row r="100" spans="1:13" x14ac:dyDescent="0.3">
      <c r="A100" t="s">
        <v>820</v>
      </c>
      <c r="B100">
        <v>97</v>
      </c>
      <c r="C100">
        <v>40759204</v>
      </c>
      <c r="D100">
        <v>591252</v>
      </c>
      <c r="E100">
        <v>1978</v>
      </c>
      <c r="F100">
        <v>0</v>
      </c>
      <c r="G100">
        <v>292810827</v>
      </c>
      <c r="H100">
        <v>3205434</v>
      </c>
      <c r="I100">
        <v>43902</v>
      </c>
      <c r="J100">
        <v>4123091</v>
      </c>
      <c r="K100">
        <v>34602</v>
      </c>
      <c r="L100" t="s">
        <v>936</v>
      </c>
      <c r="M100" t="s">
        <v>946</v>
      </c>
    </row>
    <row r="101" spans="1:13" x14ac:dyDescent="0.3">
      <c r="A101" t="s">
        <v>821</v>
      </c>
      <c r="B101">
        <v>101</v>
      </c>
      <c r="C101">
        <v>28122793</v>
      </c>
      <c r="D101">
        <v>586363</v>
      </c>
      <c r="E101">
        <v>7002</v>
      </c>
      <c r="F101">
        <v>0</v>
      </c>
      <c r="G101">
        <v>304203415</v>
      </c>
      <c r="H101">
        <v>3187287</v>
      </c>
      <c r="I101">
        <v>59195</v>
      </c>
      <c r="J101">
        <v>4680527</v>
      </c>
      <c r="K101">
        <v>39463</v>
      </c>
      <c r="L101" t="s">
        <v>936</v>
      </c>
      <c r="M101" t="s">
        <v>946</v>
      </c>
    </row>
    <row r="102" spans="1:13" x14ac:dyDescent="0.3">
      <c r="A102" t="s">
        <v>602</v>
      </c>
      <c r="B102">
        <v>103</v>
      </c>
      <c r="C102">
        <v>53302253</v>
      </c>
      <c r="D102">
        <v>695613</v>
      </c>
      <c r="E102">
        <v>50</v>
      </c>
      <c r="F102">
        <v>0</v>
      </c>
      <c r="G102">
        <v>276446882</v>
      </c>
      <c r="H102">
        <v>3184082</v>
      </c>
      <c r="I102">
        <v>62562</v>
      </c>
      <c r="J102">
        <v>6527035</v>
      </c>
      <c r="K102">
        <v>35983</v>
      </c>
      <c r="L102" t="s">
        <v>936</v>
      </c>
      <c r="M102" t="s">
        <v>945</v>
      </c>
    </row>
    <row r="103" spans="1:13" x14ac:dyDescent="0.3">
      <c r="A103" t="s">
        <v>829</v>
      </c>
      <c r="B103">
        <v>117</v>
      </c>
      <c r="C103">
        <v>33452758</v>
      </c>
      <c r="D103">
        <v>618228</v>
      </c>
      <c r="E103">
        <v>151</v>
      </c>
      <c r="F103">
        <v>0</v>
      </c>
      <c r="G103">
        <v>360817543</v>
      </c>
      <c r="H103">
        <v>3163186</v>
      </c>
      <c r="I103">
        <v>37907</v>
      </c>
      <c r="J103">
        <v>2736506</v>
      </c>
      <c r="K103">
        <v>46793</v>
      </c>
      <c r="L103" t="s">
        <v>936</v>
      </c>
      <c r="M103" t="s">
        <v>944</v>
      </c>
    </row>
    <row r="104" spans="1:13" x14ac:dyDescent="0.3">
      <c r="A104" t="s">
        <v>817</v>
      </c>
      <c r="B104">
        <v>98</v>
      </c>
      <c r="C104">
        <v>19913263</v>
      </c>
      <c r="D104">
        <v>390633</v>
      </c>
      <c r="E104">
        <v>120</v>
      </c>
      <c r="F104">
        <v>0</v>
      </c>
      <c r="G104">
        <v>270170824</v>
      </c>
      <c r="H104">
        <v>3158487</v>
      </c>
      <c r="I104">
        <v>49596</v>
      </c>
      <c r="J104">
        <v>3612005</v>
      </c>
      <c r="K104">
        <v>32899</v>
      </c>
      <c r="L104" t="s">
        <v>936</v>
      </c>
      <c r="M104" t="s">
        <v>940</v>
      </c>
    </row>
    <row r="105" spans="1:13" x14ac:dyDescent="0.3">
      <c r="A105" t="s">
        <v>822</v>
      </c>
      <c r="B105">
        <v>100</v>
      </c>
      <c r="C105">
        <v>40859093</v>
      </c>
      <c r="D105">
        <v>578184</v>
      </c>
      <c r="E105">
        <v>700</v>
      </c>
      <c r="F105">
        <v>0</v>
      </c>
      <c r="G105">
        <v>299466154</v>
      </c>
      <c r="H105">
        <v>3135778</v>
      </c>
      <c r="I105">
        <v>83282</v>
      </c>
      <c r="J105">
        <v>2963087</v>
      </c>
      <c r="K105">
        <v>39780</v>
      </c>
      <c r="L105" t="s">
        <v>936</v>
      </c>
      <c r="M105" t="s">
        <v>944</v>
      </c>
    </row>
    <row r="106" spans="1:13" x14ac:dyDescent="0.3">
      <c r="A106" t="s">
        <v>967</v>
      </c>
      <c r="B106">
        <v>116</v>
      </c>
      <c r="C106">
        <v>36488327</v>
      </c>
      <c r="D106">
        <v>496775</v>
      </c>
      <c r="E106">
        <v>0</v>
      </c>
      <c r="F106">
        <v>0</v>
      </c>
      <c r="G106">
        <v>318882318</v>
      </c>
      <c r="H106">
        <v>3090261</v>
      </c>
      <c r="I106">
        <v>31795</v>
      </c>
      <c r="J106">
        <v>3722185</v>
      </c>
      <c r="K106">
        <v>44169</v>
      </c>
      <c r="L106" t="s">
        <v>936</v>
      </c>
      <c r="M106" t="s">
        <v>942</v>
      </c>
    </row>
    <row r="107" spans="1:13" x14ac:dyDescent="0.3">
      <c r="A107" t="s">
        <v>954</v>
      </c>
      <c r="B107">
        <v>104</v>
      </c>
      <c r="C107">
        <v>35843520</v>
      </c>
      <c r="D107">
        <v>648752</v>
      </c>
      <c r="E107">
        <v>360</v>
      </c>
      <c r="F107">
        <v>0</v>
      </c>
      <c r="G107">
        <v>255527474</v>
      </c>
      <c r="H107">
        <v>3076604</v>
      </c>
      <c r="I107">
        <v>42898</v>
      </c>
      <c r="J107">
        <v>6279036</v>
      </c>
      <c r="K107">
        <v>40300</v>
      </c>
      <c r="L107" t="s">
        <v>936</v>
      </c>
      <c r="M107" t="s">
        <v>945</v>
      </c>
    </row>
    <row r="108" spans="1:13" x14ac:dyDescent="0.3">
      <c r="A108" t="s">
        <v>976</v>
      </c>
      <c r="B108">
        <v>111</v>
      </c>
      <c r="C108">
        <v>19173239</v>
      </c>
      <c r="D108">
        <v>402592</v>
      </c>
      <c r="E108">
        <v>750</v>
      </c>
      <c r="F108">
        <v>1522686</v>
      </c>
      <c r="G108">
        <v>249561723</v>
      </c>
      <c r="H108">
        <v>2993920</v>
      </c>
      <c r="I108">
        <v>18522</v>
      </c>
      <c r="J108">
        <v>8905273</v>
      </c>
      <c r="K108">
        <v>35603</v>
      </c>
      <c r="L108" t="s">
        <v>936</v>
      </c>
      <c r="M108" t="s">
        <v>942</v>
      </c>
    </row>
    <row r="109" spans="1:13" x14ac:dyDescent="0.3">
      <c r="A109" t="s">
        <v>956</v>
      </c>
      <c r="B109">
        <v>112</v>
      </c>
      <c r="C109">
        <v>45195847</v>
      </c>
      <c r="D109">
        <v>649692</v>
      </c>
      <c r="E109">
        <v>20806</v>
      </c>
      <c r="F109">
        <v>0</v>
      </c>
      <c r="G109">
        <v>225966948</v>
      </c>
      <c r="H109">
        <v>2988744</v>
      </c>
      <c r="I109">
        <v>99843</v>
      </c>
      <c r="J109">
        <v>8448987</v>
      </c>
      <c r="K109">
        <v>34266</v>
      </c>
      <c r="L109" t="s">
        <v>936</v>
      </c>
      <c r="M109" t="s">
        <v>942</v>
      </c>
    </row>
    <row r="110" spans="1:13" x14ac:dyDescent="0.3">
      <c r="A110" t="s">
        <v>603</v>
      </c>
      <c r="B110">
        <v>113</v>
      </c>
      <c r="C110">
        <v>26706378</v>
      </c>
      <c r="D110">
        <v>542354</v>
      </c>
      <c r="E110">
        <v>902</v>
      </c>
      <c r="F110">
        <v>0</v>
      </c>
      <c r="G110">
        <v>227898215</v>
      </c>
      <c r="H110">
        <v>2954223</v>
      </c>
      <c r="I110">
        <v>40713</v>
      </c>
      <c r="J110">
        <v>5309261</v>
      </c>
      <c r="K110">
        <v>32700</v>
      </c>
      <c r="L110" t="s">
        <v>936</v>
      </c>
      <c r="M110" t="s">
        <v>945</v>
      </c>
    </row>
    <row r="111" spans="1:13" x14ac:dyDescent="0.3">
      <c r="A111" t="s">
        <v>964</v>
      </c>
      <c r="B111">
        <v>110</v>
      </c>
      <c r="C111">
        <v>21235904</v>
      </c>
      <c r="D111">
        <v>419008</v>
      </c>
      <c r="E111">
        <v>2154</v>
      </c>
      <c r="F111">
        <v>0</v>
      </c>
      <c r="G111">
        <v>228614019</v>
      </c>
      <c r="H111">
        <v>2906473</v>
      </c>
      <c r="I111">
        <v>55783</v>
      </c>
      <c r="J111">
        <v>3037846</v>
      </c>
      <c r="K111">
        <v>33000</v>
      </c>
      <c r="L111" t="s">
        <v>936</v>
      </c>
      <c r="M111" t="s">
        <v>939</v>
      </c>
    </row>
    <row r="112" spans="1:13" x14ac:dyDescent="0.3">
      <c r="A112" t="s">
        <v>825</v>
      </c>
      <c r="B112">
        <v>106</v>
      </c>
      <c r="C112">
        <v>39720274</v>
      </c>
      <c r="D112">
        <v>558537</v>
      </c>
      <c r="E112">
        <v>404</v>
      </c>
      <c r="F112">
        <v>0</v>
      </c>
      <c r="G112">
        <v>253011316</v>
      </c>
      <c r="H112">
        <v>2897981</v>
      </c>
      <c r="I112">
        <v>54588</v>
      </c>
      <c r="J112">
        <v>3499294</v>
      </c>
      <c r="K112">
        <v>39122</v>
      </c>
      <c r="L112" t="s">
        <v>936</v>
      </c>
      <c r="M112" t="s">
        <v>937</v>
      </c>
    </row>
    <row r="113" spans="1:13" x14ac:dyDescent="0.3">
      <c r="A113" t="s">
        <v>819</v>
      </c>
      <c r="B113">
        <v>99</v>
      </c>
      <c r="C113">
        <v>21628412</v>
      </c>
      <c r="D113">
        <v>434172</v>
      </c>
      <c r="E113">
        <v>0</v>
      </c>
      <c r="F113">
        <v>0</v>
      </c>
      <c r="G113">
        <v>221795179</v>
      </c>
      <c r="H113">
        <v>2886186</v>
      </c>
      <c r="I113">
        <v>61107</v>
      </c>
      <c r="J113">
        <v>8640603</v>
      </c>
      <c r="K113">
        <v>28983</v>
      </c>
      <c r="L113" t="s">
        <v>936</v>
      </c>
      <c r="M113" t="s">
        <v>946</v>
      </c>
    </row>
    <row r="114" spans="1:13" x14ac:dyDescent="0.3">
      <c r="A114" t="s">
        <v>958</v>
      </c>
      <c r="B114">
        <v>115</v>
      </c>
      <c r="C114">
        <v>35472114</v>
      </c>
      <c r="D114">
        <v>585192</v>
      </c>
      <c r="E114">
        <v>350</v>
      </c>
      <c r="F114">
        <v>0</v>
      </c>
      <c r="G114">
        <v>225677516</v>
      </c>
      <c r="H114">
        <v>2842171</v>
      </c>
      <c r="I114">
        <v>15948</v>
      </c>
      <c r="J114">
        <v>4317550</v>
      </c>
      <c r="K114">
        <v>41600</v>
      </c>
      <c r="L114" t="s">
        <v>936</v>
      </c>
      <c r="M114" t="s">
        <v>945</v>
      </c>
    </row>
    <row r="115" spans="1:13" x14ac:dyDescent="0.3">
      <c r="A115" t="s">
        <v>834</v>
      </c>
      <c r="B115">
        <v>121</v>
      </c>
      <c r="C115">
        <v>39804114</v>
      </c>
      <c r="D115">
        <v>595498</v>
      </c>
      <c r="E115">
        <v>602</v>
      </c>
      <c r="F115">
        <v>0</v>
      </c>
      <c r="G115">
        <v>250057529</v>
      </c>
      <c r="H115">
        <v>2839912</v>
      </c>
      <c r="I115">
        <v>5345</v>
      </c>
      <c r="J115">
        <v>8914326</v>
      </c>
      <c r="K115">
        <v>31103</v>
      </c>
      <c r="L115" t="s">
        <v>936</v>
      </c>
      <c r="M115" t="s">
        <v>937</v>
      </c>
    </row>
    <row r="116" spans="1:13" x14ac:dyDescent="0.3">
      <c r="A116" t="s">
        <v>827</v>
      </c>
      <c r="B116">
        <v>114</v>
      </c>
      <c r="C116">
        <v>24786198</v>
      </c>
      <c r="D116">
        <v>544536</v>
      </c>
      <c r="E116">
        <v>87</v>
      </c>
      <c r="F116">
        <v>0</v>
      </c>
      <c r="G116">
        <v>234174963</v>
      </c>
      <c r="H116">
        <v>2789234</v>
      </c>
      <c r="I116">
        <v>36746</v>
      </c>
      <c r="J116">
        <v>3415801</v>
      </c>
      <c r="K116">
        <v>37180</v>
      </c>
      <c r="L116" t="s">
        <v>936</v>
      </c>
      <c r="M116" t="s">
        <v>946</v>
      </c>
    </row>
    <row r="117" spans="1:13" x14ac:dyDescent="0.3">
      <c r="A117" t="s">
        <v>969</v>
      </c>
      <c r="B117">
        <v>108</v>
      </c>
      <c r="C117">
        <v>36940972</v>
      </c>
      <c r="D117">
        <v>437999</v>
      </c>
      <c r="E117">
        <v>0</v>
      </c>
      <c r="F117">
        <v>0</v>
      </c>
      <c r="G117">
        <v>299193176</v>
      </c>
      <c r="H117">
        <v>2782740</v>
      </c>
      <c r="I117">
        <v>28126</v>
      </c>
      <c r="J117">
        <v>17338769</v>
      </c>
      <c r="K117">
        <v>33920</v>
      </c>
      <c r="L117" t="s">
        <v>936</v>
      </c>
      <c r="M117" t="s">
        <v>946</v>
      </c>
    </row>
    <row r="118" spans="1:13" x14ac:dyDescent="0.3">
      <c r="A118" t="s">
        <v>970</v>
      </c>
      <c r="B118">
        <v>105</v>
      </c>
      <c r="C118">
        <v>16840513</v>
      </c>
      <c r="D118">
        <v>377092</v>
      </c>
      <c r="E118">
        <v>2600</v>
      </c>
      <c r="F118">
        <v>0</v>
      </c>
      <c r="G118">
        <v>222043680</v>
      </c>
      <c r="H118">
        <v>2741451</v>
      </c>
      <c r="I118">
        <v>49317</v>
      </c>
      <c r="J118">
        <v>9585335</v>
      </c>
      <c r="K118">
        <v>33900</v>
      </c>
      <c r="L118" t="s">
        <v>936</v>
      </c>
      <c r="M118" t="s">
        <v>939</v>
      </c>
    </row>
    <row r="119" spans="1:13" x14ac:dyDescent="0.3">
      <c r="A119" t="s">
        <v>833</v>
      </c>
      <c r="B119">
        <v>122</v>
      </c>
      <c r="C119">
        <v>55298241</v>
      </c>
      <c r="D119">
        <v>514623</v>
      </c>
      <c r="E119">
        <v>4050</v>
      </c>
      <c r="F119">
        <v>0</v>
      </c>
      <c r="G119">
        <v>305337117</v>
      </c>
      <c r="H119">
        <v>2727473</v>
      </c>
      <c r="I119">
        <v>45474</v>
      </c>
      <c r="J119">
        <v>2144170</v>
      </c>
      <c r="K119">
        <v>43350</v>
      </c>
      <c r="L119" t="s">
        <v>936</v>
      </c>
      <c r="M119" t="s">
        <v>944</v>
      </c>
    </row>
    <row r="120" spans="1:13" x14ac:dyDescent="0.3">
      <c r="A120" t="s">
        <v>963</v>
      </c>
      <c r="B120">
        <v>118</v>
      </c>
      <c r="C120">
        <v>24887289</v>
      </c>
      <c r="D120">
        <v>517316</v>
      </c>
      <c r="E120">
        <v>1251</v>
      </c>
      <c r="F120">
        <v>0</v>
      </c>
      <c r="G120">
        <v>283411634</v>
      </c>
      <c r="H120">
        <v>2715734</v>
      </c>
      <c r="I120">
        <v>50420</v>
      </c>
      <c r="J120">
        <v>3449800</v>
      </c>
      <c r="K120">
        <v>31060</v>
      </c>
      <c r="L120" t="s">
        <v>936</v>
      </c>
      <c r="M120" t="s">
        <v>946</v>
      </c>
    </row>
    <row r="121" spans="1:13" x14ac:dyDescent="0.3">
      <c r="A121" t="s">
        <v>839</v>
      </c>
      <c r="B121">
        <v>129</v>
      </c>
      <c r="C121">
        <v>33163825</v>
      </c>
      <c r="D121">
        <v>583894</v>
      </c>
      <c r="E121">
        <v>804</v>
      </c>
      <c r="F121">
        <v>0</v>
      </c>
      <c r="G121">
        <v>284792692</v>
      </c>
      <c r="H121">
        <v>2715014</v>
      </c>
      <c r="I121">
        <v>41458</v>
      </c>
      <c r="J121">
        <v>2529773</v>
      </c>
      <c r="K121">
        <v>39539</v>
      </c>
      <c r="L121" t="s">
        <v>936</v>
      </c>
      <c r="M121" t="s">
        <v>942</v>
      </c>
    </row>
    <row r="122" spans="1:13" x14ac:dyDescent="0.3">
      <c r="A122" t="s">
        <v>830</v>
      </c>
      <c r="B122">
        <v>120</v>
      </c>
      <c r="C122">
        <v>24330927</v>
      </c>
      <c r="D122">
        <v>493128</v>
      </c>
      <c r="E122">
        <v>5450</v>
      </c>
      <c r="F122">
        <v>0</v>
      </c>
      <c r="G122">
        <v>213332100</v>
      </c>
      <c r="H122">
        <v>2710939</v>
      </c>
      <c r="I122">
        <v>56809</v>
      </c>
      <c r="J122">
        <v>4167307</v>
      </c>
      <c r="K122">
        <v>25970</v>
      </c>
      <c r="L122" t="s">
        <v>936</v>
      </c>
      <c r="M122" t="s">
        <v>945</v>
      </c>
    </row>
    <row r="123" spans="1:13" x14ac:dyDescent="0.3">
      <c r="A123" t="s">
        <v>837</v>
      </c>
      <c r="B123">
        <v>124</v>
      </c>
      <c r="C123">
        <v>41921004</v>
      </c>
      <c r="D123">
        <v>693297</v>
      </c>
      <c r="E123">
        <v>350</v>
      </c>
      <c r="F123">
        <v>1818888</v>
      </c>
      <c r="G123">
        <v>257781157</v>
      </c>
      <c r="H123">
        <v>2635452</v>
      </c>
      <c r="I123">
        <v>34497</v>
      </c>
      <c r="J123">
        <v>11047709</v>
      </c>
      <c r="K123">
        <v>33953</v>
      </c>
      <c r="L123" t="s">
        <v>936</v>
      </c>
      <c r="M123" t="s">
        <v>937</v>
      </c>
    </row>
    <row r="124" spans="1:13" x14ac:dyDescent="0.3">
      <c r="A124" t="s">
        <v>824</v>
      </c>
      <c r="B124">
        <v>109</v>
      </c>
      <c r="C124">
        <v>33976041</v>
      </c>
      <c r="D124">
        <v>358203</v>
      </c>
      <c r="E124">
        <v>1801</v>
      </c>
      <c r="F124">
        <v>0</v>
      </c>
      <c r="G124">
        <v>240908482</v>
      </c>
      <c r="H124">
        <v>2602054</v>
      </c>
      <c r="I124">
        <v>3206</v>
      </c>
      <c r="J124">
        <v>5042586</v>
      </c>
      <c r="K124">
        <v>33513</v>
      </c>
      <c r="L124" t="s">
        <v>936</v>
      </c>
      <c r="M124" t="s">
        <v>959</v>
      </c>
    </row>
    <row r="125" spans="1:13" x14ac:dyDescent="0.3">
      <c r="A125" t="s">
        <v>836</v>
      </c>
      <c r="B125">
        <v>126</v>
      </c>
      <c r="C125">
        <v>26660624</v>
      </c>
      <c r="D125">
        <v>536151</v>
      </c>
      <c r="E125">
        <v>0</v>
      </c>
      <c r="F125">
        <v>0</v>
      </c>
      <c r="G125">
        <v>286949903</v>
      </c>
      <c r="H125">
        <v>2572965</v>
      </c>
      <c r="I125">
        <v>22159</v>
      </c>
      <c r="J125">
        <v>3937082</v>
      </c>
      <c r="K125">
        <v>39120</v>
      </c>
      <c r="L125" t="s">
        <v>936</v>
      </c>
      <c r="M125" t="s">
        <v>940</v>
      </c>
    </row>
    <row r="126" spans="1:13" x14ac:dyDescent="0.3">
      <c r="A126" t="s">
        <v>838</v>
      </c>
      <c r="B126">
        <v>128</v>
      </c>
      <c r="C126">
        <v>28306354</v>
      </c>
      <c r="D126">
        <v>484497</v>
      </c>
      <c r="E126">
        <v>740</v>
      </c>
      <c r="F126">
        <v>935880</v>
      </c>
      <c r="G126">
        <v>217726161</v>
      </c>
      <c r="H126">
        <v>2523871</v>
      </c>
      <c r="I126">
        <v>45920</v>
      </c>
      <c r="J126">
        <v>5152246</v>
      </c>
      <c r="K126">
        <v>34710</v>
      </c>
      <c r="L126" t="s">
        <v>936</v>
      </c>
      <c r="M126" t="s">
        <v>942</v>
      </c>
    </row>
    <row r="127" spans="1:13" x14ac:dyDescent="0.3">
      <c r="A127" t="s">
        <v>828</v>
      </c>
      <c r="B127">
        <v>119</v>
      </c>
      <c r="C127">
        <v>25992655</v>
      </c>
      <c r="D127">
        <v>393334</v>
      </c>
      <c r="E127">
        <v>10850</v>
      </c>
      <c r="F127">
        <v>0</v>
      </c>
      <c r="G127">
        <v>220349890</v>
      </c>
      <c r="H127">
        <v>2496079</v>
      </c>
      <c r="I127">
        <v>62551</v>
      </c>
      <c r="J127">
        <v>13759215</v>
      </c>
      <c r="K127">
        <v>34503</v>
      </c>
      <c r="L127" t="s">
        <v>936</v>
      </c>
      <c r="M127" t="s">
        <v>946</v>
      </c>
    </row>
    <row r="128" spans="1:13" x14ac:dyDescent="0.3">
      <c r="A128" t="s">
        <v>971</v>
      </c>
      <c r="B128">
        <v>123</v>
      </c>
      <c r="C128">
        <v>25289882</v>
      </c>
      <c r="D128">
        <v>435554</v>
      </c>
      <c r="E128">
        <v>350</v>
      </c>
      <c r="F128">
        <v>0</v>
      </c>
      <c r="G128">
        <v>248014883</v>
      </c>
      <c r="H128">
        <v>2489945</v>
      </c>
      <c r="I128">
        <v>32751</v>
      </c>
      <c r="J128">
        <v>3579744</v>
      </c>
      <c r="K128">
        <v>35430</v>
      </c>
      <c r="L128" t="s">
        <v>936</v>
      </c>
      <c r="M128" t="s">
        <v>942</v>
      </c>
    </row>
    <row r="129" spans="1:13" x14ac:dyDescent="0.3">
      <c r="A129" t="s">
        <v>840</v>
      </c>
      <c r="B129">
        <v>131</v>
      </c>
      <c r="C129">
        <v>29484146</v>
      </c>
      <c r="D129">
        <v>466918</v>
      </c>
      <c r="E129">
        <v>404</v>
      </c>
      <c r="F129">
        <v>0</v>
      </c>
      <c r="G129">
        <v>213182151</v>
      </c>
      <c r="H129">
        <v>2458713</v>
      </c>
      <c r="I129">
        <v>24709</v>
      </c>
      <c r="J129">
        <v>7092507</v>
      </c>
      <c r="K129">
        <v>35350</v>
      </c>
      <c r="L129" t="s">
        <v>936</v>
      </c>
      <c r="M129" t="s">
        <v>937</v>
      </c>
    </row>
    <row r="130" spans="1:13" x14ac:dyDescent="0.3">
      <c r="A130" t="s">
        <v>832</v>
      </c>
      <c r="B130">
        <v>125</v>
      </c>
      <c r="C130">
        <v>17432258</v>
      </c>
      <c r="D130">
        <v>380373</v>
      </c>
      <c r="E130">
        <v>11700</v>
      </c>
      <c r="F130">
        <v>0</v>
      </c>
      <c r="G130">
        <v>216657547</v>
      </c>
      <c r="H130">
        <v>2353557</v>
      </c>
      <c r="I130">
        <v>104052</v>
      </c>
      <c r="J130">
        <v>47067969</v>
      </c>
      <c r="K130">
        <v>30250</v>
      </c>
      <c r="L130" t="s">
        <v>936</v>
      </c>
      <c r="M130" t="s">
        <v>946</v>
      </c>
    </row>
    <row r="131" spans="1:13" x14ac:dyDescent="0.3">
      <c r="A131" t="s">
        <v>843</v>
      </c>
      <c r="B131">
        <v>136</v>
      </c>
      <c r="C131">
        <v>20107314</v>
      </c>
      <c r="D131">
        <v>398381</v>
      </c>
      <c r="E131">
        <v>3194</v>
      </c>
      <c r="F131">
        <v>0</v>
      </c>
      <c r="G131">
        <v>196438192</v>
      </c>
      <c r="H131">
        <v>2338465</v>
      </c>
      <c r="I131">
        <v>54455</v>
      </c>
      <c r="J131">
        <v>3519551</v>
      </c>
      <c r="K131">
        <v>34733</v>
      </c>
      <c r="L131" t="s">
        <v>936</v>
      </c>
      <c r="M131" t="s">
        <v>962</v>
      </c>
    </row>
    <row r="132" spans="1:13" x14ac:dyDescent="0.3">
      <c r="A132" t="s">
        <v>841</v>
      </c>
      <c r="B132">
        <v>132</v>
      </c>
      <c r="C132">
        <v>19030183</v>
      </c>
      <c r="D132">
        <v>389699</v>
      </c>
      <c r="E132">
        <v>7200</v>
      </c>
      <c r="F132">
        <v>1332616</v>
      </c>
      <c r="G132">
        <v>158651162</v>
      </c>
      <c r="H132">
        <v>2304032</v>
      </c>
      <c r="I132">
        <v>65103</v>
      </c>
      <c r="J132">
        <v>37062837</v>
      </c>
      <c r="K132">
        <v>30190</v>
      </c>
      <c r="L132" t="s">
        <v>936</v>
      </c>
      <c r="M132" t="s">
        <v>945</v>
      </c>
    </row>
    <row r="133" spans="1:13" x14ac:dyDescent="0.3">
      <c r="A133" t="s">
        <v>845</v>
      </c>
      <c r="B133">
        <v>133</v>
      </c>
      <c r="C133">
        <v>38641310</v>
      </c>
      <c r="D133">
        <v>491576</v>
      </c>
      <c r="E133">
        <v>0</v>
      </c>
      <c r="F133">
        <v>0</v>
      </c>
      <c r="G133">
        <v>264775721</v>
      </c>
      <c r="H133">
        <v>2278510</v>
      </c>
      <c r="I133">
        <v>35605</v>
      </c>
      <c r="J133">
        <v>20487871</v>
      </c>
      <c r="K133">
        <v>38510</v>
      </c>
      <c r="L133" t="s">
        <v>936</v>
      </c>
      <c r="M133" t="s">
        <v>944</v>
      </c>
    </row>
    <row r="134" spans="1:13" x14ac:dyDescent="0.3">
      <c r="A134" t="s">
        <v>848</v>
      </c>
      <c r="B134">
        <v>139</v>
      </c>
      <c r="C134">
        <v>19123161</v>
      </c>
      <c r="D134">
        <v>440214</v>
      </c>
      <c r="E134">
        <v>3250</v>
      </c>
      <c r="F134">
        <v>0</v>
      </c>
      <c r="G134">
        <v>212182489</v>
      </c>
      <c r="H134">
        <v>2257078</v>
      </c>
      <c r="I134">
        <v>44287</v>
      </c>
      <c r="J134">
        <v>6223868</v>
      </c>
      <c r="K134">
        <v>36929</v>
      </c>
      <c r="L134" t="s">
        <v>936</v>
      </c>
      <c r="M134" t="s">
        <v>945</v>
      </c>
    </row>
    <row r="135" spans="1:13" x14ac:dyDescent="0.3">
      <c r="A135" t="s">
        <v>846</v>
      </c>
      <c r="B135">
        <v>137</v>
      </c>
      <c r="C135">
        <v>34659153</v>
      </c>
      <c r="D135">
        <v>442336</v>
      </c>
      <c r="E135">
        <v>15505</v>
      </c>
      <c r="F135">
        <v>0</v>
      </c>
      <c r="G135">
        <v>222013720</v>
      </c>
      <c r="H135">
        <v>2256178</v>
      </c>
      <c r="I135">
        <v>123218</v>
      </c>
      <c r="J135">
        <v>3654670</v>
      </c>
      <c r="K135">
        <v>33940</v>
      </c>
      <c r="L135" t="s">
        <v>936</v>
      </c>
      <c r="M135" t="s">
        <v>942</v>
      </c>
    </row>
    <row r="136" spans="1:13" x14ac:dyDescent="0.3">
      <c r="A136" t="s">
        <v>965</v>
      </c>
      <c r="B136">
        <v>135</v>
      </c>
      <c r="C136">
        <v>19836753</v>
      </c>
      <c r="D136">
        <v>449740</v>
      </c>
      <c r="E136">
        <v>394</v>
      </c>
      <c r="F136">
        <v>0</v>
      </c>
      <c r="G136">
        <v>208390702</v>
      </c>
      <c r="H136">
        <v>2242517</v>
      </c>
      <c r="I136">
        <v>49210</v>
      </c>
      <c r="J136">
        <v>2946859</v>
      </c>
      <c r="K136">
        <v>36013</v>
      </c>
      <c r="L136" t="s">
        <v>936</v>
      </c>
      <c r="M136" t="s">
        <v>942</v>
      </c>
    </row>
    <row r="137" spans="1:13" x14ac:dyDescent="0.3">
      <c r="A137" t="s">
        <v>966</v>
      </c>
      <c r="B137">
        <v>149</v>
      </c>
      <c r="C137">
        <v>25289491</v>
      </c>
      <c r="D137">
        <v>539829</v>
      </c>
      <c r="E137">
        <v>408</v>
      </c>
      <c r="F137">
        <v>2030326</v>
      </c>
      <c r="G137">
        <v>226870209</v>
      </c>
      <c r="H137">
        <v>2222474</v>
      </c>
      <c r="I137">
        <v>6084</v>
      </c>
      <c r="J137">
        <v>8821778</v>
      </c>
      <c r="K137">
        <v>40810</v>
      </c>
      <c r="L137" t="s">
        <v>936</v>
      </c>
      <c r="M137" t="s">
        <v>940</v>
      </c>
    </row>
    <row r="138" spans="1:13" x14ac:dyDescent="0.3">
      <c r="A138" t="s">
        <v>831</v>
      </c>
      <c r="B138">
        <v>127</v>
      </c>
      <c r="C138">
        <v>12146592</v>
      </c>
      <c r="D138">
        <v>268900</v>
      </c>
      <c r="E138">
        <v>3050</v>
      </c>
      <c r="F138">
        <v>15481774</v>
      </c>
      <c r="G138">
        <v>209771006</v>
      </c>
      <c r="H138">
        <v>2194804</v>
      </c>
      <c r="I138">
        <v>75527</v>
      </c>
      <c r="J138">
        <v>44757350</v>
      </c>
      <c r="K138">
        <v>36406</v>
      </c>
      <c r="L138" t="s">
        <v>936</v>
      </c>
      <c r="M138" t="s">
        <v>940</v>
      </c>
    </row>
    <row r="139" spans="1:13" x14ac:dyDescent="0.3">
      <c r="A139" t="s">
        <v>604</v>
      </c>
      <c r="B139">
        <v>134</v>
      </c>
      <c r="C139">
        <v>16549025</v>
      </c>
      <c r="D139">
        <v>344376</v>
      </c>
      <c r="E139">
        <v>350</v>
      </c>
      <c r="F139">
        <v>1776948</v>
      </c>
      <c r="G139">
        <v>246133792</v>
      </c>
      <c r="H139">
        <v>2192007</v>
      </c>
      <c r="I139">
        <v>25331</v>
      </c>
      <c r="J139">
        <v>8601549</v>
      </c>
      <c r="K139">
        <v>29543</v>
      </c>
      <c r="L139" t="s">
        <v>936</v>
      </c>
      <c r="M139" t="s">
        <v>945</v>
      </c>
    </row>
    <row r="140" spans="1:13" x14ac:dyDescent="0.3">
      <c r="A140" t="s">
        <v>974</v>
      </c>
      <c r="B140">
        <v>141</v>
      </c>
      <c r="C140">
        <v>17374485</v>
      </c>
      <c r="D140">
        <v>375655</v>
      </c>
      <c r="E140">
        <v>1140</v>
      </c>
      <c r="F140">
        <v>2990837</v>
      </c>
      <c r="G140">
        <v>217855291</v>
      </c>
      <c r="H140">
        <v>2180576</v>
      </c>
      <c r="I140">
        <v>23976</v>
      </c>
      <c r="J140">
        <v>9501277</v>
      </c>
      <c r="K140">
        <v>37406</v>
      </c>
      <c r="L140" t="s">
        <v>936</v>
      </c>
      <c r="M140" t="s">
        <v>942</v>
      </c>
    </row>
    <row r="141" spans="1:13" x14ac:dyDescent="0.3">
      <c r="A141" t="s">
        <v>835</v>
      </c>
      <c r="B141">
        <v>130</v>
      </c>
      <c r="C141">
        <v>25324548</v>
      </c>
      <c r="D141">
        <v>264687</v>
      </c>
      <c r="E141">
        <v>0</v>
      </c>
      <c r="F141">
        <v>0</v>
      </c>
      <c r="G141">
        <v>250243563</v>
      </c>
      <c r="H141">
        <v>2174007</v>
      </c>
      <c r="I141">
        <v>32568</v>
      </c>
      <c r="J141">
        <v>4525150</v>
      </c>
      <c r="K141">
        <v>36713</v>
      </c>
      <c r="L141" t="s">
        <v>936</v>
      </c>
      <c r="M141" t="s">
        <v>944</v>
      </c>
    </row>
    <row r="142" spans="1:13" x14ac:dyDescent="0.3">
      <c r="A142" t="s">
        <v>849</v>
      </c>
      <c r="B142">
        <v>138</v>
      </c>
      <c r="C142">
        <v>43335337</v>
      </c>
      <c r="D142">
        <v>453727</v>
      </c>
      <c r="E142">
        <v>760</v>
      </c>
      <c r="F142">
        <v>0</v>
      </c>
      <c r="G142">
        <v>346219778</v>
      </c>
      <c r="H142">
        <v>2108294</v>
      </c>
      <c r="I142">
        <v>19742</v>
      </c>
      <c r="J142">
        <v>4192603</v>
      </c>
      <c r="K142">
        <v>38990</v>
      </c>
      <c r="L142" t="s">
        <v>936</v>
      </c>
      <c r="M142" t="s">
        <v>937</v>
      </c>
    </row>
    <row r="143" spans="1:13" x14ac:dyDescent="0.3">
      <c r="A143" t="s">
        <v>864</v>
      </c>
      <c r="B143">
        <v>155</v>
      </c>
      <c r="C143">
        <v>41785623</v>
      </c>
      <c r="D143">
        <v>585143</v>
      </c>
      <c r="E143">
        <v>600</v>
      </c>
      <c r="F143">
        <v>0</v>
      </c>
      <c r="G143">
        <v>230637040</v>
      </c>
      <c r="H143">
        <v>2101804</v>
      </c>
      <c r="I143">
        <v>14865</v>
      </c>
      <c r="J143">
        <v>3144058</v>
      </c>
      <c r="K143">
        <v>42696</v>
      </c>
      <c r="L143" t="s">
        <v>936</v>
      </c>
      <c r="M143" t="s">
        <v>937</v>
      </c>
    </row>
    <row r="144" spans="1:13" x14ac:dyDescent="0.3">
      <c r="A144" t="s">
        <v>857</v>
      </c>
      <c r="B144">
        <v>145</v>
      </c>
      <c r="C144">
        <v>28522515</v>
      </c>
      <c r="D144">
        <v>470333</v>
      </c>
      <c r="E144">
        <v>293</v>
      </c>
      <c r="F144">
        <v>0</v>
      </c>
      <c r="G144">
        <v>226898590</v>
      </c>
      <c r="H144">
        <v>2100297</v>
      </c>
      <c r="I144">
        <v>17864</v>
      </c>
      <c r="J144">
        <v>3835056</v>
      </c>
      <c r="K144">
        <v>40376</v>
      </c>
      <c r="L144" t="s">
        <v>936</v>
      </c>
      <c r="M144" t="s">
        <v>962</v>
      </c>
    </row>
    <row r="145" spans="1:13" x14ac:dyDescent="0.3">
      <c r="A145" t="s">
        <v>859</v>
      </c>
      <c r="B145">
        <v>151</v>
      </c>
      <c r="C145">
        <v>43067654</v>
      </c>
      <c r="D145">
        <v>412367</v>
      </c>
      <c r="E145">
        <v>771</v>
      </c>
      <c r="F145">
        <v>0</v>
      </c>
      <c r="G145">
        <v>264749514</v>
      </c>
      <c r="H145">
        <v>2099798</v>
      </c>
      <c r="I145">
        <v>19746</v>
      </c>
      <c r="J145">
        <v>5374699</v>
      </c>
      <c r="K145">
        <v>40730</v>
      </c>
      <c r="L145" t="s">
        <v>936</v>
      </c>
      <c r="M145" t="s">
        <v>962</v>
      </c>
    </row>
    <row r="146" spans="1:13" x14ac:dyDescent="0.3">
      <c r="A146" t="s">
        <v>844</v>
      </c>
      <c r="B146">
        <v>142</v>
      </c>
      <c r="C146">
        <v>24384216</v>
      </c>
      <c r="D146">
        <v>227549</v>
      </c>
      <c r="E146">
        <v>723</v>
      </c>
      <c r="F146">
        <v>0</v>
      </c>
      <c r="G146">
        <v>242265669</v>
      </c>
      <c r="H146">
        <v>2073883</v>
      </c>
      <c r="I146">
        <v>46077</v>
      </c>
      <c r="J146">
        <v>9247747</v>
      </c>
      <c r="K146">
        <v>33146</v>
      </c>
      <c r="L146" t="s">
        <v>936</v>
      </c>
      <c r="M146" t="s">
        <v>939</v>
      </c>
    </row>
    <row r="147" spans="1:13" x14ac:dyDescent="0.3">
      <c r="A147" t="s">
        <v>852</v>
      </c>
      <c r="B147">
        <v>146</v>
      </c>
      <c r="C147">
        <v>29936057</v>
      </c>
      <c r="D147">
        <v>366275</v>
      </c>
      <c r="E147">
        <v>552</v>
      </c>
      <c r="F147">
        <v>0</v>
      </c>
      <c r="G147">
        <v>200039106</v>
      </c>
      <c r="H147">
        <v>2020267</v>
      </c>
      <c r="I147">
        <v>17044</v>
      </c>
      <c r="J147">
        <v>3417438</v>
      </c>
      <c r="K147">
        <v>33700</v>
      </c>
      <c r="L147" t="s">
        <v>936</v>
      </c>
      <c r="M147" t="s">
        <v>940</v>
      </c>
    </row>
    <row r="148" spans="1:13" x14ac:dyDescent="0.3">
      <c r="A148" t="s">
        <v>847</v>
      </c>
      <c r="B148">
        <v>143</v>
      </c>
      <c r="C148">
        <v>65969062</v>
      </c>
      <c r="D148">
        <v>278340</v>
      </c>
      <c r="E148">
        <v>0</v>
      </c>
      <c r="F148">
        <v>0</v>
      </c>
      <c r="G148">
        <v>226933951</v>
      </c>
      <c r="H148">
        <v>2014081</v>
      </c>
      <c r="I148">
        <v>42681</v>
      </c>
      <c r="J148">
        <v>3573341</v>
      </c>
      <c r="K148">
        <v>31353</v>
      </c>
      <c r="L148" t="s">
        <v>936</v>
      </c>
      <c r="M148" t="s">
        <v>937</v>
      </c>
    </row>
    <row r="149" spans="1:13" x14ac:dyDescent="0.3">
      <c r="A149" t="s">
        <v>855</v>
      </c>
      <c r="B149">
        <v>144</v>
      </c>
      <c r="C149">
        <v>36016088</v>
      </c>
      <c r="D149">
        <v>468254</v>
      </c>
      <c r="E149">
        <v>754</v>
      </c>
      <c r="F149">
        <v>0</v>
      </c>
      <c r="G149">
        <v>221003854</v>
      </c>
      <c r="H149">
        <v>2005835</v>
      </c>
      <c r="I149">
        <v>37586</v>
      </c>
      <c r="J149">
        <v>3571075</v>
      </c>
      <c r="K149">
        <v>36810</v>
      </c>
      <c r="L149" t="s">
        <v>936</v>
      </c>
      <c r="M149" t="s">
        <v>940</v>
      </c>
    </row>
    <row r="150" spans="1:13" x14ac:dyDescent="0.3">
      <c r="A150" t="s">
        <v>977</v>
      </c>
      <c r="B150">
        <v>161</v>
      </c>
      <c r="C150">
        <v>17458799</v>
      </c>
      <c r="D150">
        <v>381995</v>
      </c>
      <c r="E150">
        <v>350</v>
      </c>
      <c r="F150">
        <v>453192</v>
      </c>
      <c r="G150">
        <v>189876056</v>
      </c>
      <c r="H150">
        <v>1955715</v>
      </c>
      <c r="I150">
        <v>6242</v>
      </c>
      <c r="J150">
        <v>9466611</v>
      </c>
      <c r="K150">
        <v>37090</v>
      </c>
      <c r="L150" t="s">
        <v>936</v>
      </c>
      <c r="M150" t="s">
        <v>959</v>
      </c>
    </row>
    <row r="151" spans="1:13" x14ac:dyDescent="0.3">
      <c r="A151" t="s">
        <v>869</v>
      </c>
      <c r="B151">
        <v>165</v>
      </c>
      <c r="C151">
        <v>25322300</v>
      </c>
      <c r="D151">
        <v>436494</v>
      </c>
      <c r="E151">
        <v>8550</v>
      </c>
      <c r="F151">
        <v>0</v>
      </c>
      <c r="G151">
        <v>170853282</v>
      </c>
      <c r="H151">
        <v>1911678</v>
      </c>
      <c r="I151">
        <v>89227</v>
      </c>
      <c r="J151">
        <v>2945065</v>
      </c>
      <c r="K151">
        <v>27240</v>
      </c>
      <c r="L151" t="s">
        <v>936</v>
      </c>
      <c r="M151" t="s">
        <v>940</v>
      </c>
    </row>
    <row r="152" spans="1:13" x14ac:dyDescent="0.3">
      <c r="A152" t="s">
        <v>865</v>
      </c>
      <c r="B152">
        <v>158</v>
      </c>
      <c r="C152">
        <v>75135241</v>
      </c>
      <c r="D152">
        <v>574392</v>
      </c>
      <c r="E152">
        <v>350</v>
      </c>
      <c r="F152">
        <v>0</v>
      </c>
      <c r="G152">
        <v>202746747</v>
      </c>
      <c r="H152">
        <v>1844340</v>
      </c>
      <c r="I152">
        <v>3525</v>
      </c>
      <c r="J152">
        <v>35083546</v>
      </c>
      <c r="K152">
        <v>38520</v>
      </c>
      <c r="L152" t="s">
        <v>936</v>
      </c>
      <c r="M152" t="s">
        <v>937</v>
      </c>
    </row>
    <row r="153" spans="1:13" x14ac:dyDescent="0.3">
      <c r="A153" t="s">
        <v>863</v>
      </c>
      <c r="B153">
        <v>156</v>
      </c>
      <c r="C153">
        <v>37116327</v>
      </c>
      <c r="D153">
        <v>548881</v>
      </c>
      <c r="E153">
        <v>700</v>
      </c>
      <c r="F153">
        <v>0</v>
      </c>
      <c r="G153">
        <v>194642790</v>
      </c>
      <c r="H153">
        <v>1824755</v>
      </c>
      <c r="I153">
        <v>16930</v>
      </c>
      <c r="J153">
        <v>32311958</v>
      </c>
      <c r="K153">
        <v>43360</v>
      </c>
      <c r="L153" t="s">
        <v>936</v>
      </c>
      <c r="M153" t="s">
        <v>959</v>
      </c>
    </row>
    <row r="154" spans="1:13" x14ac:dyDescent="0.3">
      <c r="A154" t="s">
        <v>850</v>
      </c>
      <c r="B154">
        <v>148</v>
      </c>
      <c r="C154">
        <v>10681446</v>
      </c>
      <c r="D154">
        <v>214581</v>
      </c>
      <c r="E154">
        <v>700</v>
      </c>
      <c r="F154">
        <v>0</v>
      </c>
      <c r="G154">
        <v>170442708</v>
      </c>
      <c r="H154">
        <v>1815500</v>
      </c>
      <c r="I154">
        <v>40028</v>
      </c>
      <c r="J154">
        <v>2328448</v>
      </c>
      <c r="K154">
        <v>30740</v>
      </c>
      <c r="L154" t="s">
        <v>936</v>
      </c>
      <c r="M154" t="s">
        <v>944</v>
      </c>
    </row>
    <row r="155" spans="1:13" x14ac:dyDescent="0.3">
      <c r="A155" t="s">
        <v>884</v>
      </c>
      <c r="B155">
        <v>180</v>
      </c>
      <c r="C155">
        <v>22720054</v>
      </c>
      <c r="D155">
        <v>439950</v>
      </c>
      <c r="E155">
        <v>24902</v>
      </c>
      <c r="F155">
        <v>5581534</v>
      </c>
      <c r="G155">
        <v>119225246</v>
      </c>
      <c r="H155">
        <v>1814829</v>
      </c>
      <c r="I155">
        <v>111034</v>
      </c>
      <c r="J155">
        <v>38833787</v>
      </c>
      <c r="K155">
        <v>27366</v>
      </c>
      <c r="L155" t="s">
        <v>936</v>
      </c>
      <c r="M155" t="s">
        <v>959</v>
      </c>
    </row>
    <row r="156" spans="1:13" x14ac:dyDescent="0.3">
      <c r="A156" t="s">
        <v>862</v>
      </c>
      <c r="B156">
        <v>160</v>
      </c>
      <c r="C156">
        <v>21390846</v>
      </c>
      <c r="D156">
        <v>413621</v>
      </c>
      <c r="E156">
        <v>3250</v>
      </c>
      <c r="F156">
        <v>0</v>
      </c>
      <c r="G156">
        <v>252199381</v>
      </c>
      <c r="H156">
        <v>1797194</v>
      </c>
      <c r="I156">
        <v>24811</v>
      </c>
      <c r="J156">
        <v>2262023</v>
      </c>
      <c r="K156">
        <v>40600</v>
      </c>
      <c r="L156" t="s">
        <v>936</v>
      </c>
      <c r="M156" t="s">
        <v>944</v>
      </c>
    </row>
    <row r="157" spans="1:13" x14ac:dyDescent="0.3">
      <c r="A157" t="s">
        <v>851</v>
      </c>
      <c r="B157">
        <v>147</v>
      </c>
      <c r="C157">
        <v>13881594</v>
      </c>
      <c r="D157">
        <v>271296</v>
      </c>
      <c r="E157">
        <v>9100</v>
      </c>
      <c r="F157">
        <v>0</v>
      </c>
      <c r="G157">
        <v>159158373</v>
      </c>
      <c r="H157">
        <v>1781739</v>
      </c>
      <c r="I157">
        <v>46470</v>
      </c>
      <c r="J157">
        <v>4801442</v>
      </c>
      <c r="K157">
        <v>29940</v>
      </c>
      <c r="L157" t="s">
        <v>936</v>
      </c>
      <c r="M157" t="s">
        <v>940</v>
      </c>
    </row>
    <row r="158" spans="1:13" x14ac:dyDescent="0.3">
      <c r="A158" t="s">
        <v>968</v>
      </c>
      <c r="B158">
        <v>163</v>
      </c>
      <c r="C158">
        <v>17309114</v>
      </c>
      <c r="D158">
        <v>323048</v>
      </c>
      <c r="E158">
        <v>0</v>
      </c>
      <c r="F158">
        <v>0</v>
      </c>
      <c r="G158">
        <v>175364298</v>
      </c>
      <c r="H158">
        <v>1775540</v>
      </c>
      <c r="I158">
        <v>7508</v>
      </c>
      <c r="J158">
        <v>3626092</v>
      </c>
      <c r="K158">
        <v>33170</v>
      </c>
      <c r="L158" t="s">
        <v>936</v>
      </c>
      <c r="M158" t="s">
        <v>945</v>
      </c>
    </row>
    <row r="159" spans="1:13" x14ac:dyDescent="0.3">
      <c r="A159" t="s">
        <v>975</v>
      </c>
      <c r="B159">
        <v>154</v>
      </c>
      <c r="C159">
        <v>7621917</v>
      </c>
      <c r="D159">
        <v>173561</v>
      </c>
      <c r="E159">
        <v>2352</v>
      </c>
      <c r="F159">
        <v>0</v>
      </c>
      <c r="G159">
        <v>159967343</v>
      </c>
      <c r="H159">
        <v>1750190</v>
      </c>
      <c r="I159">
        <v>56481</v>
      </c>
      <c r="J159">
        <v>5539743</v>
      </c>
      <c r="K159">
        <v>35100</v>
      </c>
      <c r="L159" t="s">
        <v>936</v>
      </c>
      <c r="M159" t="s">
        <v>945</v>
      </c>
    </row>
    <row r="160" spans="1:13" x14ac:dyDescent="0.3">
      <c r="A160" t="s">
        <v>858</v>
      </c>
      <c r="B160">
        <v>153</v>
      </c>
      <c r="C160">
        <v>36773301</v>
      </c>
      <c r="D160">
        <v>311044</v>
      </c>
      <c r="E160">
        <v>12453</v>
      </c>
      <c r="F160">
        <v>4760591</v>
      </c>
      <c r="G160">
        <v>267731410</v>
      </c>
      <c r="H160">
        <v>1745079</v>
      </c>
      <c r="I160">
        <v>51487</v>
      </c>
      <c r="J160">
        <v>38613980</v>
      </c>
      <c r="K160">
        <v>35210</v>
      </c>
      <c r="L160" t="s">
        <v>936</v>
      </c>
      <c r="M160" t="s">
        <v>942</v>
      </c>
    </row>
    <row r="161" spans="1:13" x14ac:dyDescent="0.3">
      <c r="A161" t="s">
        <v>860</v>
      </c>
      <c r="B161">
        <v>159</v>
      </c>
      <c r="C161">
        <v>16313585</v>
      </c>
      <c r="D161">
        <v>235722</v>
      </c>
      <c r="E161">
        <v>4950</v>
      </c>
      <c r="F161">
        <v>5188039</v>
      </c>
      <c r="G161">
        <v>131267142</v>
      </c>
      <c r="H161">
        <v>1744406</v>
      </c>
      <c r="I161">
        <v>19120</v>
      </c>
      <c r="J161">
        <v>30769049</v>
      </c>
      <c r="K161">
        <v>31263</v>
      </c>
      <c r="L161" t="s">
        <v>936</v>
      </c>
      <c r="M161" t="s">
        <v>946</v>
      </c>
    </row>
    <row r="162" spans="1:13" x14ac:dyDescent="0.3">
      <c r="A162" t="s">
        <v>854</v>
      </c>
      <c r="B162">
        <v>150</v>
      </c>
      <c r="C162">
        <v>12493143</v>
      </c>
      <c r="D162">
        <v>250691</v>
      </c>
      <c r="E162">
        <v>252</v>
      </c>
      <c r="F162">
        <v>0</v>
      </c>
      <c r="G162">
        <v>211803419</v>
      </c>
      <c r="H162">
        <v>1740127</v>
      </c>
      <c r="I162">
        <v>26223</v>
      </c>
      <c r="J162">
        <v>3243805</v>
      </c>
      <c r="K162">
        <v>18796</v>
      </c>
      <c r="L162" t="s">
        <v>936</v>
      </c>
      <c r="M162" t="s">
        <v>942</v>
      </c>
    </row>
    <row r="163" spans="1:13" x14ac:dyDescent="0.3">
      <c r="A163" t="s">
        <v>842</v>
      </c>
      <c r="B163">
        <v>140</v>
      </c>
      <c r="C163">
        <v>6150123</v>
      </c>
      <c r="D163">
        <v>111072</v>
      </c>
      <c r="E163">
        <v>3050</v>
      </c>
      <c r="F163">
        <v>0</v>
      </c>
      <c r="G163">
        <v>205164812</v>
      </c>
      <c r="H163">
        <v>1711699</v>
      </c>
      <c r="I163">
        <v>84566</v>
      </c>
      <c r="J163">
        <v>3770795</v>
      </c>
      <c r="K163">
        <v>36440</v>
      </c>
      <c r="L163" t="s">
        <v>936</v>
      </c>
      <c r="M163" t="s">
        <v>946</v>
      </c>
    </row>
    <row r="164" spans="1:13" x14ac:dyDescent="0.3">
      <c r="A164" t="s">
        <v>871</v>
      </c>
      <c r="B164">
        <v>168</v>
      </c>
      <c r="C164">
        <v>27485675</v>
      </c>
      <c r="D164">
        <v>397863</v>
      </c>
      <c r="E164">
        <v>700</v>
      </c>
      <c r="F164">
        <v>0</v>
      </c>
      <c r="G164">
        <v>166322972</v>
      </c>
      <c r="H164">
        <v>1666526</v>
      </c>
      <c r="I164">
        <v>8246</v>
      </c>
      <c r="J164">
        <v>4022349</v>
      </c>
      <c r="K164">
        <v>33079</v>
      </c>
      <c r="L164" t="s">
        <v>936</v>
      </c>
      <c r="M164" t="s">
        <v>959</v>
      </c>
    </row>
    <row r="165" spans="1:13" x14ac:dyDescent="0.3">
      <c r="A165" t="s">
        <v>853</v>
      </c>
      <c r="B165">
        <v>152</v>
      </c>
      <c r="C165">
        <v>8735499</v>
      </c>
      <c r="D165">
        <v>163847</v>
      </c>
      <c r="E165">
        <v>0</v>
      </c>
      <c r="F165">
        <v>0</v>
      </c>
      <c r="G165">
        <v>150170602</v>
      </c>
      <c r="H165">
        <v>1645465</v>
      </c>
      <c r="I165">
        <v>36309</v>
      </c>
      <c r="J165">
        <v>53580116</v>
      </c>
      <c r="K165">
        <v>28230</v>
      </c>
      <c r="L165" t="s">
        <v>936</v>
      </c>
      <c r="M165" t="s">
        <v>943</v>
      </c>
    </row>
    <row r="166" spans="1:13" x14ac:dyDescent="0.3">
      <c r="A166" t="s">
        <v>856</v>
      </c>
      <c r="B166">
        <v>157</v>
      </c>
      <c r="C166">
        <v>3737358</v>
      </c>
      <c r="D166">
        <v>74787</v>
      </c>
      <c r="E166">
        <v>0</v>
      </c>
      <c r="F166">
        <v>0</v>
      </c>
      <c r="G166">
        <v>120427579</v>
      </c>
      <c r="H166">
        <v>1623545</v>
      </c>
      <c r="I166">
        <v>38444</v>
      </c>
      <c r="J166">
        <v>37620030</v>
      </c>
      <c r="K166">
        <v>17328</v>
      </c>
      <c r="L166" t="s">
        <v>936</v>
      </c>
      <c r="M166" t="s">
        <v>939</v>
      </c>
    </row>
    <row r="167" spans="1:13" x14ac:dyDescent="0.3">
      <c r="A167" t="s">
        <v>873</v>
      </c>
      <c r="B167">
        <v>171</v>
      </c>
      <c r="C167">
        <v>14210366</v>
      </c>
      <c r="D167">
        <v>315888</v>
      </c>
      <c r="E167">
        <v>900</v>
      </c>
      <c r="F167">
        <v>0</v>
      </c>
      <c r="G167">
        <v>193983128</v>
      </c>
      <c r="H167">
        <v>1621279</v>
      </c>
      <c r="I167">
        <v>33266</v>
      </c>
      <c r="J167">
        <v>6642651</v>
      </c>
      <c r="K167">
        <v>33663</v>
      </c>
      <c r="L167" t="s">
        <v>936</v>
      </c>
      <c r="M167" t="s">
        <v>937</v>
      </c>
    </row>
    <row r="168" spans="1:13" x14ac:dyDescent="0.3">
      <c r="A168" t="s">
        <v>867</v>
      </c>
      <c r="B168">
        <v>164</v>
      </c>
      <c r="C168">
        <v>21441779</v>
      </c>
      <c r="D168">
        <v>336376</v>
      </c>
      <c r="E168">
        <v>202</v>
      </c>
      <c r="F168">
        <v>0</v>
      </c>
      <c r="G168">
        <v>198532799</v>
      </c>
      <c r="H168">
        <v>1580342</v>
      </c>
      <c r="I168">
        <v>31882</v>
      </c>
      <c r="J168">
        <v>3753806</v>
      </c>
      <c r="K168">
        <v>32100</v>
      </c>
      <c r="L168" t="s">
        <v>936</v>
      </c>
      <c r="M168" t="s">
        <v>940</v>
      </c>
    </row>
    <row r="169" spans="1:13" x14ac:dyDescent="0.3">
      <c r="A169" t="s">
        <v>872</v>
      </c>
      <c r="B169">
        <v>169</v>
      </c>
      <c r="C169">
        <v>24799275</v>
      </c>
      <c r="D169">
        <v>437864</v>
      </c>
      <c r="E169">
        <v>0</v>
      </c>
      <c r="F169">
        <v>0</v>
      </c>
      <c r="G169">
        <v>196640286</v>
      </c>
      <c r="H169">
        <v>1570043</v>
      </c>
      <c r="I169">
        <v>2600</v>
      </c>
      <c r="J169">
        <v>2749870</v>
      </c>
      <c r="K169">
        <v>38766</v>
      </c>
      <c r="L169" t="s">
        <v>936</v>
      </c>
      <c r="M169" t="s">
        <v>944</v>
      </c>
    </row>
    <row r="170" spans="1:13" x14ac:dyDescent="0.3">
      <c r="A170" t="s">
        <v>870</v>
      </c>
      <c r="B170">
        <v>167</v>
      </c>
      <c r="C170">
        <v>38724016</v>
      </c>
      <c r="D170">
        <v>384359</v>
      </c>
      <c r="E170">
        <v>270</v>
      </c>
      <c r="F170">
        <v>0</v>
      </c>
      <c r="G170">
        <v>190326588</v>
      </c>
      <c r="H170">
        <v>1566425</v>
      </c>
      <c r="I170">
        <v>46759</v>
      </c>
      <c r="J170">
        <v>3293993</v>
      </c>
      <c r="K170">
        <v>31230</v>
      </c>
      <c r="L170" t="s">
        <v>936</v>
      </c>
      <c r="M170" t="s">
        <v>944</v>
      </c>
    </row>
    <row r="171" spans="1:13" x14ac:dyDescent="0.3">
      <c r="A171" t="s">
        <v>868</v>
      </c>
      <c r="B171">
        <v>166</v>
      </c>
      <c r="C171">
        <v>15646786</v>
      </c>
      <c r="D171">
        <v>303683</v>
      </c>
      <c r="E171">
        <v>350</v>
      </c>
      <c r="F171">
        <v>5197952</v>
      </c>
      <c r="G171">
        <v>140176923</v>
      </c>
      <c r="H171">
        <v>1494202</v>
      </c>
      <c r="I171">
        <v>15497</v>
      </c>
      <c r="J171">
        <v>34085517</v>
      </c>
      <c r="K171">
        <v>34163</v>
      </c>
      <c r="L171" t="s">
        <v>936</v>
      </c>
      <c r="M171" t="s">
        <v>962</v>
      </c>
    </row>
    <row r="172" spans="1:13" x14ac:dyDescent="0.3">
      <c r="A172" t="s">
        <v>877</v>
      </c>
      <c r="B172">
        <v>173</v>
      </c>
      <c r="C172">
        <v>26829925</v>
      </c>
      <c r="D172">
        <v>383245</v>
      </c>
      <c r="E172">
        <v>250</v>
      </c>
      <c r="F172">
        <v>2929423</v>
      </c>
      <c r="G172">
        <v>191272927</v>
      </c>
      <c r="H172">
        <v>1459940</v>
      </c>
      <c r="I172">
        <v>33253</v>
      </c>
      <c r="J172">
        <v>11408653</v>
      </c>
      <c r="K172">
        <v>37660</v>
      </c>
      <c r="L172" t="s">
        <v>936</v>
      </c>
      <c r="M172" t="s">
        <v>942</v>
      </c>
    </row>
    <row r="173" spans="1:13" x14ac:dyDescent="0.3">
      <c r="A173" t="s">
        <v>861</v>
      </c>
      <c r="B173">
        <v>162</v>
      </c>
      <c r="C173">
        <v>17048280</v>
      </c>
      <c r="D173">
        <v>125899</v>
      </c>
      <c r="E173">
        <v>6450</v>
      </c>
      <c r="F173">
        <v>0</v>
      </c>
      <c r="G173">
        <v>183506374</v>
      </c>
      <c r="H173">
        <v>1434715</v>
      </c>
      <c r="I173">
        <v>46868</v>
      </c>
      <c r="J173">
        <v>12560636</v>
      </c>
      <c r="K173">
        <v>33390</v>
      </c>
      <c r="L173" t="s">
        <v>936</v>
      </c>
      <c r="M173" t="s">
        <v>942</v>
      </c>
    </row>
    <row r="174" spans="1:13" x14ac:dyDescent="0.3">
      <c r="A174" t="s">
        <v>887</v>
      </c>
      <c r="B174">
        <v>185</v>
      </c>
      <c r="C174">
        <v>10234983</v>
      </c>
      <c r="D174">
        <v>304901</v>
      </c>
      <c r="E174">
        <v>23276</v>
      </c>
      <c r="F174">
        <v>9209619</v>
      </c>
      <c r="G174">
        <v>98779750</v>
      </c>
      <c r="H174">
        <v>1386586</v>
      </c>
      <c r="I174">
        <v>109470</v>
      </c>
      <c r="J174">
        <v>60926385</v>
      </c>
      <c r="K174">
        <v>17691</v>
      </c>
      <c r="L174" t="s">
        <v>936</v>
      </c>
      <c r="M174" t="s">
        <v>937</v>
      </c>
    </row>
    <row r="175" spans="1:13" x14ac:dyDescent="0.3">
      <c r="A175" t="s">
        <v>874</v>
      </c>
      <c r="B175">
        <v>172</v>
      </c>
      <c r="C175">
        <v>31582096</v>
      </c>
      <c r="D175">
        <v>309933</v>
      </c>
      <c r="E175">
        <v>765</v>
      </c>
      <c r="F175">
        <v>1158211</v>
      </c>
      <c r="G175">
        <v>199167044</v>
      </c>
      <c r="H175">
        <v>1371317</v>
      </c>
      <c r="I175">
        <v>9363</v>
      </c>
      <c r="J175">
        <v>7543542</v>
      </c>
      <c r="K175">
        <v>38916</v>
      </c>
      <c r="L175" t="s">
        <v>936</v>
      </c>
      <c r="M175" t="s">
        <v>937</v>
      </c>
    </row>
    <row r="176" spans="1:13" x14ac:dyDescent="0.3">
      <c r="A176" t="s">
        <v>876</v>
      </c>
      <c r="B176">
        <v>175</v>
      </c>
      <c r="C176">
        <v>17663994</v>
      </c>
      <c r="D176">
        <v>281879</v>
      </c>
      <c r="E176">
        <v>700</v>
      </c>
      <c r="F176">
        <v>3325055</v>
      </c>
      <c r="G176">
        <v>197238423</v>
      </c>
      <c r="H176">
        <v>1298054</v>
      </c>
      <c r="I176">
        <v>28244</v>
      </c>
      <c r="J176">
        <v>13900776</v>
      </c>
      <c r="K176">
        <v>36700</v>
      </c>
      <c r="L176" t="s">
        <v>936</v>
      </c>
      <c r="M176" t="s">
        <v>945</v>
      </c>
    </row>
    <row r="177" spans="1:13" x14ac:dyDescent="0.3">
      <c r="A177" t="s">
        <v>886</v>
      </c>
      <c r="B177">
        <v>183</v>
      </c>
      <c r="C177">
        <v>16172070</v>
      </c>
      <c r="D177">
        <v>397054</v>
      </c>
      <c r="E177">
        <v>16370</v>
      </c>
      <c r="F177">
        <v>0</v>
      </c>
      <c r="G177">
        <v>146909844</v>
      </c>
      <c r="H177">
        <v>1296716</v>
      </c>
      <c r="I177">
        <v>47637</v>
      </c>
      <c r="J177">
        <v>6840688</v>
      </c>
      <c r="K177">
        <v>31570</v>
      </c>
      <c r="L177" t="s">
        <v>936</v>
      </c>
      <c r="M177" t="s">
        <v>959</v>
      </c>
    </row>
    <row r="178" spans="1:13" x14ac:dyDescent="0.3">
      <c r="A178" t="s">
        <v>866</v>
      </c>
      <c r="B178">
        <v>170</v>
      </c>
      <c r="C178">
        <v>10134474</v>
      </c>
      <c r="D178">
        <v>126051</v>
      </c>
      <c r="E178">
        <v>3050</v>
      </c>
      <c r="F178">
        <v>0</v>
      </c>
      <c r="G178">
        <v>199369568</v>
      </c>
      <c r="H178">
        <v>1259742</v>
      </c>
      <c r="I178">
        <v>83793</v>
      </c>
      <c r="J178">
        <v>2792897</v>
      </c>
      <c r="K178">
        <v>35160</v>
      </c>
      <c r="L178" t="s">
        <v>936</v>
      </c>
      <c r="M178" t="s">
        <v>944</v>
      </c>
    </row>
    <row r="179" spans="1:13" x14ac:dyDescent="0.3">
      <c r="A179" t="s">
        <v>879</v>
      </c>
      <c r="B179">
        <v>176</v>
      </c>
      <c r="C179">
        <v>13712678</v>
      </c>
      <c r="D179">
        <v>272115</v>
      </c>
      <c r="E179">
        <v>0</v>
      </c>
      <c r="F179">
        <v>0</v>
      </c>
      <c r="G179">
        <v>142056523</v>
      </c>
      <c r="H179">
        <v>1252489</v>
      </c>
      <c r="I179">
        <v>12762</v>
      </c>
      <c r="J179">
        <v>1523337</v>
      </c>
      <c r="K179">
        <v>28120</v>
      </c>
      <c r="L179" t="s">
        <v>936</v>
      </c>
      <c r="M179" t="s">
        <v>942</v>
      </c>
    </row>
    <row r="180" spans="1:13" x14ac:dyDescent="0.3">
      <c r="A180" t="s">
        <v>882</v>
      </c>
      <c r="B180">
        <v>179</v>
      </c>
      <c r="C180">
        <v>14075162</v>
      </c>
      <c r="D180">
        <v>278664</v>
      </c>
      <c r="E180">
        <v>801</v>
      </c>
      <c r="F180">
        <v>0</v>
      </c>
      <c r="G180">
        <v>154397961</v>
      </c>
      <c r="H180">
        <v>1217161</v>
      </c>
      <c r="I180">
        <v>10690</v>
      </c>
      <c r="J180">
        <v>4024234</v>
      </c>
      <c r="K180">
        <v>29475</v>
      </c>
      <c r="L180" t="s">
        <v>936</v>
      </c>
      <c r="M180" t="s">
        <v>959</v>
      </c>
    </row>
    <row r="181" spans="1:13" x14ac:dyDescent="0.3">
      <c r="A181" t="s">
        <v>885</v>
      </c>
      <c r="B181">
        <v>184</v>
      </c>
      <c r="C181">
        <v>39371397</v>
      </c>
      <c r="D181">
        <v>317725</v>
      </c>
      <c r="E181">
        <v>700</v>
      </c>
      <c r="F181">
        <v>0</v>
      </c>
      <c r="G181">
        <v>147355244</v>
      </c>
      <c r="H181">
        <v>1205991</v>
      </c>
      <c r="I181">
        <v>9701</v>
      </c>
      <c r="J181">
        <v>4030908</v>
      </c>
      <c r="K181">
        <v>31202</v>
      </c>
      <c r="L181" t="s">
        <v>936</v>
      </c>
      <c r="M181" t="s">
        <v>959</v>
      </c>
    </row>
    <row r="182" spans="1:13" x14ac:dyDescent="0.3">
      <c r="A182" t="s">
        <v>875</v>
      </c>
      <c r="B182">
        <v>174</v>
      </c>
      <c r="C182">
        <v>38383884</v>
      </c>
      <c r="D182">
        <v>240717</v>
      </c>
      <c r="E182">
        <v>350</v>
      </c>
      <c r="F182">
        <v>3192867</v>
      </c>
      <c r="G182">
        <v>237203104</v>
      </c>
      <c r="H182">
        <v>1191176</v>
      </c>
      <c r="I182">
        <v>45474</v>
      </c>
      <c r="J182">
        <v>16918918</v>
      </c>
      <c r="K182">
        <v>39370</v>
      </c>
      <c r="L182" t="s">
        <v>936</v>
      </c>
      <c r="M182" t="s">
        <v>962</v>
      </c>
    </row>
    <row r="183" spans="1:13" x14ac:dyDescent="0.3">
      <c r="A183" t="s">
        <v>878</v>
      </c>
      <c r="B183">
        <v>177</v>
      </c>
      <c r="C183">
        <v>26257504</v>
      </c>
      <c r="D183">
        <v>231038</v>
      </c>
      <c r="E183">
        <v>202</v>
      </c>
      <c r="F183">
        <v>0</v>
      </c>
      <c r="G183">
        <v>148207400</v>
      </c>
      <c r="H183">
        <v>1187679</v>
      </c>
      <c r="I183">
        <v>26727</v>
      </c>
      <c r="J183">
        <v>3024324</v>
      </c>
      <c r="K183">
        <v>36390</v>
      </c>
      <c r="L183" t="s">
        <v>936</v>
      </c>
      <c r="M183" t="s">
        <v>962</v>
      </c>
    </row>
    <row r="184" spans="1:13" x14ac:dyDescent="0.3">
      <c r="A184" t="s">
        <v>880</v>
      </c>
      <c r="B184">
        <v>178</v>
      </c>
      <c r="C184">
        <v>19112640</v>
      </c>
      <c r="D184">
        <v>133488</v>
      </c>
      <c r="E184">
        <v>900</v>
      </c>
      <c r="F184">
        <v>0</v>
      </c>
      <c r="G184">
        <v>153396179</v>
      </c>
      <c r="H184">
        <v>1098943</v>
      </c>
      <c r="I184">
        <v>49572</v>
      </c>
      <c r="J184">
        <v>2022935</v>
      </c>
      <c r="K184">
        <v>32460</v>
      </c>
      <c r="L184" t="s">
        <v>936</v>
      </c>
      <c r="M184" t="s">
        <v>942</v>
      </c>
    </row>
    <row r="185" spans="1:13" x14ac:dyDescent="0.3">
      <c r="A185" t="s">
        <v>881</v>
      </c>
      <c r="B185">
        <v>181</v>
      </c>
      <c r="C185">
        <v>7231105</v>
      </c>
      <c r="D185">
        <v>144670</v>
      </c>
      <c r="E185">
        <v>0</v>
      </c>
      <c r="F185">
        <v>0</v>
      </c>
      <c r="G185">
        <v>140438635</v>
      </c>
      <c r="H185">
        <v>1064836</v>
      </c>
      <c r="I185">
        <v>5980</v>
      </c>
      <c r="J185">
        <v>3912709</v>
      </c>
      <c r="K185">
        <v>32133</v>
      </c>
      <c r="L185" t="s">
        <v>936</v>
      </c>
      <c r="M185" t="s">
        <v>940</v>
      </c>
    </row>
    <row r="186" spans="1:13" x14ac:dyDescent="0.3">
      <c r="A186" t="s">
        <v>883</v>
      </c>
      <c r="B186">
        <v>182</v>
      </c>
      <c r="C186">
        <v>12614074</v>
      </c>
      <c r="D186">
        <v>191403</v>
      </c>
      <c r="E186">
        <v>800</v>
      </c>
      <c r="F186">
        <v>0</v>
      </c>
      <c r="G186">
        <v>125139125</v>
      </c>
      <c r="H186">
        <v>1013643</v>
      </c>
      <c r="I186">
        <v>20125</v>
      </c>
      <c r="J186">
        <v>8057288</v>
      </c>
      <c r="K186">
        <v>37000</v>
      </c>
      <c r="L186" t="s">
        <v>936</v>
      </c>
      <c r="M186" t="s">
        <v>962</v>
      </c>
    </row>
    <row r="187" spans="1:13" x14ac:dyDescent="0.3">
      <c r="A187" t="s">
        <v>888</v>
      </c>
      <c r="B187">
        <v>186</v>
      </c>
      <c r="C187">
        <v>8601041</v>
      </c>
      <c r="D187">
        <v>140462</v>
      </c>
      <c r="E187">
        <v>101</v>
      </c>
      <c r="F187">
        <v>0</v>
      </c>
      <c r="G187">
        <v>122743109</v>
      </c>
      <c r="H187">
        <v>836528</v>
      </c>
      <c r="I187">
        <v>29123</v>
      </c>
      <c r="J187">
        <v>10097123</v>
      </c>
      <c r="K187">
        <v>30930</v>
      </c>
      <c r="L187" t="s">
        <v>936</v>
      </c>
      <c r="M187" t="s">
        <v>937</v>
      </c>
    </row>
    <row r="188" spans="1:13" x14ac:dyDescent="0.3">
      <c r="A188" t="s">
        <v>889</v>
      </c>
      <c r="B188">
        <v>187</v>
      </c>
      <c r="C188">
        <v>7853562</v>
      </c>
      <c r="D188">
        <v>131795</v>
      </c>
      <c r="E188">
        <v>0</v>
      </c>
      <c r="F188">
        <v>0</v>
      </c>
      <c r="G188">
        <v>132064203</v>
      </c>
      <c r="H188">
        <v>785682</v>
      </c>
      <c r="I188">
        <v>30181</v>
      </c>
      <c r="J188">
        <v>5178541</v>
      </c>
      <c r="K188">
        <v>30963</v>
      </c>
      <c r="L188" t="s">
        <v>936</v>
      </c>
      <c r="M188" t="s">
        <v>962</v>
      </c>
    </row>
    <row r="189" spans="1:13" x14ac:dyDescent="0.3">
      <c r="A189" t="s">
        <v>890</v>
      </c>
      <c r="B189">
        <v>188</v>
      </c>
      <c r="C189">
        <v>12880892</v>
      </c>
      <c r="D189">
        <v>176322</v>
      </c>
      <c r="E189">
        <v>303</v>
      </c>
      <c r="F189">
        <v>0</v>
      </c>
      <c r="G189">
        <v>101783833</v>
      </c>
      <c r="H189">
        <v>753017</v>
      </c>
      <c r="I189">
        <v>11923</v>
      </c>
      <c r="J189">
        <v>11815276</v>
      </c>
      <c r="K189">
        <v>28830</v>
      </c>
      <c r="L189" t="s">
        <v>936</v>
      </c>
      <c r="M189" t="s">
        <v>942</v>
      </c>
    </row>
    <row r="190" spans="1:13" x14ac:dyDescent="0.3">
      <c r="A190" t="s">
        <v>892</v>
      </c>
      <c r="B190">
        <v>190</v>
      </c>
      <c r="C190">
        <v>4261667</v>
      </c>
      <c r="D190">
        <v>87733</v>
      </c>
      <c r="E190">
        <v>0</v>
      </c>
      <c r="F190">
        <v>0</v>
      </c>
      <c r="G190">
        <v>110994841</v>
      </c>
      <c r="H190">
        <v>666635</v>
      </c>
      <c r="I190">
        <v>4977</v>
      </c>
      <c r="J190">
        <v>15924862</v>
      </c>
      <c r="K190">
        <v>33503</v>
      </c>
      <c r="L190" t="s">
        <v>936</v>
      </c>
      <c r="M190" t="s">
        <v>962</v>
      </c>
    </row>
    <row r="191" spans="1:13" x14ac:dyDescent="0.3">
      <c r="A191" t="s">
        <v>894</v>
      </c>
      <c r="B191">
        <v>192</v>
      </c>
      <c r="C191">
        <v>3204181</v>
      </c>
      <c r="D191">
        <v>64113</v>
      </c>
      <c r="E191">
        <v>350</v>
      </c>
      <c r="F191">
        <v>0</v>
      </c>
      <c r="G191">
        <v>100624501</v>
      </c>
      <c r="H191">
        <v>580774</v>
      </c>
      <c r="I191">
        <v>7644</v>
      </c>
      <c r="J191">
        <v>6188510</v>
      </c>
      <c r="K191">
        <v>25160</v>
      </c>
      <c r="L191" t="s">
        <v>936</v>
      </c>
      <c r="M191" t="s">
        <v>940</v>
      </c>
    </row>
    <row r="192" spans="1:13" x14ac:dyDescent="0.3">
      <c r="A192" t="s">
        <v>896</v>
      </c>
      <c r="B192">
        <v>193</v>
      </c>
      <c r="C192">
        <v>14808460</v>
      </c>
      <c r="D192">
        <v>109222</v>
      </c>
      <c r="E192">
        <v>2450</v>
      </c>
      <c r="F192">
        <v>9168087</v>
      </c>
      <c r="G192">
        <v>146417019</v>
      </c>
      <c r="H192">
        <v>532003</v>
      </c>
      <c r="I192">
        <v>14208</v>
      </c>
      <c r="J192">
        <v>12551708</v>
      </c>
      <c r="K192">
        <v>27308</v>
      </c>
      <c r="L192" t="s">
        <v>936</v>
      </c>
      <c r="M192" t="s">
        <v>962</v>
      </c>
    </row>
    <row r="193" spans="1:13" x14ac:dyDescent="0.3">
      <c r="A193" t="s">
        <v>895</v>
      </c>
      <c r="B193">
        <v>194</v>
      </c>
      <c r="C193">
        <v>3588354</v>
      </c>
      <c r="D193">
        <v>50722</v>
      </c>
      <c r="E193">
        <v>350</v>
      </c>
      <c r="F193">
        <v>0</v>
      </c>
      <c r="G193">
        <v>118459200</v>
      </c>
      <c r="H193">
        <v>496082</v>
      </c>
      <c r="I193">
        <v>12947</v>
      </c>
      <c r="J193">
        <v>9629723</v>
      </c>
      <c r="K193">
        <v>33749</v>
      </c>
      <c r="L193" t="s">
        <v>936</v>
      </c>
      <c r="M193" t="s">
        <v>962</v>
      </c>
    </row>
    <row r="194" spans="1:13" x14ac:dyDescent="0.3">
      <c r="A194" t="s">
        <v>898</v>
      </c>
      <c r="B194">
        <v>195</v>
      </c>
      <c r="C194">
        <v>3415195</v>
      </c>
      <c r="D194">
        <v>71764</v>
      </c>
      <c r="E194">
        <v>350</v>
      </c>
      <c r="F194">
        <v>0</v>
      </c>
      <c r="G194">
        <v>82573191</v>
      </c>
      <c r="H194">
        <v>495948</v>
      </c>
      <c r="I194">
        <v>15966</v>
      </c>
      <c r="J194">
        <v>34567796</v>
      </c>
      <c r="K194">
        <v>22563</v>
      </c>
      <c r="L194" t="s">
        <v>936</v>
      </c>
      <c r="M194" t="s">
        <v>937</v>
      </c>
    </row>
    <row r="195" spans="1:13" x14ac:dyDescent="0.3">
      <c r="A195" t="s">
        <v>899</v>
      </c>
      <c r="B195">
        <v>197</v>
      </c>
      <c r="C195">
        <v>9776553</v>
      </c>
      <c r="D195">
        <v>131437</v>
      </c>
      <c r="E195">
        <v>4950</v>
      </c>
      <c r="F195">
        <v>0</v>
      </c>
      <c r="G195">
        <v>73169879</v>
      </c>
      <c r="H195">
        <v>487331</v>
      </c>
      <c r="I195">
        <v>33036</v>
      </c>
      <c r="J195">
        <v>64649956</v>
      </c>
      <c r="K195">
        <v>23403</v>
      </c>
      <c r="L195" t="s">
        <v>936</v>
      </c>
      <c r="M195" t="s">
        <v>945</v>
      </c>
    </row>
    <row r="196" spans="1:13" x14ac:dyDescent="0.3">
      <c r="A196" t="s">
        <v>891</v>
      </c>
      <c r="B196">
        <v>189</v>
      </c>
      <c r="C196">
        <v>5872303</v>
      </c>
      <c r="D196">
        <v>75561</v>
      </c>
      <c r="E196">
        <v>10450</v>
      </c>
      <c r="F196">
        <v>3598970</v>
      </c>
      <c r="G196">
        <v>60145793</v>
      </c>
      <c r="H196">
        <v>485183</v>
      </c>
      <c r="I196">
        <v>10450</v>
      </c>
      <c r="J196">
        <v>51514017</v>
      </c>
      <c r="K196">
        <v>23793</v>
      </c>
      <c r="L196" t="s">
        <v>973</v>
      </c>
      <c r="M196" t="s">
        <v>959</v>
      </c>
    </row>
    <row r="197" spans="1:13" x14ac:dyDescent="0.3">
      <c r="A197" t="s">
        <v>893</v>
      </c>
      <c r="B197">
        <v>191</v>
      </c>
      <c r="C197">
        <v>2451443</v>
      </c>
      <c r="D197">
        <v>39275</v>
      </c>
      <c r="E197">
        <v>358</v>
      </c>
      <c r="F197">
        <v>48818034</v>
      </c>
      <c r="G197">
        <v>42181967</v>
      </c>
      <c r="H197">
        <v>442772</v>
      </c>
      <c r="I197">
        <v>76192</v>
      </c>
      <c r="J197">
        <v>275537782</v>
      </c>
      <c r="K197">
        <v>20506</v>
      </c>
      <c r="L197" t="s">
        <v>936</v>
      </c>
      <c r="M197" t="s">
        <v>937</v>
      </c>
    </row>
    <row r="198" spans="1:13" x14ac:dyDescent="0.3">
      <c r="A198" t="s">
        <v>897</v>
      </c>
      <c r="B198">
        <v>196</v>
      </c>
      <c r="C198">
        <v>0</v>
      </c>
      <c r="D198">
        <v>0</v>
      </c>
      <c r="E198">
        <v>0</v>
      </c>
      <c r="F198">
        <v>0</v>
      </c>
      <c r="G198">
        <v>56342414</v>
      </c>
      <c r="H198">
        <v>305271</v>
      </c>
      <c r="I198">
        <v>5816</v>
      </c>
      <c r="J198">
        <v>2216756</v>
      </c>
      <c r="K198">
        <v>23480</v>
      </c>
      <c r="L198" t="s">
        <v>936</v>
      </c>
      <c r="M198" t="s">
        <v>937</v>
      </c>
    </row>
    <row r="199" spans="1:13" x14ac:dyDescent="0.3">
      <c r="A199" t="s">
        <v>900</v>
      </c>
      <c r="B199">
        <v>198</v>
      </c>
      <c r="C199">
        <v>2766062</v>
      </c>
      <c r="D199">
        <v>58889</v>
      </c>
      <c r="E199">
        <v>3950</v>
      </c>
      <c r="F199">
        <v>0</v>
      </c>
      <c r="G199">
        <v>50573916</v>
      </c>
      <c r="H199">
        <v>294681</v>
      </c>
      <c r="I199">
        <v>17275</v>
      </c>
      <c r="J199">
        <v>62304170</v>
      </c>
      <c r="K199">
        <v>17470</v>
      </c>
      <c r="L199" t="s">
        <v>936</v>
      </c>
      <c r="M199" t="s">
        <v>937</v>
      </c>
    </row>
    <row r="200" spans="1:13" x14ac:dyDescent="0.3">
      <c r="A200" t="s">
        <v>901</v>
      </c>
      <c r="B200">
        <v>199</v>
      </c>
      <c r="C200">
        <v>3831631</v>
      </c>
      <c r="D200">
        <v>4654</v>
      </c>
      <c r="E200">
        <v>0</v>
      </c>
      <c r="F200">
        <v>853698</v>
      </c>
      <c r="G200">
        <v>95742349</v>
      </c>
      <c r="H200">
        <v>224029</v>
      </c>
      <c r="I200">
        <v>23752</v>
      </c>
      <c r="J200">
        <v>51043346</v>
      </c>
      <c r="K200">
        <v>23610</v>
      </c>
      <c r="L200" t="s">
        <v>936</v>
      </c>
      <c r="M200" t="s">
        <v>937</v>
      </c>
    </row>
    <row r="201" spans="1:13" x14ac:dyDescent="0.3">
      <c r="A201" t="s">
        <v>980</v>
      </c>
      <c r="B201">
        <v>200</v>
      </c>
      <c r="C201">
        <v>3087544</v>
      </c>
      <c r="D201">
        <v>30295</v>
      </c>
      <c r="E201">
        <v>9900</v>
      </c>
      <c r="F201">
        <v>12185160</v>
      </c>
      <c r="G201">
        <v>22547816</v>
      </c>
      <c r="H201">
        <v>114251</v>
      </c>
      <c r="I201">
        <v>9900</v>
      </c>
      <c r="J201">
        <v>57964187</v>
      </c>
      <c r="K201">
        <v>14640</v>
      </c>
      <c r="L201" t="s">
        <v>973</v>
      </c>
      <c r="M201" t="s">
        <v>959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6A111-D60F-4C4D-AD1F-40EE1CC0961F}">
  <dimension ref="A1:M199"/>
  <sheetViews>
    <sheetView workbookViewId="0">
      <selection activeCell="I14" sqref="I14"/>
    </sheetView>
  </sheetViews>
  <sheetFormatPr defaultRowHeight="16.5" x14ac:dyDescent="0.3"/>
  <sheetData>
    <row r="1" spans="1:13" x14ac:dyDescent="0.3">
      <c r="A1" t="s">
        <v>923</v>
      </c>
      <c r="B1" t="s">
        <v>924</v>
      </c>
      <c r="C1" t="s">
        <v>925</v>
      </c>
      <c r="D1" t="s">
        <v>926</v>
      </c>
      <c r="E1" t="s">
        <v>927</v>
      </c>
      <c r="F1" t="s">
        <v>928</v>
      </c>
      <c r="G1" t="s">
        <v>929</v>
      </c>
      <c r="H1" t="s">
        <v>930</v>
      </c>
      <c r="I1" t="s">
        <v>931</v>
      </c>
      <c r="J1" t="s">
        <v>932</v>
      </c>
      <c r="K1" t="s">
        <v>933</v>
      </c>
      <c r="L1" t="s">
        <v>934</v>
      </c>
      <c r="M1" t="s">
        <v>935</v>
      </c>
    </row>
    <row r="2" spans="1:13" x14ac:dyDescent="0.3">
      <c r="A2" t="s">
        <v>742</v>
      </c>
      <c r="B2">
        <v>2</v>
      </c>
      <c r="C2">
        <v>97918355</v>
      </c>
      <c r="D2">
        <v>1780297</v>
      </c>
      <c r="E2">
        <v>2169</v>
      </c>
      <c r="F2">
        <v>0</v>
      </c>
      <c r="G2">
        <v>537910521</v>
      </c>
      <c r="H2">
        <v>7696654</v>
      </c>
      <c r="I2">
        <v>55619</v>
      </c>
      <c r="J2">
        <v>2762893</v>
      </c>
      <c r="K2">
        <v>42213</v>
      </c>
      <c r="L2" t="s">
        <v>936</v>
      </c>
      <c r="M2" t="s">
        <v>937</v>
      </c>
    </row>
    <row r="3" spans="1:13" x14ac:dyDescent="0.3">
      <c r="A3" t="s">
        <v>938</v>
      </c>
      <c r="B3">
        <v>4</v>
      </c>
      <c r="C3">
        <v>79205438</v>
      </c>
      <c r="D3">
        <v>1616138</v>
      </c>
      <c r="E3">
        <v>777</v>
      </c>
      <c r="F3">
        <v>0</v>
      </c>
      <c r="G3">
        <v>526065385</v>
      </c>
      <c r="H3">
        <v>7234460</v>
      </c>
      <c r="I3">
        <v>35438</v>
      </c>
      <c r="J3">
        <v>3237273</v>
      </c>
      <c r="K3">
        <v>45120</v>
      </c>
      <c r="L3" t="s">
        <v>936</v>
      </c>
      <c r="M3" t="s">
        <v>939</v>
      </c>
    </row>
    <row r="4" spans="1:13" x14ac:dyDescent="0.3">
      <c r="A4" t="s">
        <v>744</v>
      </c>
      <c r="B4">
        <v>7</v>
      </c>
      <c r="C4">
        <v>79582057</v>
      </c>
      <c r="D4">
        <v>1607213</v>
      </c>
      <c r="E4">
        <v>1609</v>
      </c>
      <c r="F4">
        <v>0</v>
      </c>
      <c r="G4">
        <v>506784916</v>
      </c>
      <c r="H4">
        <v>6915773</v>
      </c>
      <c r="I4">
        <v>47312</v>
      </c>
      <c r="J4">
        <v>8203813</v>
      </c>
      <c r="K4">
        <v>47200</v>
      </c>
      <c r="L4" t="s">
        <v>936</v>
      </c>
      <c r="M4" t="s">
        <v>939</v>
      </c>
    </row>
    <row r="5" spans="1:13" x14ac:dyDescent="0.3">
      <c r="A5" t="s">
        <v>740</v>
      </c>
      <c r="B5">
        <v>1</v>
      </c>
      <c r="C5">
        <v>96106419</v>
      </c>
      <c r="D5">
        <v>1594086</v>
      </c>
      <c r="E5">
        <v>10841</v>
      </c>
      <c r="F5">
        <v>0</v>
      </c>
      <c r="G5">
        <v>546188142</v>
      </c>
      <c r="H5">
        <v>8024703</v>
      </c>
      <c r="I5">
        <v>113275</v>
      </c>
      <c r="J5">
        <v>2709594</v>
      </c>
      <c r="K5">
        <v>42310</v>
      </c>
      <c r="L5" t="s">
        <v>936</v>
      </c>
      <c r="M5" t="s">
        <v>944</v>
      </c>
    </row>
    <row r="6" spans="1:13" x14ac:dyDescent="0.3">
      <c r="A6" t="s">
        <v>743</v>
      </c>
      <c r="B6">
        <v>5</v>
      </c>
      <c r="C6">
        <v>83395032</v>
      </c>
      <c r="D6">
        <v>1524791</v>
      </c>
      <c r="E6">
        <v>1144</v>
      </c>
      <c r="F6">
        <v>0</v>
      </c>
      <c r="G6">
        <v>474937453</v>
      </c>
      <c r="H6">
        <v>7051109</v>
      </c>
      <c r="I6">
        <v>54477</v>
      </c>
      <c r="J6">
        <v>2727930</v>
      </c>
      <c r="K6">
        <v>40900</v>
      </c>
      <c r="L6" t="s">
        <v>936</v>
      </c>
      <c r="M6" t="s">
        <v>940</v>
      </c>
    </row>
    <row r="7" spans="1:13" x14ac:dyDescent="0.3">
      <c r="A7" t="s">
        <v>941</v>
      </c>
      <c r="B7">
        <v>8</v>
      </c>
      <c r="C7">
        <v>85438538</v>
      </c>
      <c r="D7">
        <v>1486101</v>
      </c>
      <c r="E7">
        <v>520</v>
      </c>
      <c r="F7">
        <v>0</v>
      </c>
      <c r="G7">
        <v>469521416</v>
      </c>
      <c r="H7">
        <v>6653795</v>
      </c>
      <c r="I7">
        <v>40689</v>
      </c>
      <c r="J7">
        <v>2702688</v>
      </c>
      <c r="K7">
        <v>42463</v>
      </c>
      <c r="L7" t="s">
        <v>936</v>
      </c>
      <c r="M7" t="s">
        <v>942</v>
      </c>
    </row>
    <row r="8" spans="1:13" x14ac:dyDescent="0.3">
      <c r="A8" t="s">
        <v>746</v>
      </c>
      <c r="B8">
        <v>9</v>
      </c>
      <c r="C8">
        <v>75413145</v>
      </c>
      <c r="D8">
        <v>1457313</v>
      </c>
      <c r="E8">
        <v>8223</v>
      </c>
      <c r="F8">
        <v>0</v>
      </c>
      <c r="G8">
        <v>438034696</v>
      </c>
      <c r="H8">
        <v>6490745</v>
      </c>
      <c r="I8">
        <v>60645</v>
      </c>
      <c r="J8">
        <v>2964363</v>
      </c>
      <c r="K8">
        <v>38383</v>
      </c>
      <c r="L8" t="s">
        <v>936</v>
      </c>
      <c r="M8" t="s">
        <v>943</v>
      </c>
    </row>
    <row r="9" spans="1:13" x14ac:dyDescent="0.3">
      <c r="A9" t="s">
        <v>598</v>
      </c>
      <c r="B9">
        <v>3</v>
      </c>
      <c r="C9">
        <v>81550359</v>
      </c>
      <c r="D9">
        <v>1422270</v>
      </c>
      <c r="E9">
        <v>4448</v>
      </c>
      <c r="F9">
        <v>0</v>
      </c>
      <c r="G9">
        <v>508333469</v>
      </c>
      <c r="H9">
        <v>7105287</v>
      </c>
      <c r="I9">
        <v>53905</v>
      </c>
      <c r="J9">
        <v>3882655</v>
      </c>
      <c r="K9">
        <v>40833</v>
      </c>
      <c r="L9" t="s">
        <v>936</v>
      </c>
      <c r="M9" t="s">
        <v>945</v>
      </c>
    </row>
    <row r="10" spans="1:13" x14ac:dyDescent="0.3">
      <c r="A10" t="s">
        <v>745</v>
      </c>
      <c r="B10">
        <v>10</v>
      </c>
      <c r="C10">
        <v>63150065</v>
      </c>
      <c r="D10">
        <v>1338358</v>
      </c>
      <c r="E10">
        <v>1483</v>
      </c>
      <c r="F10">
        <v>0</v>
      </c>
      <c r="G10">
        <v>445910885</v>
      </c>
      <c r="H10">
        <v>6665211</v>
      </c>
      <c r="I10">
        <v>62543</v>
      </c>
      <c r="J10">
        <v>3058362</v>
      </c>
      <c r="K10">
        <v>42190</v>
      </c>
      <c r="L10" t="s">
        <v>936</v>
      </c>
      <c r="M10" t="s">
        <v>943</v>
      </c>
    </row>
    <row r="11" spans="1:13" x14ac:dyDescent="0.3">
      <c r="A11" t="s">
        <v>804</v>
      </c>
      <c r="B11">
        <v>61</v>
      </c>
      <c r="C11">
        <v>79442300</v>
      </c>
      <c r="D11">
        <v>1315742</v>
      </c>
      <c r="E11">
        <v>350</v>
      </c>
      <c r="F11">
        <v>0</v>
      </c>
      <c r="G11">
        <v>400393722</v>
      </c>
      <c r="H11">
        <v>4615643</v>
      </c>
      <c r="I11">
        <v>15261</v>
      </c>
      <c r="J11">
        <v>12260817</v>
      </c>
      <c r="K11">
        <v>39660</v>
      </c>
      <c r="L11" t="s">
        <v>936</v>
      </c>
      <c r="M11" t="s">
        <v>937</v>
      </c>
    </row>
    <row r="12" spans="1:13" x14ac:dyDescent="0.3">
      <c r="A12" t="s">
        <v>741</v>
      </c>
      <c r="B12">
        <v>6</v>
      </c>
      <c r="C12">
        <v>66788970</v>
      </c>
      <c r="D12">
        <v>1300582</v>
      </c>
      <c r="E12">
        <v>350</v>
      </c>
      <c r="F12">
        <v>0</v>
      </c>
      <c r="G12">
        <v>454263009</v>
      </c>
      <c r="H12">
        <v>6860124</v>
      </c>
      <c r="I12">
        <v>31623</v>
      </c>
      <c r="J12">
        <v>2802676</v>
      </c>
      <c r="K12">
        <v>35700</v>
      </c>
      <c r="L12" t="s">
        <v>936</v>
      </c>
      <c r="M12" t="s">
        <v>940</v>
      </c>
    </row>
    <row r="13" spans="1:13" x14ac:dyDescent="0.3">
      <c r="A13" t="s">
        <v>755</v>
      </c>
      <c r="B13">
        <v>19</v>
      </c>
      <c r="C13">
        <v>65803887</v>
      </c>
      <c r="D13">
        <v>1300255</v>
      </c>
      <c r="E13">
        <v>15353</v>
      </c>
      <c r="F13">
        <v>0</v>
      </c>
      <c r="G13">
        <v>416857800</v>
      </c>
      <c r="H13">
        <v>5491229</v>
      </c>
      <c r="I13">
        <v>121372</v>
      </c>
      <c r="J13">
        <v>6912971</v>
      </c>
      <c r="K13">
        <v>40450</v>
      </c>
      <c r="L13" t="s">
        <v>936</v>
      </c>
      <c r="M13" t="s">
        <v>940</v>
      </c>
    </row>
    <row r="14" spans="1:13" x14ac:dyDescent="0.3">
      <c r="A14" t="s">
        <v>752</v>
      </c>
      <c r="B14">
        <v>12</v>
      </c>
      <c r="C14">
        <v>62922166</v>
      </c>
      <c r="D14">
        <v>1273253</v>
      </c>
      <c r="E14">
        <v>3862</v>
      </c>
      <c r="F14">
        <v>0</v>
      </c>
      <c r="G14">
        <v>426927192</v>
      </c>
      <c r="H14">
        <v>5939093</v>
      </c>
      <c r="I14">
        <v>63155</v>
      </c>
      <c r="J14">
        <v>3457225</v>
      </c>
      <c r="K14">
        <v>44540</v>
      </c>
      <c r="L14" t="s">
        <v>936</v>
      </c>
      <c r="M14" t="s">
        <v>943</v>
      </c>
    </row>
    <row r="15" spans="1:13" x14ac:dyDescent="0.3">
      <c r="A15" t="s">
        <v>747</v>
      </c>
      <c r="B15">
        <v>11</v>
      </c>
      <c r="C15">
        <v>82362216</v>
      </c>
      <c r="D15">
        <v>1270928</v>
      </c>
      <c r="E15">
        <v>19151</v>
      </c>
      <c r="F15">
        <v>0</v>
      </c>
      <c r="G15">
        <v>474757666</v>
      </c>
      <c r="H15">
        <v>6126660</v>
      </c>
      <c r="I15">
        <v>106823</v>
      </c>
      <c r="J15">
        <v>2761789</v>
      </c>
      <c r="K15">
        <v>42450</v>
      </c>
      <c r="L15" t="s">
        <v>936</v>
      </c>
      <c r="M15" t="s">
        <v>943</v>
      </c>
    </row>
    <row r="16" spans="1:13" x14ac:dyDescent="0.3">
      <c r="A16" t="s">
        <v>751</v>
      </c>
      <c r="B16">
        <v>15</v>
      </c>
      <c r="C16">
        <v>59916875</v>
      </c>
      <c r="D16">
        <v>1221935</v>
      </c>
      <c r="E16">
        <v>705</v>
      </c>
      <c r="F16">
        <v>0</v>
      </c>
      <c r="G16">
        <v>394020669</v>
      </c>
      <c r="H16">
        <v>5848482</v>
      </c>
      <c r="I16">
        <v>46851</v>
      </c>
      <c r="J16">
        <v>4819625</v>
      </c>
      <c r="K16">
        <v>39960</v>
      </c>
      <c r="L16" t="s">
        <v>936</v>
      </c>
      <c r="M16" t="s">
        <v>939</v>
      </c>
    </row>
    <row r="17" spans="1:13" x14ac:dyDescent="0.3">
      <c r="A17" t="s">
        <v>783</v>
      </c>
      <c r="B17">
        <v>41</v>
      </c>
      <c r="C17">
        <v>70703005</v>
      </c>
      <c r="D17">
        <v>1185564</v>
      </c>
      <c r="E17">
        <v>300</v>
      </c>
      <c r="F17">
        <v>0</v>
      </c>
      <c r="G17">
        <v>356854458</v>
      </c>
      <c r="H17">
        <v>4522268</v>
      </c>
      <c r="I17">
        <v>57591</v>
      </c>
      <c r="J17">
        <v>2823608</v>
      </c>
      <c r="K17">
        <v>43220</v>
      </c>
      <c r="L17" t="s">
        <v>936</v>
      </c>
      <c r="M17" t="s">
        <v>945</v>
      </c>
    </row>
    <row r="18" spans="1:13" x14ac:dyDescent="0.3">
      <c r="A18" t="s">
        <v>758</v>
      </c>
      <c r="B18">
        <v>21</v>
      </c>
      <c r="C18">
        <v>77019601</v>
      </c>
      <c r="D18">
        <v>1181434</v>
      </c>
      <c r="E18">
        <v>5300</v>
      </c>
      <c r="F18">
        <v>0</v>
      </c>
      <c r="G18">
        <v>393063458</v>
      </c>
      <c r="H18">
        <v>5392960</v>
      </c>
      <c r="I18">
        <v>47094</v>
      </c>
      <c r="J18">
        <v>2705074</v>
      </c>
      <c r="K18">
        <v>40543</v>
      </c>
      <c r="L18" t="s">
        <v>936</v>
      </c>
      <c r="M18" t="s">
        <v>939</v>
      </c>
    </row>
    <row r="19" spans="1:13" x14ac:dyDescent="0.3">
      <c r="A19" t="s">
        <v>797</v>
      </c>
      <c r="B19">
        <v>62</v>
      </c>
      <c r="C19">
        <v>50081142</v>
      </c>
      <c r="D19">
        <v>1129312</v>
      </c>
      <c r="E19">
        <v>28766</v>
      </c>
      <c r="F19">
        <v>0</v>
      </c>
      <c r="G19">
        <v>329739804</v>
      </c>
      <c r="H19">
        <v>4849131</v>
      </c>
      <c r="I19">
        <v>152567</v>
      </c>
      <c r="J19">
        <v>5856448</v>
      </c>
      <c r="K19">
        <v>39630</v>
      </c>
      <c r="L19" t="s">
        <v>936</v>
      </c>
      <c r="M19" t="s">
        <v>939</v>
      </c>
    </row>
    <row r="20" spans="1:13" x14ac:dyDescent="0.3">
      <c r="A20" t="s">
        <v>761</v>
      </c>
      <c r="B20">
        <v>25</v>
      </c>
      <c r="C20">
        <v>51246855</v>
      </c>
      <c r="D20">
        <v>1118108</v>
      </c>
      <c r="E20">
        <v>8997</v>
      </c>
      <c r="F20">
        <v>133675</v>
      </c>
      <c r="G20">
        <v>408760050</v>
      </c>
      <c r="H20">
        <v>5275493</v>
      </c>
      <c r="I20">
        <v>64123</v>
      </c>
      <c r="J20">
        <v>5426407</v>
      </c>
      <c r="K20">
        <v>40890</v>
      </c>
      <c r="L20" t="s">
        <v>936</v>
      </c>
      <c r="M20" t="s">
        <v>945</v>
      </c>
    </row>
    <row r="21" spans="1:13" x14ac:dyDescent="0.3">
      <c r="A21" t="s">
        <v>757</v>
      </c>
      <c r="B21">
        <v>24</v>
      </c>
      <c r="C21">
        <v>55980176</v>
      </c>
      <c r="D21">
        <v>1112616</v>
      </c>
      <c r="E21">
        <v>197</v>
      </c>
      <c r="F21">
        <v>0</v>
      </c>
      <c r="G21">
        <v>370743631</v>
      </c>
      <c r="H21">
        <v>5221626</v>
      </c>
      <c r="I21">
        <v>36538</v>
      </c>
      <c r="J21">
        <v>2782290</v>
      </c>
      <c r="K21">
        <v>37320</v>
      </c>
      <c r="L21" t="s">
        <v>936</v>
      </c>
      <c r="M21" t="s">
        <v>942</v>
      </c>
    </row>
    <row r="22" spans="1:13" x14ac:dyDescent="0.3">
      <c r="A22" t="s">
        <v>760</v>
      </c>
      <c r="B22">
        <v>23</v>
      </c>
      <c r="C22">
        <v>64872822</v>
      </c>
      <c r="D22">
        <v>1099944</v>
      </c>
      <c r="E22">
        <v>1050</v>
      </c>
      <c r="F22">
        <v>0</v>
      </c>
      <c r="G22">
        <v>602242008</v>
      </c>
      <c r="H22">
        <v>5084898</v>
      </c>
      <c r="I22">
        <v>35534</v>
      </c>
      <c r="J22">
        <v>4082120</v>
      </c>
      <c r="K22">
        <v>44193</v>
      </c>
      <c r="L22" t="s">
        <v>936</v>
      </c>
      <c r="M22" t="s">
        <v>940</v>
      </c>
    </row>
    <row r="23" spans="1:13" x14ac:dyDescent="0.3">
      <c r="A23" t="s">
        <v>785</v>
      </c>
      <c r="B23">
        <v>48</v>
      </c>
      <c r="C23">
        <v>50811175</v>
      </c>
      <c r="D23">
        <v>1097425</v>
      </c>
      <c r="E23">
        <v>25518</v>
      </c>
      <c r="F23">
        <v>0</v>
      </c>
      <c r="G23">
        <v>306623532</v>
      </c>
      <c r="H23">
        <v>4959868</v>
      </c>
      <c r="I23">
        <v>135532</v>
      </c>
      <c r="J23">
        <v>3404300</v>
      </c>
      <c r="K23">
        <v>39170</v>
      </c>
      <c r="L23" t="s">
        <v>936</v>
      </c>
      <c r="M23" t="s">
        <v>946</v>
      </c>
    </row>
    <row r="24" spans="1:13" x14ac:dyDescent="0.3">
      <c r="A24" t="s">
        <v>772</v>
      </c>
      <c r="B24">
        <v>35</v>
      </c>
      <c r="C24">
        <v>51245453</v>
      </c>
      <c r="D24">
        <v>1087042</v>
      </c>
      <c r="E24">
        <v>780</v>
      </c>
      <c r="F24">
        <v>0</v>
      </c>
      <c r="G24">
        <v>363243287</v>
      </c>
      <c r="H24">
        <v>4607318</v>
      </c>
      <c r="I24">
        <v>62346</v>
      </c>
      <c r="J24">
        <v>2504414</v>
      </c>
      <c r="K24">
        <v>39103</v>
      </c>
      <c r="L24" t="s">
        <v>936</v>
      </c>
      <c r="M24" t="s">
        <v>946</v>
      </c>
    </row>
    <row r="25" spans="1:13" x14ac:dyDescent="0.3">
      <c r="A25" t="s">
        <v>753</v>
      </c>
      <c r="B25">
        <v>16</v>
      </c>
      <c r="C25">
        <v>72186298</v>
      </c>
      <c r="D25">
        <v>1084676</v>
      </c>
      <c r="E25">
        <v>1555</v>
      </c>
      <c r="F25">
        <v>0</v>
      </c>
      <c r="G25">
        <v>469245042</v>
      </c>
      <c r="H25">
        <v>5668189</v>
      </c>
      <c r="I25">
        <v>41451</v>
      </c>
      <c r="J25">
        <v>2702231</v>
      </c>
      <c r="K25">
        <v>37790</v>
      </c>
      <c r="L25" t="s">
        <v>936</v>
      </c>
      <c r="M25" t="s">
        <v>939</v>
      </c>
    </row>
    <row r="26" spans="1:13" x14ac:dyDescent="0.3">
      <c r="A26" t="s">
        <v>749</v>
      </c>
      <c r="B26">
        <v>14</v>
      </c>
      <c r="C26">
        <v>55276056</v>
      </c>
      <c r="D26">
        <v>1078868</v>
      </c>
      <c r="E26">
        <v>1339</v>
      </c>
      <c r="F26">
        <v>0</v>
      </c>
      <c r="G26">
        <v>420775160</v>
      </c>
      <c r="H26">
        <v>5629930</v>
      </c>
      <c r="I26">
        <v>43718</v>
      </c>
      <c r="J26">
        <v>3448225</v>
      </c>
      <c r="K26">
        <v>45460</v>
      </c>
      <c r="L26" t="s">
        <v>936</v>
      </c>
      <c r="M26" t="s">
        <v>940</v>
      </c>
    </row>
    <row r="27" spans="1:13" x14ac:dyDescent="0.3">
      <c r="A27" t="s">
        <v>756</v>
      </c>
      <c r="B27">
        <v>22</v>
      </c>
      <c r="C27">
        <v>49895281</v>
      </c>
      <c r="D27">
        <v>1077578</v>
      </c>
      <c r="E27">
        <v>902</v>
      </c>
      <c r="F27">
        <v>81327</v>
      </c>
      <c r="G27">
        <v>360855342</v>
      </c>
      <c r="H27">
        <v>5293788</v>
      </c>
      <c r="I27">
        <v>55605</v>
      </c>
      <c r="J27">
        <v>3079272</v>
      </c>
      <c r="K27">
        <v>39333</v>
      </c>
      <c r="L27" t="s">
        <v>936</v>
      </c>
      <c r="M27" t="s">
        <v>945</v>
      </c>
    </row>
    <row r="28" spans="1:13" x14ac:dyDescent="0.3">
      <c r="A28" t="s">
        <v>947</v>
      </c>
      <c r="B28">
        <v>56</v>
      </c>
      <c r="C28">
        <v>65399992</v>
      </c>
      <c r="D28">
        <v>1076727</v>
      </c>
      <c r="E28">
        <v>545</v>
      </c>
      <c r="F28">
        <v>0</v>
      </c>
      <c r="G28">
        <v>351151649</v>
      </c>
      <c r="H28">
        <v>4417592</v>
      </c>
      <c r="I28">
        <v>45090</v>
      </c>
      <c r="J28">
        <v>9110940</v>
      </c>
      <c r="K28">
        <v>42370</v>
      </c>
      <c r="L28" t="s">
        <v>936</v>
      </c>
      <c r="M28" t="s">
        <v>939</v>
      </c>
    </row>
    <row r="29" spans="1:13" x14ac:dyDescent="0.3">
      <c r="A29" t="s">
        <v>793</v>
      </c>
      <c r="B29">
        <v>57</v>
      </c>
      <c r="C29">
        <v>53279026</v>
      </c>
      <c r="D29">
        <v>1069830</v>
      </c>
      <c r="E29">
        <v>668</v>
      </c>
      <c r="F29">
        <v>0</v>
      </c>
      <c r="G29">
        <v>341863901</v>
      </c>
      <c r="H29">
        <v>4265083</v>
      </c>
      <c r="I29">
        <v>44332</v>
      </c>
      <c r="J29">
        <v>3522751</v>
      </c>
      <c r="K29">
        <v>39940</v>
      </c>
      <c r="L29" t="s">
        <v>936</v>
      </c>
      <c r="M29" t="s">
        <v>937</v>
      </c>
    </row>
    <row r="30" spans="1:13" x14ac:dyDescent="0.3">
      <c r="A30" t="s">
        <v>776</v>
      </c>
      <c r="B30">
        <v>40</v>
      </c>
      <c r="C30">
        <v>65439340</v>
      </c>
      <c r="D30">
        <v>1065009</v>
      </c>
      <c r="E30">
        <v>451</v>
      </c>
      <c r="F30">
        <v>0</v>
      </c>
      <c r="G30">
        <v>362905095</v>
      </c>
      <c r="H30">
        <v>4719897</v>
      </c>
      <c r="I30">
        <v>31461</v>
      </c>
      <c r="J30">
        <v>19401162</v>
      </c>
      <c r="K30">
        <v>42890</v>
      </c>
      <c r="L30" t="s">
        <v>936</v>
      </c>
      <c r="M30" t="s">
        <v>939</v>
      </c>
    </row>
    <row r="31" spans="1:13" x14ac:dyDescent="0.3">
      <c r="A31" t="s">
        <v>774</v>
      </c>
      <c r="B31">
        <v>34</v>
      </c>
      <c r="C31">
        <v>56337283</v>
      </c>
      <c r="D31">
        <v>1053695</v>
      </c>
      <c r="E31">
        <v>350</v>
      </c>
      <c r="F31">
        <v>0</v>
      </c>
      <c r="G31">
        <v>364379725</v>
      </c>
      <c r="H31">
        <v>4600547</v>
      </c>
      <c r="I31">
        <v>32608</v>
      </c>
      <c r="J31">
        <v>4422108</v>
      </c>
      <c r="K31">
        <v>37580</v>
      </c>
      <c r="L31" t="s">
        <v>936</v>
      </c>
      <c r="M31" t="s">
        <v>946</v>
      </c>
    </row>
    <row r="32" spans="1:13" x14ac:dyDescent="0.3">
      <c r="A32" t="s">
        <v>949</v>
      </c>
      <c r="B32">
        <v>30</v>
      </c>
      <c r="C32">
        <v>49696731</v>
      </c>
      <c r="D32">
        <v>1050571</v>
      </c>
      <c r="E32">
        <v>451</v>
      </c>
      <c r="F32">
        <v>0</v>
      </c>
      <c r="G32">
        <v>342662559</v>
      </c>
      <c r="H32">
        <v>4912438</v>
      </c>
      <c r="I32">
        <v>61840</v>
      </c>
      <c r="J32">
        <v>3815296</v>
      </c>
      <c r="K32">
        <v>39300</v>
      </c>
      <c r="L32" t="s">
        <v>936</v>
      </c>
      <c r="M32" t="s">
        <v>945</v>
      </c>
    </row>
    <row r="33" spans="1:13" x14ac:dyDescent="0.3">
      <c r="A33" t="s">
        <v>599</v>
      </c>
      <c r="B33">
        <v>17</v>
      </c>
      <c r="C33">
        <v>49797431</v>
      </c>
      <c r="D33">
        <v>1043517</v>
      </c>
      <c r="E33">
        <v>550</v>
      </c>
      <c r="F33">
        <v>0</v>
      </c>
      <c r="G33">
        <v>417162108</v>
      </c>
      <c r="H33">
        <v>5617985</v>
      </c>
      <c r="I33">
        <v>43491</v>
      </c>
      <c r="J33">
        <v>2707023</v>
      </c>
      <c r="K33">
        <v>41690</v>
      </c>
      <c r="L33" t="s">
        <v>936</v>
      </c>
      <c r="M33" t="s">
        <v>945</v>
      </c>
    </row>
    <row r="34" spans="1:13" x14ac:dyDescent="0.3">
      <c r="A34" t="s">
        <v>765</v>
      </c>
      <c r="B34">
        <v>29</v>
      </c>
      <c r="C34">
        <v>63488730</v>
      </c>
      <c r="D34">
        <v>1041612</v>
      </c>
      <c r="E34">
        <v>7150</v>
      </c>
      <c r="F34">
        <v>0</v>
      </c>
      <c r="G34">
        <v>383671163</v>
      </c>
      <c r="H34">
        <v>5014279</v>
      </c>
      <c r="I34">
        <v>77324</v>
      </c>
      <c r="J34">
        <v>3463910</v>
      </c>
      <c r="K34">
        <v>43726</v>
      </c>
      <c r="L34" t="s">
        <v>936</v>
      </c>
      <c r="M34" t="s">
        <v>946</v>
      </c>
    </row>
    <row r="35" spans="1:13" x14ac:dyDescent="0.3">
      <c r="A35" t="s">
        <v>784</v>
      </c>
      <c r="B35">
        <v>43</v>
      </c>
      <c r="C35">
        <v>53998589</v>
      </c>
      <c r="D35">
        <v>1024210</v>
      </c>
      <c r="E35">
        <v>0</v>
      </c>
      <c r="F35">
        <v>0</v>
      </c>
      <c r="G35">
        <v>367937493</v>
      </c>
      <c r="H35">
        <v>4491555</v>
      </c>
      <c r="I35">
        <v>69120</v>
      </c>
      <c r="J35">
        <v>5913914</v>
      </c>
      <c r="K35">
        <v>42230</v>
      </c>
      <c r="L35" t="s">
        <v>936</v>
      </c>
      <c r="M35" t="s">
        <v>942</v>
      </c>
    </row>
    <row r="36" spans="1:13" x14ac:dyDescent="0.3">
      <c r="A36" t="s">
        <v>754</v>
      </c>
      <c r="B36">
        <v>20</v>
      </c>
      <c r="C36">
        <v>67972728</v>
      </c>
      <c r="D36">
        <v>1020388</v>
      </c>
      <c r="E36">
        <v>631</v>
      </c>
      <c r="F36">
        <v>0</v>
      </c>
      <c r="G36">
        <v>365834035</v>
      </c>
      <c r="H36">
        <v>5082416</v>
      </c>
      <c r="I36">
        <v>32007</v>
      </c>
      <c r="J36">
        <v>3859526</v>
      </c>
      <c r="K36">
        <v>39923</v>
      </c>
      <c r="L36" t="s">
        <v>936</v>
      </c>
      <c r="M36" t="s">
        <v>942</v>
      </c>
    </row>
    <row r="37" spans="1:13" x14ac:dyDescent="0.3">
      <c r="A37" t="s">
        <v>948</v>
      </c>
      <c r="B37">
        <v>82</v>
      </c>
      <c r="C37">
        <v>47058711</v>
      </c>
      <c r="D37">
        <v>1018296</v>
      </c>
      <c r="E37">
        <v>653</v>
      </c>
      <c r="F37">
        <v>0</v>
      </c>
      <c r="G37">
        <v>324848549</v>
      </c>
      <c r="H37">
        <v>3904827</v>
      </c>
      <c r="I37">
        <v>59864</v>
      </c>
      <c r="J37">
        <v>3007799</v>
      </c>
      <c r="K37">
        <v>39256</v>
      </c>
      <c r="L37" t="s">
        <v>936</v>
      </c>
      <c r="M37" t="s">
        <v>942</v>
      </c>
    </row>
    <row r="38" spans="1:13" x14ac:dyDescent="0.3">
      <c r="A38" t="s">
        <v>800</v>
      </c>
      <c r="B38">
        <v>65</v>
      </c>
      <c r="C38">
        <v>56166071</v>
      </c>
      <c r="D38">
        <v>1016977</v>
      </c>
      <c r="E38">
        <v>274</v>
      </c>
      <c r="F38">
        <v>0</v>
      </c>
      <c r="G38">
        <v>324739474</v>
      </c>
      <c r="H38">
        <v>4210021</v>
      </c>
      <c r="I38">
        <v>127835</v>
      </c>
      <c r="J38">
        <v>6872085</v>
      </c>
      <c r="K38">
        <v>39430</v>
      </c>
      <c r="L38" t="s">
        <v>936</v>
      </c>
      <c r="M38" t="s">
        <v>945</v>
      </c>
    </row>
    <row r="39" spans="1:13" x14ac:dyDescent="0.3">
      <c r="A39" t="s">
        <v>812</v>
      </c>
      <c r="B39">
        <v>83</v>
      </c>
      <c r="C39">
        <v>46679897</v>
      </c>
      <c r="D39">
        <v>1014712</v>
      </c>
      <c r="E39">
        <v>1212</v>
      </c>
      <c r="F39">
        <v>0</v>
      </c>
      <c r="G39">
        <v>312788520</v>
      </c>
      <c r="H39">
        <v>4081563</v>
      </c>
      <c r="I39">
        <v>4873</v>
      </c>
      <c r="J39">
        <v>10589521</v>
      </c>
      <c r="K39">
        <v>42900</v>
      </c>
      <c r="L39" t="s">
        <v>936</v>
      </c>
      <c r="M39" t="s">
        <v>940</v>
      </c>
    </row>
    <row r="40" spans="1:13" x14ac:dyDescent="0.3">
      <c r="A40" t="s">
        <v>786</v>
      </c>
      <c r="B40">
        <v>50</v>
      </c>
      <c r="C40">
        <v>73849985</v>
      </c>
      <c r="D40">
        <v>1012521</v>
      </c>
      <c r="E40">
        <v>17030</v>
      </c>
      <c r="F40">
        <v>0</v>
      </c>
      <c r="G40">
        <v>393789752</v>
      </c>
      <c r="H40">
        <v>4490886</v>
      </c>
      <c r="I40">
        <v>77625</v>
      </c>
      <c r="J40">
        <v>2065216</v>
      </c>
      <c r="K40">
        <v>37770</v>
      </c>
      <c r="L40" t="s">
        <v>936</v>
      </c>
      <c r="M40" t="s">
        <v>940</v>
      </c>
    </row>
    <row r="41" spans="1:13" x14ac:dyDescent="0.3">
      <c r="A41" t="s">
        <v>762</v>
      </c>
      <c r="B41">
        <v>27</v>
      </c>
      <c r="C41">
        <v>66030069</v>
      </c>
      <c r="D41">
        <v>1010195</v>
      </c>
      <c r="E41">
        <v>8378</v>
      </c>
      <c r="F41">
        <v>0</v>
      </c>
      <c r="G41">
        <v>407897300</v>
      </c>
      <c r="H41">
        <v>4782414</v>
      </c>
      <c r="I41">
        <v>71547</v>
      </c>
      <c r="J41">
        <v>4079718</v>
      </c>
      <c r="K41">
        <v>43566</v>
      </c>
      <c r="L41" t="s">
        <v>936</v>
      </c>
      <c r="M41" t="s">
        <v>937</v>
      </c>
    </row>
    <row r="42" spans="1:13" x14ac:dyDescent="0.3">
      <c r="A42" t="s">
        <v>792</v>
      </c>
      <c r="B42">
        <v>60</v>
      </c>
      <c r="C42">
        <v>51038623</v>
      </c>
      <c r="D42">
        <v>996229</v>
      </c>
      <c r="E42">
        <v>4342</v>
      </c>
      <c r="F42">
        <v>0</v>
      </c>
      <c r="G42">
        <v>315775419</v>
      </c>
      <c r="H42">
        <v>4342456</v>
      </c>
      <c r="I42">
        <v>125889</v>
      </c>
      <c r="J42">
        <v>5387592</v>
      </c>
      <c r="K42">
        <v>37709</v>
      </c>
      <c r="L42" t="s">
        <v>936</v>
      </c>
      <c r="M42" t="s">
        <v>943</v>
      </c>
    </row>
    <row r="43" spans="1:13" x14ac:dyDescent="0.3">
      <c r="A43" t="s">
        <v>950</v>
      </c>
      <c r="B43">
        <v>73</v>
      </c>
      <c r="C43">
        <v>46840501</v>
      </c>
      <c r="D43">
        <v>991593</v>
      </c>
      <c r="E43">
        <v>1133</v>
      </c>
      <c r="F43">
        <v>0</v>
      </c>
      <c r="G43">
        <v>340958366</v>
      </c>
      <c r="H43">
        <v>4291274</v>
      </c>
      <c r="I43">
        <v>35289</v>
      </c>
      <c r="J43">
        <v>3348287</v>
      </c>
      <c r="K43">
        <v>36760</v>
      </c>
      <c r="L43" t="s">
        <v>936</v>
      </c>
      <c r="M43" t="s">
        <v>942</v>
      </c>
    </row>
    <row r="44" spans="1:13" x14ac:dyDescent="0.3">
      <c r="A44" t="s">
        <v>803</v>
      </c>
      <c r="B44">
        <v>72</v>
      </c>
      <c r="C44">
        <v>51053719</v>
      </c>
      <c r="D44">
        <v>985100</v>
      </c>
      <c r="E44">
        <v>3454</v>
      </c>
      <c r="F44">
        <v>0</v>
      </c>
      <c r="G44">
        <v>306477443</v>
      </c>
      <c r="H44">
        <v>4087485</v>
      </c>
      <c r="I44">
        <v>47397</v>
      </c>
      <c r="J44">
        <v>52282692</v>
      </c>
      <c r="K44">
        <v>41303</v>
      </c>
      <c r="L44" t="s">
        <v>936</v>
      </c>
      <c r="M44" t="s">
        <v>939</v>
      </c>
    </row>
    <row r="45" spans="1:13" x14ac:dyDescent="0.3">
      <c r="A45" t="s">
        <v>770</v>
      </c>
      <c r="B45">
        <v>33</v>
      </c>
      <c r="C45">
        <v>54174750</v>
      </c>
      <c r="D45">
        <v>979729</v>
      </c>
      <c r="E45">
        <v>5247</v>
      </c>
      <c r="F45">
        <v>0</v>
      </c>
      <c r="G45">
        <v>387220946</v>
      </c>
      <c r="H45">
        <v>4588696</v>
      </c>
      <c r="I45">
        <v>66254</v>
      </c>
      <c r="J45">
        <v>2702575</v>
      </c>
      <c r="K45">
        <v>39513</v>
      </c>
      <c r="L45" t="s">
        <v>936</v>
      </c>
      <c r="M45" t="s">
        <v>940</v>
      </c>
    </row>
    <row r="46" spans="1:13" x14ac:dyDescent="0.3">
      <c r="A46" t="s">
        <v>952</v>
      </c>
      <c r="B46">
        <v>74</v>
      </c>
      <c r="C46">
        <v>46477277</v>
      </c>
      <c r="D46">
        <v>978399</v>
      </c>
      <c r="E46">
        <v>1696</v>
      </c>
      <c r="F46">
        <v>0</v>
      </c>
      <c r="G46">
        <v>373878136</v>
      </c>
      <c r="H46">
        <v>4326245</v>
      </c>
      <c r="I46">
        <v>55235</v>
      </c>
      <c r="J46">
        <v>3312487</v>
      </c>
      <c r="K46">
        <v>36730</v>
      </c>
      <c r="L46" t="s">
        <v>936</v>
      </c>
      <c r="M46" t="s">
        <v>942</v>
      </c>
    </row>
    <row r="47" spans="1:13" x14ac:dyDescent="0.3">
      <c r="A47" t="s">
        <v>814</v>
      </c>
      <c r="B47">
        <v>85</v>
      </c>
      <c r="C47">
        <v>46275845</v>
      </c>
      <c r="D47">
        <v>977565</v>
      </c>
      <c r="E47">
        <v>303</v>
      </c>
      <c r="F47">
        <v>0</v>
      </c>
      <c r="G47">
        <v>306505888</v>
      </c>
      <c r="H47">
        <v>3515914</v>
      </c>
      <c r="I47">
        <v>37502</v>
      </c>
      <c r="J47">
        <v>6353831</v>
      </c>
      <c r="K47">
        <v>41390</v>
      </c>
      <c r="L47" t="s">
        <v>936</v>
      </c>
      <c r="M47" t="s">
        <v>940</v>
      </c>
    </row>
    <row r="48" spans="1:13" x14ac:dyDescent="0.3">
      <c r="A48" t="s">
        <v>773</v>
      </c>
      <c r="B48">
        <v>39</v>
      </c>
      <c r="C48">
        <v>44420615</v>
      </c>
      <c r="D48">
        <v>975595</v>
      </c>
      <c r="E48">
        <v>350</v>
      </c>
      <c r="F48">
        <v>0</v>
      </c>
      <c r="G48">
        <v>352668453</v>
      </c>
      <c r="H48">
        <v>4678439</v>
      </c>
      <c r="I48">
        <v>63434</v>
      </c>
      <c r="J48">
        <v>3727713</v>
      </c>
      <c r="K48">
        <v>42036</v>
      </c>
      <c r="L48" t="s">
        <v>936</v>
      </c>
      <c r="M48" t="s">
        <v>946</v>
      </c>
    </row>
    <row r="49" spans="1:13" x14ac:dyDescent="0.3">
      <c r="A49" t="s">
        <v>767</v>
      </c>
      <c r="B49">
        <v>31</v>
      </c>
      <c r="C49">
        <v>55012123</v>
      </c>
      <c r="D49">
        <v>972584</v>
      </c>
      <c r="E49">
        <v>7300</v>
      </c>
      <c r="F49">
        <v>0</v>
      </c>
      <c r="G49">
        <v>361656812</v>
      </c>
      <c r="H49">
        <v>4857464</v>
      </c>
      <c r="I49">
        <v>74614</v>
      </c>
      <c r="J49">
        <v>3135417</v>
      </c>
      <c r="K49">
        <v>38170</v>
      </c>
      <c r="L49" t="s">
        <v>936</v>
      </c>
      <c r="M49" t="s">
        <v>944</v>
      </c>
    </row>
    <row r="50" spans="1:13" x14ac:dyDescent="0.3">
      <c r="A50" t="s">
        <v>799</v>
      </c>
      <c r="B50">
        <v>69</v>
      </c>
      <c r="C50">
        <v>71768639</v>
      </c>
      <c r="D50">
        <v>968804</v>
      </c>
      <c r="E50">
        <v>341</v>
      </c>
      <c r="F50">
        <v>0</v>
      </c>
      <c r="G50">
        <v>490095187</v>
      </c>
      <c r="H50">
        <v>4211668</v>
      </c>
      <c r="I50">
        <v>49766</v>
      </c>
      <c r="J50">
        <v>3345422</v>
      </c>
      <c r="K50">
        <v>45653</v>
      </c>
      <c r="L50" t="s">
        <v>936</v>
      </c>
      <c r="M50" t="s">
        <v>940</v>
      </c>
    </row>
    <row r="51" spans="1:13" x14ac:dyDescent="0.3">
      <c r="A51" t="s">
        <v>805</v>
      </c>
      <c r="B51">
        <v>75</v>
      </c>
      <c r="C51">
        <v>66909552</v>
      </c>
      <c r="D51">
        <v>961465</v>
      </c>
      <c r="E51">
        <v>1358</v>
      </c>
      <c r="F51">
        <v>0</v>
      </c>
      <c r="G51">
        <v>345532835</v>
      </c>
      <c r="H51">
        <v>4182036</v>
      </c>
      <c r="I51">
        <v>29928</v>
      </c>
      <c r="J51">
        <v>3701831</v>
      </c>
      <c r="K51">
        <v>41450</v>
      </c>
      <c r="L51" t="s">
        <v>936</v>
      </c>
      <c r="M51" t="s">
        <v>940</v>
      </c>
    </row>
    <row r="52" spans="1:13" x14ac:dyDescent="0.3">
      <c r="A52" t="s">
        <v>769</v>
      </c>
      <c r="B52">
        <v>36</v>
      </c>
      <c r="C52">
        <v>46678493</v>
      </c>
      <c r="D52">
        <v>958629</v>
      </c>
      <c r="E52">
        <v>1489</v>
      </c>
      <c r="F52">
        <v>0</v>
      </c>
      <c r="G52">
        <v>332623156</v>
      </c>
      <c r="H52">
        <v>4764946</v>
      </c>
      <c r="I52">
        <v>45625</v>
      </c>
      <c r="J52">
        <v>3310084</v>
      </c>
      <c r="K52">
        <v>41530</v>
      </c>
      <c r="L52" t="s">
        <v>936</v>
      </c>
      <c r="M52" t="s">
        <v>939</v>
      </c>
    </row>
    <row r="53" spans="1:13" x14ac:dyDescent="0.3">
      <c r="A53" t="s">
        <v>748</v>
      </c>
      <c r="B53">
        <v>13</v>
      </c>
      <c r="C53">
        <v>48369868</v>
      </c>
      <c r="D53">
        <v>956738</v>
      </c>
      <c r="E53">
        <v>514</v>
      </c>
      <c r="F53">
        <v>0</v>
      </c>
      <c r="G53">
        <v>461161633</v>
      </c>
      <c r="H53">
        <v>5550145</v>
      </c>
      <c r="I53">
        <v>29239</v>
      </c>
      <c r="J53">
        <v>2770716</v>
      </c>
      <c r="K53">
        <v>35530</v>
      </c>
      <c r="L53" t="s">
        <v>936</v>
      </c>
      <c r="M53" t="s">
        <v>937</v>
      </c>
    </row>
    <row r="54" spans="1:13" x14ac:dyDescent="0.3">
      <c r="A54" t="s">
        <v>771</v>
      </c>
      <c r="B54">
        <v>37</v>
      </c>
      <c r="C54">
        <v>46232597</v>
      </c>
      <c r="D54">
        <v>954293</v>
      </c>
      <c r="E54">
        <v>500</v>
      </c>
      <c r="F54">
        <v>0</v>
      </c>
      <c r="G54">
        <v>314155293</v>
      </c>
      <c r="H54">
        <v>4490754</v>
      </c>
      <c r="I54">
        <v>48301</v>
      </c>
      <c r="J54">
        <v>3978341</v>
      </c>
      <c r="K54">
        <v>29006</v>
      </c>
      <c r="L54" t="s">
        <v>936</v>
      </c>
      <c r="M54" t="s">
        <v>939</v>
      </c>
    </row>
    <row r="55" spans="1:13" x14ac:dyDescent="0.3">
      <c r="A55" t="s">
        <v>759</v>
      </c>
      <c r="B55">
        <v>26</v>
      </c>
      <c r="C55">
        <v>47669943</v>
      </c>
      <c r="D55">
        <v>950579</v>
      </c>
      <c r="E55">
        <v>5952</v>
      </c>
      <c r="F55">
        <v>0</v>
      </c>
      <c r="G55">
        <v>392226424</v>
      </c>
      <c r="H55">
        <v>4978777</v>
      </c>
      <c r="I55">
        <v>67439</v>
      </c>
      <c r="J55">
        <v>3467961</v>
      </c>
      <c r="K55">
        <v>45390</v>
      </c>
      <c r="L55" t="s">
        <v>936</v>
      </c>
      <c r="M55" t="s">
        <v>946</v>
      </c>
    </row>
    <row r="56" spans="1:13" x14ac:dyDescent="0.3">
      <c r="A56" t="s">
        <v>750</v>
      </c>
      <c r="B56">
        <v>18</v>
      </c>
      <c r="C56">
        <v>46725870</v>
      </c>
      <c r="D56">
        <v>934214</v>
      </c>
      <c r="E56">
        <v>1422</v>
      </c>
      <c r="F56">
        <v>0</v>
      </c>
      <c r="G56">
        <v>351004919</v>
      </c>
      <c r="H56">
        <v>5207272</v>
      </c>
      <c r="I56">
        <v>38113</v>
      </c>
      <c r="J56">
        <v>2726006</v>
      </c>
      <c r="K56">
        <v>40720</v>
      </c>
      <c r="L56" t="s">
        <v>936</v>
      </c>
      <c r="M56" t="s">
        <v>940</v>
      </c>
    </row>
    <row r="57" spans="1:13" x14ac:dyDescent="0.3">
      <c r="A57" t="s">
        <v>798</v>
      </c>
      <c r="B57">
        <v>70</v>
      </c>
      <c r="C57">
        <v>43700468</v>
      </c>
      <c r="D57">
        <v>928479</v>
      </c>
      <c r="E57">
        <v>3185</v>
      </c>
      <c r="F57">
        <v>0</v>
      </c>
      <c r="G57">
        <v>324168226</v>
      </c>
      <c r="H57">
        <v>4258527</v>
      </c>
      <c r="I57">
        <v>128061</v>
      </c>
      <c r="J57">
        <v>4290497</v>
      </c>
      <c r="K57">
        <v>38959</v>
      </c>
      <c r="L57" t="s">
        <v>936</v>
      </c>
      <c r="M57" t="s">
        <v>946</v>
      </c>
    </row>
    <row r="58" spans="1:13" x14ac:dyDescent="0.3">
      <c r="A58" t="s">
        <v>781</v>
      </c>
      <c r="B58">
        <v>42</v>
      </c>
      <c r="C58">
        <v>51715382</v>
      </c>
      <c r="D58">
        <v>923970</v>
      </c>
      <c r="E58">
        <v>101</v>
      </c>
      <c r="F58">
        <v>0</v>
      </c>
      <c r="G58">
        <v>336908288</v>
      </c>
      <c r="H58">
        <v>4259499</v>
      </c>
      <c r="I58">
        <v>44811</v>
      </c>
      <c r="J58">
        <v>2870594</v>
      </c>
      <c r="K58">
        <v>40940</v>
      </c>
      <c r="L58" t="s">
        <v>936</v>
      </c>
      <c r="M58" t="s">
        <v>944</v>
      </c>
    </row>
    <row r="59" spans="1:13" x14ac:dyDescent="0.3">
      <c r="A59" t="s">
        <v>808</v>
      </c>
      <c r="B59">
        <v>76</v>
      </c>
      <c r="C59">
        <v>48313576</v>
      </c>
      <c r="D59">
        <v>913537</v>
      </c>
      <c r="E59">
        <v>648</v>
      </c>
      <c r="F59">
        <v>0</v>
      </c>
      <c r="G59">
        <v>338595719</v>
      </c>
      <c r="H59">
        <v>4097211</v>
      </c>
      <c r="I59">
        <v>31169</v>
      </c>
      <c r="J59">
        <v>3174407</v>
      </c>
      <c r="K59">
        <v>34490</v>
      </c>
      <c r="L59" t="s">
        <v>936</v>
      </c>
      <c r="M59" t="s">
        <v>946</v>
      </c>
    </row>
    <row r="60" spans="1:13" x14ac:dyDescent="0.3">
      <c r="A60" t="s">
        <v>763</v>
      </c>
      <c r="B60">
        <v>28</v>
      </c>
      <c r="C60">
        <v>45840784</v>
      </c>
      <c r="D60">
        <v>900756</v>
      </c>
      <c r="E60">
        <v>588</v>
      </c>
      <c r="F60">
        <v>0</v>
      </c>
      <c r="G60">
        <v>319878607</v>
      </c>
      <c r="H60">
        <v>4675317</v>
      </c>
      <c r="I60">
        <v>43894</v>
      </c>
      <c r="J60">
        <v>2990195</v>
      </c>
      <c r="K60">
        <v>35500</v>
      </c>
      <c r="L60" t="s">
        <v>936</v>
      </c>
      <c r="M60" t="s">
        <v>940</v>
      </c>
    </row>
    <row r="61" spans="1:13" x14ac:dyDescent="0.3">
      <c r="A61" t="s">
        <v>951</v>
      </c>
      <c r="B61">
        <v>67</v>
      </c>
      <c r="C61">
        <v>42618651</v>
      </c>
      <c r="D61">
        <v>898580</v>
      </c>
      <c r="E61">
        <v>1263</v>
      </c>
      <c r="F61">
        <v>0</v>
      </c>
      <c r="G61">
        <v>293575850</v>
      </c>
      <c r="H61">
        <v>4258570</v>
      </c>
      <c r="I61">
        <v>110068</v>
      </c>
      <c r="J61">
        <v>2944971</v>
      </c>
      <c r="K61">
        <v>37980</v>
      </c>
      <c r="L61" t="s">
        <v>936</v>
      </c>
      <c r="M61" t="s">
        <v>940</v>
      </c>
    </row>
    <row r="62" spans="1:13" x14ac:dyDescent="0.3">
      <c r="A62" t="s">
        <v>818</v>
      </c>
      <c r="B62">
        <v>93</v>
      </c>
      <c r="C62">
        <v>41015567</v>
      </c>
      <c r="D62">
        <v>894334</v>
      </c>
      <c r="E62">
        <v>30441</v>
      </c>
      <c r="F62">
        <v>0</v>
      </c>
      <c r="G62">
        <v>288911883</v>
      </c>
      <c r="H62">
        <v>3638149</v>
      </c>
      <c r="I62">
        <v>132878</v>
      </c>
      <c r="J62">
        <v>4891434</v>
      </c>
      <c r="K62">
        <v>40460</v>
      </c>
      <c r="L62" t="s">
        <v>936</v>
      </c>
      <c r="M62" t="s">
        <v>946</v>
      </c>
    </row>
    <row r="63" spans="1:13" x14ac:dyDescent="0.3">
      <c r="A63" t="s">
        <v>601</v>
      </c>
      <c r="B63">
        <v>89</v>
      </c>
      <c r="C63">
        <v>43628104</v>
      </c>
      <c r="D63">
        <v>893178</v>
      </c>
      <c r="E63">
        <v>998</v>
      </c>
      <c r="F63">
        <v>0</v>
      </c>
      <c r="G63">
        <v>268133170</v>
      </c>
      <c r="H63">
        <v>3821344</v>
      </c>
      <c r="I63">
        <v>47174</v>
      </c>
      <c r="J63">
        <v>4578043</v>
      </c>
      <c r="K63">
        <v>36410</v>
      </c>
      <c r="L63" t="s">
        <v>936</v>
      </c>
      <c r="M63" t="s">
        <v>945</v>
      </c>
    </row>
    <row r="64" spans="1:13" x14ac:dyDescent="0.3">
      <c r="A64" t="s">
        <v>600</v>
      </c>
      <c r="B64">
        <v>78</v>
      </c>
      <c r="C64">
        <v>41735082</v>
      </c>
      <c r="D64">
        <v>875112</v>
      </c>
      <c r="E64">
        <v>1938</v>
      </c>
      <c r="F64">
        <v>0</v>
      </c>
      <c r="G64">
        <v>305811209</v>
      </c>
      <c r="H64">
        <v>3977764</v>
      </c>
      <c r="I64">
        <v>29779</v>
      </c>
      <c r="J64">
        <v>4821497</v>
      </c>
      <c r="K64">
        <v>40113</v>
      </c>
      <c r="L64" t="s">
        <v>936</v>
      </c>
      <c r="M64" t="s">
        <v>945</v>
      </c>
    </row>
    <row r="65" spans="1:13" x14ac:dyDescent="0.3">
      <c r="A65" t="s">
        <v>789</v>
      </c>
      <c r="B65">
        <v>55</v>
      </c>
      <c r="C65">
        <v>57309360</v>
      </c>
      <c r="D65">
        <v>870024</v>
      </c>
      <c r="E65">
        <v>3238</v>
      </c>
      <c r="F65">
        <v>0</v>
      </c>
      <c r="G65">
        <v>359413553</v>
      </c>
      <c r="H65">
        <v>4339982</v>
      </c>
      <c r="I65">
        <v>90077</v>
      </c>
      <c r="J65">
        <v>3538091</v>
      </c>
      <c r="K65">
        <v>40810</v>
      </c>
      <c r="L65" t="s">
        <v>936</v>
      </c>
      <c r="M65" t="s">
        <v>945</v>
      </c>
    </row>
    <row r="66" spans="1:13" x14ac:dyDescent="0.3">
      <c r="A66" t="s">
        <v>777</v>
      </c>
      <c r="B66">
        <v>47</v>
      </c>
      <c r="C66">
        <v>40971694</v>
      </c>
      <c r="D66">
        <v>859103</v>
      </c>
      <c r="E66">
        <v>6650</v>
      </c>
      <c r="F66">
        <v>0</v>
      </c>
      <c r="G66">
        <v>310494605</v>
      </c>
      <c r="H66">
        <v>4298185</v>
      </c>
      <c r="I66">
        <v>88392</v>
      </c>
      <c r="J66">
        <v>5085296</v>
      </c>
      <c r="K66">
        <v>37550</v>
      </c>
      <c r="L66" t="s">
        <v>936</v>
      </c>
      <c r="M66" t="s">
        <v>940</v>
      </c>
    </row>
    <row r="67" spans="1:13" x14ac:dyDescent="0.3">
      <c r="A67" t="s">
        <v>795</v>
      </c>
      <c r="B67">
        <v>64</v>
      </c>
      <c r="C67">
        <v>41903168</v>
      </c>
      <c r="D67">
        <v>858313</v>
      </c>
      <c r="E67">
        <v>1839</v>
      </c>
      <c r="F67">
        <v>0</v>
      </c>
      <c r="G67">
        <v>320490145</v>
      </c>
      <c r="H67">
        <v>4123473</v>
      </c>
      <c r="I67">
        <v>42580</v>
      </c>
      <c r="J67">
        <v>3989749</v>
      </c>
      <c r="K67">
        <v>41253</v>
      </c>
      <c r="L67" t="s">
        <v>936</v>
      </c>
      <c r="M67" t="s">
        <v>939</v>
      </c>
    </row>
    <row r="68" spans="1:13" x14ac:dyDescent="0.3">
      <c r="A68" t="s">
        <v>955</v>
      </c>
      <c r="B68">
        <v>45</v>
      </c>
      <c r="C68">
        <v>60163921</v>
      </c>
      <c r="D68">
        <v>848244</v>
      </c>
      <c r="E68">
        <v>350</v>
      </c>
      <c r="F68">
        <v>0</v>
      </c>
      <c r="G68">
        <v>373522310</v>
      </c>
      <c r="H68">
        <v>4508088</v>
      </c>
      <c r="I68">
        <v>57962</v>
      </c>
      <c r="J68">
        <v>2743373</v>
      </c>
      <c r="K68">
        <v>42300</v>
      </c>
      <c r="L68" t="s">
        <v>936</v>
      </c>
      <c r="M68" t="s">
        <v>939</v>
      </c>
    </row>
    <row r="69" spans="1:13" x14ac:dyDescent="0.3">
      <c r="A69" t="s">
        <v>801</v>
      </c>
      <c r="B69">
        <v>77</v>
      </c>
      <c r="C69">
        <v>54382761</v>
      </c>
      <c r="D69">
        <v>847543</v>
      </c>
      <c r="E69">
        <v>120</v>
      </c>
      <c r="F69">
        <v>0</v>
      </c>
      <c r="G69">
        <v>330044669</v>
      </c>
      <c r="H69">
        <v>4134092</v>
      </c>
      <c r="I69">
        <v>44558</v>
      </c>
      <c r="J69">
        <v>5367439</v>
      </c>
      <c r="K69">
        <v>41800</v>
      </c>
      <c r="L69" t="s">
        <v>936</v>
      </c>
      <c r="M69" t="s">
        <v>944</v>
      </c>
    </row>
    <row r="70" spans="1:13" x14ac:dyDescent="0.3">
      <c r="A70" t="s">
        <v>953</v>
      </c>
      <c r="B70">
        <v>86</v>
      </c>
      <c r="C70">
        <v>41564015</v>
      </c>
      <c r="D70">
        <v>843500</v>
      </c>
      <c r="E70">
        <v>50</v>
      </c>
      <c r="F70">
        <v>0</v>
      </c>
      <c r="G70">
        <v>338836256</v>
      </c>
      <c r="H70">
        <v>3866601</v>
      </c>
      <c r="I70">
        <v>32156</v>
      </c>
      <c r="J70">
        <v>3306963</v>
      </c>
      <c r="K70">
        <v>40636</v>
      </c>
      <c r="L70" t="s">
        <v>936</v>
      </c>
      <c r="M70" t="s">
        <v>942</v>
      </c>
    </row>
    <row r="71" spans="1:13" x14ac:dyDescent="0.3">
      <c r="A71" t="s">
        <v>780</v>
      </c>
      <c r="B71">
        <v>49</v>
      </c>
      <c r="C71">
        <v>58169786</v>
      </c>
      <c r="D71">
        <v>841488</v>
      </c>
      <c r="E71">
        <v>0</v>
      </c>
      <c r="F71">
        <v>0</v>
      </c>
      <c r="G71">
        <v>388072519</v>
      </c>
      <c r="H71">
        <v>4444827</v>
      </c>
      <c r="I71">
        <v>50577</v>
      </c>
      <c r="J71">
        <v>3385461</v>
      </c>
      <c r="K71">
        <v>39040</v>
      </c>
      <c r="L71" t="s">
        <v>936</v>
      </c>
      <c r="M71" t="s">
        <v>942</v>
      </c>
    </row>
    <row r="72" spans="1:13" x14ac:dyDescent="0.3">
      <c r="A72" t="s">
        <v>775</v>
      </c>
      <c r="B72">
        <v>44</v>
      </c>
      <c r="C72">
        <v>40980871</v>
      </c>
      <c r="D72">
        <v>839532</v>
      </c>
      <c r="E72">
        <v>100</v>
      </c>
      <c r="F72">
        <v>0</v>
      </c>
      <c r="G72">
        <v>300633517</v>
      </c>
      <c r="H72">
        <v>4374401</v>
      </c>
      <c r="I72">
        <v>49560</v>
      </c>
      <c r="J72">
        <v>3406692</v>
      </c>
      <c r="K72">
        <v>37820</v>
      </c>
      <c r="L72" t="s">
        <v>936</v>
      </c>
      <c r="M72" t="s">
        <v>939</v>
      </c>
    </row>
    <row r="73" spans="1:13" x14ac:dyDescent="0.3">
      <c r="A73" t="s">
        <v>837</v>
      </c>
      <c r="B73">
        <v>121</v>
      </c>
      <c r="C73">
        <v>53490222</v>
      </c>
      <c r="D73">
        <v>838258</v>
      </c>
      <c r="E73">
        <v>350</v>
      </c>
      <c r="F73">
        <v>1818888</v>
      </c>
      <c r="G73">
        <v>269350375</v>
      </c>
      <c r="H73">
        <v>2780413</v>
      </c>
      <c r="I73">
        <v>34497</v>
      </c>
      <c r="J73">
        <v>11047709</v>
      </c>
      <c r="K73">
        <v>33953</v>
      </c>
      <c r="L73" t="s">
        <v>936</v>
      </c>
      <c r="M73" t="s">
        <v>937</v>
      </c>
    </row>
    <row r="74" spans="1:13" x14ac:dyDescent="0.3">
      <c r="A74" t="s">
        <v>779</v>
      </c>
      <c r="B74">
        <v>51</v>
      </c>
      <c r="C74">
        <v>72189516</v>
      </c>
      <c r="D74">
        <v>836882</v>
      </c>
      <c r="E74">
        <v>400</v>
      </c>
      <c r="F74">
        <v>0</v>
      </c>
      <c r="G74">
        <v>371615463</v>
      </c>
      <c r="H74">
        <v>4357563</v>
      </c>
      <c r="I74">
        <v>35171</v>
      </c>
      <c r="J74">
        <v>3066559</v>
      </c>
      <c r="K74">
        <v>39080</v>
      </c>
      <c r="L74" t="s">
        <v>936</v>
      </c>
      <c r="M74" t="s">
        <v>940</v>
      </c>
    </row>
    <row r="75" spans="1:13" x14ac:dyDescent="0.3">
      <c r="A75" t="s">
        <v>602</v>
      </c>
      <c r="B75">
        <v>101</v>
      </c>
      <c r="C75">
        <v>60558604</v>
      </c>
      <c r="D75">
        <v>828437</v>
      </c>
      <c r="E75">
        <v>550</v>
      </c>
      <c r="F75">
        <v>0</v>
      </c>
      <c r="G75">
        <v>283703233</v>
      </c>
      <c r="H75">
        <v>3316906</v>
      </c>
      <c r="I75">
        <v>63062</v>
      </c>
      <c r="J75">
        <v>6527035</v>
      </c>
      <c r="K75">
        <v>36460</v>
      </c>
      <c r="L75" t="s">
        <v>936</v>
      </c>
      <c r="M75" t="s">
        <v>945</v>
      </c>
    </row>
    <row r="76" spans="1:13" x14ac:dyDescent="0.3">
      <c r="A76" t="s">
        <v>957</v>
      </c>
      <c r="B76">
        <v>46</v>
      </c>
      <c r="C76">
        <v>55788801</v>
      </c>
      <c r="D76">
        <v>826383</v>
      </c>
      <c r="E76">
        <v>3774</v>
      </c>
      <c r="F76">
        <v>0</v>
      </c>
      <c r="G76">
        <v>342643096</v>
      </c>
      <c r="H76">
        <v>4347403</v>
      </c>
      <c r="I76">
        <v>43339</v>
      </c>
      <c r="J76">
        <v>2705997</v>
      </c>
      <c r="K76">
        <v>40046</v>
      </c>
      <c r="L76" t="s">
        <v>936</v>
      </c>
      <c r="M76" t="s">
        <v>943</v>
      </c>
    </row>
    <row r="77" spans="1:13" x14ac:dyDescent="0.3">
      <c r="A77" t="s">
        <v>790</v>
      </c>
      <c r="B77">
        <v>59</v>
      </c>
      <c r="C77">
        <v>42309997</v>
      </c>
      <c r="D77">
        <v>814369</v>
      </c>
      <c r="E77">
        <v>754</v>
      </c>
      <c r="F77">
        <v>0</v>
      </c>
      <c r="G77">
        <v>318023092</v>
      </c>
      <c r="H77">
        <v>4036777</v>
      </c>
      <c r="I77">
        <v>45031</v>
      </c>
      <c r="J77">
        <v>2836865</v>
      </c>
      <c r="K77">
        <v>38370</v>
      </c>
      <c r="L77" t="s">
        <v>936</v>
      </c>
      <c r="M77" t="s">
        <v>945</v>
      </c>
    </row>
    <row r="78" spans="1:13" x14ac:dyDescent="0.3">
      <c r="A78" t="s">
        <v>961</v>
      </c>
      <c r="B78">
        <v>53</v>
      </c>
      <c r="C78">
        <v>39358466</v>
      </c>
      <c r="D78">
        <v>796871</v>
      </c>
      <c r="E78">
        <v>0</v>
      </c>
      <c r="F78">
        <v>0</v>
      </c>
      <c r="G78">
        <v>330162710</v>
      </c>
      <c r="H78">
        <v>4280091</v>
      </c>
      <c r="I78">
        <v>44537</v>
      </c>
      <c r="J78">
        <v>3480620</v>
      </c>
      <c r="K78">
        <v>42800</v>
      </c>
      <c r="L78" t="s">
        <v>936</v>
      </c>
      <c r="M78" t="s">
        <v>946</v>
      </c>
    </row>
    <row r="79" spans="1:13" x14ac:dyDescent="0.3">
      <c r="A79" t="s">
        <v>794</v>
      </c>
      <c r="B79">
        <v>66</v>
      </c>
      <c r="C79">
        <v>52171583</v>
      </c>
      <c r="D79">
        <v>793086</v>
      </c>
      <c r="E79">
        <v>192</v>
      </c>
      <c r="F79">
        <v>0</v>
      </c>
      <c r="G79">
        <v>317589440</v>
      </c>
      <c r="H79">
        <v>3776561</v>
      </c>
      <c r="I79">
        <v>29275</v>
      </c>
      <c r="J79">
        <v>6477417</v>
      </c>
      <c r="K79">
        <v>41493</v>
      </c>
      <c r="L79" t="s">
        <v>936</v>
      </c>
      <c r="M79" t="s">
        <v>942</v>
      </c>
    </row>
    <row r="80" spans="1:13" x14ac:dyDescent="0.3">
      <c r="A80" t="s">
        <v>954</v>
      </c>
      <c r="B80">
        <v>102</v>
      </c>
      <c r="C80">
        <v>42853467</v>
      </c>
      <c r="D80">
        <v>777530</v>
      </c>
      <c r="E80">
        <v>360</v>
      </c>
      <c r="F80">
        <v>0</v>
      </c>
      <c r="G80">
        <v>262537421</v>
      </c>
      <c r="H80">
        <v>3205382</v>
      </c>
      <c r="I80">
        <v>42898</v>
      </c>
      <c r="J80">
        <v>6279036</v>
      </c>
      <c r="K80">
        <v>40910</v>
      </c>
      <c r="L80" t="s">
        <v>936</v>
      </c>
      <c r="M80" t="s">
        <v>945</v>
      </c>
    </row>
    <row r="81" spans="1:13" x14ac:dyDescent="0.3">
      <c r="A81" t="s">
        <v>956</v>
      </c>
      <c r="B81">
        <v>110</v>
      </c>
      <c r="C81">
        <v>51162813</v>
      </c>
      <c r="D81">
        <v>772598</v>
      </c>
      <c r="E81">
        <v>25306</v>
      </c>
      <c r="F81">
        <v>0</v>
      </c>
      <c r="G81">
        <v>231933914</v>
      </c>
      <c r="H81">
        <v>3111650</v>
      </c>
      <c r="I81">
        <v>104343</v>
      </c>
      <c r="J81">
        <v>8448987</v>
      </c>
      <c r="K81">
        <v>34266</v>
      </c>
      <c r="L81" t="s">
        <v>936</v>
      </c>
      <c r="M81" t="s">
        <v>942</v>
      </c>
    </row>
    <row r="82" spans="1:13" x14ac:dyDescent="0.3">
      <c r="A82" t="s">
        <v>823</v>
      </c>
      <c r="B82">
        <v>99</v>
      </c>
      <c r="C82">
        <v>48430717</v>
      </c>
      <c r="D82">
        <v>766554</v>
      </c>
      <c r="E82">
        <v>552</v>
      </c>
      <c r="F82">
        <v>715058</v>
      </c>
      <c r="G82">
        <v>292589770</v>
      </c>
      <c r="H82">
        <v>3417500</v>
      </c>
      <c r="I82">
        <v>50451</v>
      </c>
      <c r="J82">
        <v>8073140</v>
      </c>
      <c r="K82">
        <v>38553</v>
      </c>
      <c r="L82" t="s">
        <v>936</v>
      </c>
      <c r="M82" t="s">
        <v>937</v>
      </c>
    </row>
    <row r="83" spans="1:13" x14ac:dyDescent="0.3">
      <c r="A83" t="s">
        <v>813</v>
      </c>
      <c r="B83">
        <v>90</v>
      </c>
      <c r="C83">
        <v>34531728</v>
      </c>
      <c r="D83">
        <v>765419</v>
      </c>
      <c r="E83">
        <v>202</v>
      </c>
      <c r="F83">
        <v>0</v>
      </c>
      <c r="G83">
        <v>283560034</v>
      </c>
      <c r="H83">
        <v>3789451</v>
      </c>
      <c r="I83">
        <v>34907</v>
      </c>
      <c r="J83">
        <v>3365819</v>
      </c>
      <c r="K83">
        <v>34630</v>
      </c>
      <c r="L83" t="s">
        <v>936</v>
      </c>
      <c r="M83" t="s">
        <v>939</v>
      </c>
    </row>
    <row r="84" spans="1:13" x14ac:dyDescent="0.3">
      <c r="A84" t="s">
        <v>826</v>
      </c>
      <c r="B84">
        <v>106</v>
      </c>
      <c r="C84">
        <v>35004945</v>
      </c>
      <c r="D84">
        <v>761373</v>
      </c>
      <c r="E84">
        <v>838</v>
      </c>
      <c r="F84">
        <v>0</v>
      </c>
      <c r="G84">
        <v>269237811</v>
      </c>
      <c r="H84">
        <v>3435525</v>
      </c>
      <c r="I84">
        <v>26049</v>
      </c>
      <c r="J84">
        <v>2706596</v>
      </c>
      <c r="K84">
        <v>36240</v>
      </c>
      <c r="L84" t="s">
        <v>936</v>
      </c>
      <c r="M84" t="s">
        <v>940</v>
      </c>
    </row>
    <row r="85" spans="1:13" x14ac:dyDescent="0.3">
      <c r="A85" t="s">
        <v>768</v>
      </c>
      <c r="B85">
        <v>38</v>
      </c>
      <c r="C85">
        <v>38446262</v>
      </c>
      <c r="D85">
        <v>756222</v>
      </c>
      <c r="E85">
        <v>350</v>
      </c>
      <c r="F85">
        <v>0</v>
      </c>
      <c r="G85">
        <v>334726967</v>
      </c>
      <c r="H85">
        <v>4243986</v>
      </c>
      <c r="I85">
        <v>49944</v>
      </c>
      <c r="J85">
        <v>2817074</v>
      </c>
      <c r="K85">
        <v>40750</v>
      </c>
      <c r="L85" t="s">
        <v>936</v>
      </c>
      <c r="M85" t="s">
        <v>937</v>
      </c>
    </row>
    <row r="86" spans="1:13" x14ac:dyDescent="0.3">
      <c r="A86" t="s">
        <v>796</v>
      </c>
      <c r="B86">
        <v>68</v>
      </c>
      <c r="C86">
        <v>42135906</v>
      </c>
      <c r="D86">
        <v>750362</v>
      </c>
      <c r="E86">
        <v>564</v>
      </c>
      <c r="F86">
        <v>0</v>
      </c>
      <c r="G86">
        <v>332674518</v>
      </c>
      <c r="H86">
        <v>3858350</v>
      </c>
      <c r="I86">
        <v>82832</v>
      </c>
      <c r="J86">
        <v>3048789</v>
      </c>
      <c r="K86">
        <v>34550</v>
      </c>
      <c r="L86" t="s">
        <v>936</v>
      </c>
      <c r="M86" t="s">
        <v>946</v>
      </c>
    </row>
    <row r="87" spans="1:13" x14ac:dyDescent="0.3">
      <c r="A87" t="s">
        <v>766</v>
      </c>
      <c r="B87">
        <v>32</v>
      </c>
      <c r="C87">
        <v>37708100</v>
      </c>
      <c r="D87">
        <v>748463</v>
      </c>
      <c r="E87">
        <v>404</v>
      </c>
      <c r="F87">
        <v>0</v>
      </c>
      <c r="G87">
        <v>355812531</v>
      </c>
      <c r="H87">
        <v>4563229</v>
      </c>
      <c r="I87">
        <v>58652</v>
      </c>
      <c r="J87">
        <v>2762450</v>
      </c>
      <c r="K87">
        <v>35440</v>
      </c>
      <c r="L87" t="s">
        <v>936</v>
      </c>
      <c r="M87" t="s">
        <v>937</v>
      </c>
    </row>
    <row r="88" spans="1:13" x14ac:dyDescent="0.3">
      <c r="A88" t="s">
        <v>829</v>
      </c>
      <c r="B88">
        <v>114</v>
      </c>
      <c r="C88">
        <v>56272003</v>
      </c>
      <c r="D88">
        <v>748168</v>
      </c>
      <c r="E88">
        <v>151</v>
      </c>
      <c r="F88">
        <v>0</v>
      </c>
      <c r="G88">
        <v>383636788</v>
      </c>
      <c r="H88">
        <v>3293126</v>
      </c>
      <c r="I88">
        <v>37907</v>
      </c>
      <c r="J88">
        <v>2736506</v>
      </c>
      <c r="K88">
        <v>48920</v>
      </c>
      <c r="L88" t="s">
        <v>936</v>
      </c>
      <c r="M88" t="s">
        <v>944</v>
      </c>
    </row>
    <row r="89" spans="1:13" x14ac:dyDescent="0.3">
      <c r="A89" t="s">
        <v>834</v>
      </c>
      <c r="B89">
        <v>118</v>
      </c>
      <c r="C89">
        <v>47520738</v>
      </c>
      <c r="D89">
        <v>743788</v>
      </c>
      <c r="E89">
        <v>602</v>
      </c>
      <c r="F89">
        <v>0</v>
      </c>
      <c r="G89">
        <v>257774153</v>
      </c>
      <c r="H89">
        <v>2988202</v>
      </c>
      <c r="I89">
        <v>5345</v>
      </c>
      <c r="J89">
        <v>8914326</v>
      </c>
      <c r="K89">
        <v>31103</v>
      </c>
      <c r="L89" t="s">
        <v>936</v>
      </c>
      <c r="M89" t="s">
        <v>937</v>
      </c>
    </row>
    <row r="90" spans="1:13" x14ac:dyDescent="0.3">
      <c r="A90" t="s">
        <v>778</v>
      </c>
      <c r="B90">
        <v>52</v>
      </c>
      <c r="C90">
        <v>68509438</v>
      </c>
      <c r="D90">
        <v>739120</v>
      </c>
      <c r="E90">
        <v>224</v>
      </c>
      <c r="F90">
        <v>0</v>
      </c>
      <c r="G90">
        <v>405203281</v>
      </c>
      <c r="H90">
        <v>4168917</v>
      </c>
      <c r="I90">
        <v>46958</v>
      </c>
      <c r="J90">
        <v>2712776</v>
      </c>
      <c r="K90">
        <v>38550</v>
      </c>
      <c r="L90" t="s">
        <v>936</v>
      </c>
      <c r="M90" t="s">
        <v>937</v>
      </c>
    </row>
    <row r="91" spans="1:13" x14ac:dyDescent="0.3">
      <c r="A91" t="s">
        <v>865</v>
      </c>
      <c r="B91">
        <v>154</v>
      </c>
      <c r="C91">
        <v>82542590</v>
      </c>
      <c r="D91">
        <v>736606</v>
      </c>
      <c r="E91">
        <v>622</v>
      </c>
      <c r="F91">
        <v>0</v>
      </c>
      <c r="G91">
        <v>210154096</v>
      </c>
      <c r="H91">
        <v>2006554</v>
      </c>
      <c r="I91">
        <v>3797</v>
      </c>
      <c r="J91">
        <v>35083546</v>
      </c>
      <c r="K91">
        <v>38680</v>
      </c>
      <c r="L91" t="s">
        <v>936</v>
      </c>
      <c r="M91" t="s">
        <v>937</v>
      </c>
    </row>
    <row r="92" spans="1:13" x14ac:dyDescent="0.3">
      <c r="A92" t="s">
        <v>960</v>
      </c>
      <c r="B92">
        <v>87</v>
      </c>
      <c r="C92">
        <v>49986862</v>
      </c>
      <c r="D92">
        <v>726125</v>
      </c>
      <c r="E92">
        <v>100</v>
      </c>
      <c r="F92">
        <v>0</v>
      </c>
      <c r="G92">
        <v>322889257</v>
      </c>
      <c r="H92">
        <v>3678520</v>
      </c>
      <c r="I92">
        <v>23200</v>
      </c>
      <c r="J92">
        <v>6151726</v>
      </c>
      <c r="K92">
        <v>35820</v>
      </c>
      <c r="L92" t="s">
        <v>936</v>
      </c>
      <c r="M92" t="s">
        <v>945</v>
      </c>
    </row>
    <row r="93" spans="1:13" x14ac:dyDescent="0.3">
      <c r="A93" t="s">
        <v>816</v>
      </c>
      <c r="B93">
        <v>94</v>
      </c>
      <c r="C93">
        <v>35066616</v>
      </c>
      <c r="D93">
        <v>724777</v>
      </c>
      <c r="E93">
        <v>14651</v>
      </c>
      <c r="F93">
        <v>0</v>
      </c>
      <c r="G93">
        <v>261506729</v>
      </c>
      <c r="H93">
        <v>3472078</v>
      </c>
      <c r="I93">
        <v>108689</v>
      </c>
      <c r="J93">
        <v>2734459</v>
      </c>
      <c r="K93">
        <v>37180</v>
      </c>
      <c r="L93" t="s">
        <v>936</v>
      </c>
      <c r="M93" t="s">
        <v>940</v>
      </c>
    </row>
    <row r="94" spans="1:13" x14ac:dyDescent="0.3">
      <c r="A94" t="s">
        <v>864</v>
      </c>
      <c r="B94">
        <v>150</v>
      </c>
      <c r="C94">
        <v>49153096</v>
      </c>
      <c r="D94">
        <v>724616</v>
      </c>
      <c r="E94">
        <v>840</v>
      </c>
      <c r="F94">
        <v>0</v>
      </c>
      <c r="G94">
        <v>238004513</v>
      </c>
      <c r="H94">
        <v>2241277</v>
      </c>
      <c r="I94">
        <v>15105</v>
      </c>
      <c r="J94">
        <v>3144058</v>
      </c>
      <c r="K94">
        <v>42836</v>
      </c>
      <c r="L94" t="s">
        <v>936</v>
      </c>
      <c r="M94" t="s">
        <v>937</v>
      </c>
    </row>
    <row r="95" spans="1:13" x14ac:dyDescent="0.3">
      <c r="A95" t="s">
        <v>811</v>
      </c>
      <c r="B95">
        <v>88</v>
      </c>
      <c r="C95">
        <v>37657781</v>
      </c>
      <c r="D95">
        <v>721872</v>
      </c>
      <c r="E95">
        <v>1050</v>
      </c>
      <c r="F95">
        <v>995732</v>
      </c>
      <c r="G95">
        <v>271722836</v>
      </c>
      <c r="H95">
        <v>3533797</v>
      </c>
      <c r="I95">
        <v>65286</v>
      </c>
      <c r="J95">
        <v>5828444</v>
      </c>
      <c r="K95">
        <v>38480</v>
      </c>
      <c r="L95" t="s">
        <v>936</v>
      </c>
      <c r="M95" t="s">
        <v>939</v>
      </c>
    </row>
    <row r="96" spans="1:13" x14ac:dyDescent="0.3">
      <c r="A96" t="s">
        <v>820</v>
      </c>
      <c r="B96">
        <v>95</v>
      </c>
      <c r="C96">
        <v>47067357</v>
      </c>
      <c r="D96">
        <v>710638</v>
      </c>
      <c r="E96">
        <v>1978</v>
      </c>
      <c r="F96">
        <v>0</v>
      </c>
      <c r="G96">
        <v>299118980</v>
      </c>
      <c r="H96">
        <v>3324820</v>
      </c>
      <c r="I96">
        <v>43902</v>
      </c>
      <c r="J96">
        <v>4123091</v>
      </c>
      <c r="K96">
        <v>35912</v>
      </c>
      <c r="L96" t="s">
        <v>936</v>
      </c>
      <c r="M96" t="s">
        <v>946</v>
      </c>
    </row>
    <row r="97" spans="1:13" x14ac:dyDescent="0.3">
      <c r="A97" t="s">
        <v>802</v>
      </c>
      <c r="B97">
        <v>79</v>
      </c>
      <c r="C97">
        <v>60936110</v>
      </c>
      <c r="D97">
        <v>707879</v>
      </c>
      <c r="E97">
        <v>842</v>
      </c>
      <c r="F97">
        <v>0</v>
      </c>
      <c r="G97">
        <v>349879005</v>
      </c>
      <c r="H97">
        <v>4009526</v>
      </c>
      <c r="I97">
        <v>44864</v>
      </c>
      <c r="J97">
        <v>2912558</v>
      </c>
      <c r="K97">
        <v>39840</v>
      </c>
      <c r="L97" t="s">
        <v>936</v>
      </c>
      <c r="M97" t="s">
        <v>937</v>
      </c>
    </row>
    <row r="98" spans="1:13" x14ac:dyDescent="0.3">
      <c r="A98" t="s">
        <v>958</v>
      </c>
      <c r="B98">
        <v>111</v>
      </c>
      <c r="C98">
        <v>41752110</v>
      </c>
      <c r="D98">
        <v>704290</v>
      </c>
      <c r="E98">
        <v>350</v>
      </c>
      <c r="F98">
        <v>0</v>
      </c>
      <c r="G98">
        <v>231957512</v>
      </c>
      <c r="H98">
        <v>2961269</v>
      </c>
      <c r="I98">
        <v>15948</v>
      </c>
      <c r="J98">
        <v>4317550</v>
      </c>
      <c r="K98">
        <v>41600</v>
      </c>
      <c r="L98" t="s">
        <v>936</v>
      </c>
      <c r="M98" t="s">
        <v>945</v>
      </c>
    </row>
    <row r="99" spans="1:13" x14ac:dyDescent="0.3">
      <c r="A99" t="s">
        <v>821</v>
      </c>
      <c r="B99">
        <v>98</v>
      </c>
      <c r="C99">
        <v>37662097</v>
      </c>
      <c r="D99">
        <v>698716</v>
      </c>
      <c r="E99">
        <v>7002</v>
      </c>
      <c r="F99">
        <v>0</v>
      </c>
      <c r="G99">
        <v>313742719</v>
      </c>
      <c r="H99">
        <v>3299640</v>
      </c>
      <c r="I99">
        <v>59195</v>
      </c>
      <c r="J99">
        <v>4680527</v>
      </c>
      <c r="K99">
        <v>40163</v>
      </c>
      <c r="L99" t="s">
        <v>936</v>
      </c>
      <c r="M99" t="s">
        <v>946</v>
      </c>
    </row>
    <row r="100" spans="1:13" x14ac:dyDescent="0.3">
      <c r="A100" t="s">
        <v>839</v>
      </c>
      <c r="B100">
        <v>127</v>
      </c>
      <c r="C100">
        <v>39656677</v>
      </c>
      <c r="D100">
        <v>692561</v>
      </c>
      <c r="E100">
        <v>1576</v>
      </c>
      <c r="F100">
        <v>0</v>
      </c>
      <c r="G100">
        <v>291285544</v>
      </c>
      <c r="H100">
        <v>2823681</v>
      </c>
      <c r="I100">
        <v>42230</v>
      </c>
      <c r="J100">
        <v>2529773</v>
      </c>
      <c r="K100">
        <v>39380</v>
      </c>
      <c r="L100" t="s">
        <v>936</v>
      </c>
      <c r="M100" t="s">
        <v>942</v>
      </c>
    </row>
    <row r="101" spans="1:13" x14ac:dyDescent="0.3">
      <c r="A101" t="s">
        <v>807</v>
      </c>
      <c r="B101">
        <v>80</v>
      </c>
      <c r="C101">
        <v>32211510</v>
      </c>
      <c r="D101">
        <v>681631</v>
      </c>
      <c r="E101">
        <v>1570</v>
      </c>
      <c r="F101">
        <v>0</v>
      </c>
      <c r="G101">
        <v>300893431</v>
      </c>
      <c r="H101">
        <v>3888356</v>
      </c>
      <c r="I101">
        <v>34705</v>
      </c>
      <c r="J101">
        <v>3953012</v>
      </c>
      <c r="K101">
        <v>41240</v>
      </c>
      <c r="L101" t="s">
        <v>936</v>
      </c>
      <c r="M101" t="s">
        <v>939</v>
      </c>
    </row>
    <row r="102" spans="1:13" x14ac:dyDescent="0.3">
      <c r="A102" t="s">
        <v>972</v>
      </c>
      <c r="B102">
        <v>84</v>
      </c>
      <c r="C102">
        <v>44831205</v>
      </c>
      <c r="D102">
        <v>671496</v>
      </c>
      <c r="E102">
        <v>828</v>
      </c>
      <c r="F102">
        <v>0</v>
      </c>
      <c r="G102">
        <v>343011627</v>
      </c>
      <c r="H102">
        <v>3614758</v>
      </c>
      <c r="I102">
        <v>40710</v>
      </c>
      <c r="J102">
        <v>2716994</v>
      </c>
      <c r="K102">
        <v>41620</v>
      </c>
      <c r="L102" t="s">
        <v>936</v>
      </c>
      <c r="M102" t="s">
        <v>942</v>
      </c>
    </row>
    <row r="103" spans="1:13" x14ac:dyDescent="0.3">
      <c r="A103" t="s">
        <v>782</v>
      </c>
      <c r="B103">
        <v>54</v>
      </c>
      <c r="C103">
        <v>37353311</v>
      </c>
      <c r="D103">
        <v>667909</v>
      </c>
      <c r="E103">
        <v>3670</v>
      </c>
      <c r="F103">
        <v>0</v>
      </c>
      <c r="G103">
        <v>377277708</v>
      </c>
      <c r="H103">
        <v>4031554</v>
      </c>
      <c r="I103">
        <v>69368</v>
      </c>
      <c r="J103">
        <v>3629210</v>
      </c>
      <c r="K103">
        <v>41010</v>
      </c>
      <c r="L103" t="s">
        <v>936</v>
      </c>
      <c r="M103" t="s">
        <v>937</v>
      </c>
    </row>
    <row r="104" spans="1:13" x14ac:dyDescent="0.3">
      <c r="A104" t="s">
        <v>787</v>
      </c>
      <c r="B104">
        <v>58</v>
      </c>
      <c r="C104">
        <v>34168126</v>
      </c>
      <c r="D104">
        <v>666531</v>
      </c>
      <c r="E104">
        <v>0</v>
      </c>
      <c r="F104">
        <v>0</v>
      </c>
      <c r="G104">
        <v>306662364</v>
      </c>
      <c r="H104">
        <v>3972753</v>
      </c>
      <c r="I104">
        <v>42937</v>
      </c>
      <c r="J104">
        <v>3787035</v>
      </c>
      <c r="K104">
        <v>33240</v>
      </c>
      <c r="L104" t="s">
        <v>936</v>
      </c>
      <c r="M104" t="s">
        <v>939</v>
      </c>
    </row>
    <row r="105" spans="1:13" x14ac:dyDescent="0.3">
      <c r="A105" t="s">
        <v>836</v>
      </c>
      <c r="B105">
        <v>124</v>
      </c>
      <c r="C105">
        <v>33292617</v>
      </c>
      <c r="D105">
        <v>663287</v>
      </c>
      <c r="E105">
        <v>0</v>
      </c>
      <c r="F105">
        <v>0</v>
      </c>
      <c r="G105">
        <v>293581896</v>
      </c>
      <c r="H105">
        <v>2700101</v>
      </c>
      <c r="I105">
        <v>22159</v>
      </c>
      <c r="J105">
        <v>3937082</v>
      </c>
      <c r="K105">
        <v>39120</v>
      </c>
      <c r="L105" t="s">
        <v>936</v>
      </c>
      <c r="M105" t="s">
        <v>940</v>
      </c>
    </row>
    <row r="106" spans="1:13" x14ac:dyDescent="0.3">
      <c r="A106" t="s">
        <v>825</v>
      </c>
      <c r="B106">
        <v>104</v>
      </c>
      <c r="C106">
        <v>45351115</v>
      </c>
      <c r="D106">
        <v>662053</v>
      </c>
      <c r="E106">
        <v>404</v>
      </c>
      <c r="F106">
        <v>0</v>
      </c>
      <c r="G106">
        <v>258642157</v>
      </c>
      <c r="H106">
        <v>3001497</v>
      </c>
      <c r="I106">
        <v>54588</v>
      </c>
      <c r="J106">
        <v>3499294</v>
      </c>
      <c r="K106">
        <v>39122</v>
      </c>
      <c r="L106" t="s">
        <v>936</v>
      </c>
      <c r="M106" t="s">
        <v>937</v>
      </c>
    </row>
    <row r="107" spans="1:13" x14ac:dyDescent="0.3">
      <c r="A107" t="s">
        <v>827</v>
      </c>
      <c r="B107">
        <v>113</v>
      </c>
      <c r="C107">
        <v>29685355</v>
      </c>
      <c r="D107">
        <v>655871</v>
      </c>
      <c r="E107">
        <v>87</v>
      </c>
      <c r="F107">
        <v>0</v>
      </c>
      <c r="G107">
        <v>239074120</v>
      </c>
      <c r="H107">
        <v>2900569</v>
      </c>
      <c r="I107">
        <v>36746</v>
      </c>
      <c r="J107">
        <v>3415801</v>
      </c>
      <c r="K107">
        <v>37980</v>
      </c>
      <c r="L107" t="s">
        <v>936</v>
      </c>
      <c r="M107" t="s">
        <v>946</v>
      </c>
    </row>
    <row r="108" spans="1:13" x14ac:dyDescent="0.3">
      <c r="A108" t="s">
        <v>822</v>
      </c>
      <c r="B108">
        <v>100</v>
      </c>
      <c r="C108">
        <v>45594557</v>
      </c>
      <c r="D108">
        <v>655587</v>
      </c>
      <c r="E108">
        <v>855</v>
      </c>
      <c r="F108">
        <v>0</v>
      </c>
      <c r="G108">
        <v>304201618</v>
      </c>
      <c r="H108">
        <v>3213181</v>
      </c>
      <c r="I108">
        <v>83437</v>
      </c>
      <c r="J108">
        <v>2963087</v>
      </c>
      <c r="K108">
        <v>39840</v>
      </c>
      <c r="L108" t="s">
        <v>936</v>
      </c>
      <c r="M108" t="s">
        <v>944</v>
      </c>
    </row>
    <row r="109" spans="1:13" x14ac:dyDescent="0.3">
      <c r="A109" t="s">
        <v>806</v>
      </c>
      <c r="B109">
        <v>81</v>
      </c>
      <c r="C109">
        <v>59759025</v>
      </c>
      <c r="D109">
        <v>654830</v>
      </c>
      <c r="E109">
        <v>444</v>
      </c>
      <c r="F109">
        <v>0</v>
      </c>
      <c r="G109">
        <v>394071494</v>
      </c>
      <c r="H109">
        <v>3553469</v>
      </c>
      <c r="I109">
        <v>34958</v>
      </c>
      <c r="J109">
        <v>4581119</v>
      </c>
      <c r="K109">
        <v>46140</v>
      </c>
      <c r="L109" t="s">
        <v>936</v>
      </c>
      <c r="M109" t="s">
        <v>939</v>
      </c>
    </row>
    <row r="110" spans="1:13" x14ac:dyDescent="0.3">
      <c r="A110" t="s">
        <v>830</v>
      </c>
      <c r="B110">
        <v>117</v>
      </c>
      <c r="C110">
        <v>33329433</v>
      </c>
      <c r="D110">
        <v>649321</v>
      </c>
      <c r="E110">
        <v>6800</v>
      </c>
      <c r="F110">
        <v>0</v>
      </c>
      <c r="G110">
        <v>222330606</v>
      </c>
      <c r="H110">
        <v>2867132</v>
      </c>
      <c r="I110">
        <v>58159</v>
      </c>
      <c r="J110">
        <v>4167307</v>
      </c>
      <c r="K110">
        <v>26370</v>
      </c>
      <c r="L110" t="s">
        <v>936</v>
      </c>
      <c r="M110" t="s">
        <v>945</v>
      </c>
    </row>
    <row r="111" spans="1:13" x14ac:dyDescent="0.3">
      <c r="A111" t="s">
        <v>966</v>
      </c>
      <c r="B111">
        <v>145</v>
      </c>
      <c r="C111">
        <v>31168009</v>
      </c>
      <c r="D111">
        <v>645452</v>
      </c>
      <c r="E111">
        <v>408</v>
      </c>
      <c r="F111">
        <v>2030326</v>
      </c>
      <c r="G111">
        <v>232748727</v>
      </c>
      <c r="H111">
        <v>2328097</v>
      </c>
      <c r="I111">
        <v>6084</v>
      </c>
      <c r="J111">
        <v>8821778</v>
      </c>
      <c r="K111">
        <v>40810</v>
      </c>
      <c r="L111" t="s">
        <v>936</v>
      </c>
      <c r="M111" t="s">
        <v>940</v>
      </c>
    </row>
    <row r="112" spans="1:13" x14ac:dyDescent="0.3">
      <c r="A112" t="s">
        <v>603</v>
      </c>
      <c r="B112">
        <v>112</v>
      </c>
      <c r="C112">
        <v>31904732</v>
      </c>
      <c r="D112">
        <v>643022</v>
      </c>
      <c r="E112">
        <v>902</v>
      </c>
      <c r="F112">
        <v>0</v>
      </c>
      <c r="G112">
        <v>233096569</v>
      </c>
      <c r="H112">
        <v>3054891</v>
      </c>
      <c r="I112">
        <v>40713</v>
      </c>
      <c r="J112">
        <v>5309261</v>
      </c>
      <c r="K112">
        <v>32700</v>
      </c>
      <c r="L112" t="s">
        <v>936</v>
      </c>
      <c r="M112" t="s">
        <v>945</v>
      </c>
    </row>
    <row r="113" spans="1:13" x14ac:dyDescent="0.3">
      <c r="A113" t="s">
        <v>833</v>
      </c>
      <c r="B113">
        <v>120</v>
      </c>
      <c r="C113">
        <v>68361367</v>
      </c>
      <c r="D113">
        <v>636398</v>
      </c>
      <c r="E113">
        <v>8100</v>
      </c>
      <c r="F113">
        <v>0</v>
      </c>
      <c r="G113">
        <v>318400243</v>
      </c>
      <c r="H113">
        <v>2849248</v>
      </c>
      <c r="I113">
        <v>49524</v>
      </c>
      <c r="J113">
        <v>2144170</v>
      </c>
      <c r="K113">
        <v>43390</v>
      </c>
      <c r="L113" t="s">
        <v>936</v>
      </c>
      <c r="M113" t="s">
        <v>944</v>
      </c>
    </row>
    <row r="114" spans="1:13" x14ac:dyDescent="0.3">
      <c r="A114" t="s">
        <v>815</v>
      </c>
      <c r="B114">
        <v>92</v>
      </c>
      <c r="C114">
        <v>42670142</v>
      </c>
      <c r="D114">
        <v>630507</v>
      </c>
      <c r="E114">
        <v>250</v>
      </c>
      <c r="F114">
        <v>0</v>
      </c>
      <c r="G114">
        <v>241711301</v>
      </c>
      <c r="H114">
        <v>3588196</v>
      </c>
      <c r="I114">
        <v>56036</v>
      </c>
      <c r="J114">
        <v>37906240</v>
      </c>
      <c r="K114">
        <v>30620</v>
      </c>
      <c r="L114" t="s">
        <v>936</v>
      </c>
      <c r="M114" t="s">
        <v>939</v>
      </c>
    </row>
    <row r="115" spans="1:13" x14ac:dyDescent="0.3">
      <c r="A115" t="s">
        <v>863</v>
      </c>
      <c r="B115">
        <v>153</v>
      </c>
      <c r="C115">
        <v>41240290</v>
      </c>
      <c r="D115">
        <v>624762</v>
      </c>
      <c r="E115">
        <v>700</v>
      </c>
      <c r="F115">
        <v>444242</v>
      </c>
      <c r="G115">
        <v>198766753</v>
      </c>
      <c r="H115">
        <v>1900636</v>
      </c>
      <c r="I115">
        <v>16930</v>
      </c>
      <c r="J115">
        <v>32756200</v>
      </c>
      <c r="K115">
        <v>43360</v>
      </c>
      <c r="L115" t="s">
        <v>936</v>
      </c>
      <c r="M115" t="s">
        <v>959</v>
      </c>
    </row>
    <row r="116" spans="1:13" x14ac:dyDescent="0.3">
      <c r="A116" t="s">
        <v>884</v>
      </c>
      <c r="B116">
        <v>176</v>
      </c>
      <c r="C116">
        <v>30788113</v>
      </c>
      <c r="D116">
        <v>611681</v>
      </c>
      <c r="E116">
        <v>38402</v>
      </c>
      <c r="F116">
        <v>5581534</v>
      </c>
      <c r="G116">
        <v>127293305</v>
      </c>
      <c r="H116">
        <v>1986560</v>
      </c>
      <c r="I116">
        <v>124534</v>
      </c>
      <c r="J116">
        <v>38833787</v>
      </c>
      <c r="K116">
        <v>27369</v>
      </c>
      <c r="L116" t="s">
        <v>936</v>
      </c>
      <c r="M116" t="s">
        <v>959</v>
      </c>
    </row>
    <row r="117" spans="1:13" x14ac:dyDescent="0.3">
      <c r="A117" t="s">
        <v>964</v>
      </c>
      <c r="B117">
        <v>105</v>
      </c>
      <c r="C117">
        <v>30481669</v>
      </c>
      <c r="D117">
        <v>603981</v>
      </c>
      <c r="E117">
        <v>2204</v>
      </c>
      <c r="F117">
        <v>0</v>
      </c>
      <c r="G117">
        <v>237859784</v>
      </c>
      <c r="H117">
        <v>3091446</v>
      </c>
      <c r="I117">
        <v>55833</v>
      </c>
      <c r="J117">
        <v>3037846</v>
      </c>
      <c r="K117">
        <v>33000</v>
      </c>
      <c r="L117" t="s">
        <v>936</v>
      </c>
      <c r="M117" t="s">
        <v>939</v>
      </c>
    </row>
    <row r="118" spans="1:13" x14ac:dyDescent="0.3">
      <c r="A118" t="s">
        <v>845</v>
      </c>
      <c r="B118">
        <v>130</v>
      </c>
      <c r="C118">
        <v>46036972</v>
      </c>
      <c r="D118">
        <v>603467</v>
      </c>
      <c r="E118">
        <v>0</v>
      </c>
      <c r="F118">
        <v>0</v>
      </c>
      <c r="G118">
        <v>272171383</v>
      </c>
      <c r="H118">
        <v>2390401</v>
      </c>
      <c r="I118">
        <v>35605</v>
      </c>
      <c r="J118">
        <v>20487871</v>
      </c>
      <c r="K118">
        <v>38683</v>
      </c>
      <c r="L118" t="s">
        <v>936</v>
      </c>
      <c r="M118" t="s">
        <v>944</v>
      </c>
    </row>
    <row r="119" spans="1:13" x14ac:dyDescent="0.3">
      <c r="A119" t="s">
        <v>963</v>
      </c>
      <c r="B119">
        <v>116</v>
      </c>
      <c r="C119">
        <v>28786790</v>
      </c>
      <c r="D119">
        <v>599947</v>
      </c>
      <c r="E119">
        <v>1251</v>
      </c>
      <c r="F119">
        <v>0</v>
      </c>
      <c r="G119">
        <v>287311135</v>
      </c>
      <c r="H119">
        <v>2798365</v>
      </c>
      <c r="I119">
        <v>50420</v>
      </c>
      <c r="J119">
        <v>3449800</v>
      </c>
      <c r="K119">
        <v>31060</v>
      </c>
      <c r="L119" t="s">
        <v>936</v>
      </c>
      <c r="M119" t="s">
        <v>946</v>
      </c>
    </row>
    <row r="120" spans="1:13" x14ac:dyDescent="0.3">
      <c r="A120" t="s">
        <v>872</v>
      </c>
      <c r="B120">
        <v>164</v>
      </c>
      <c r="C120">
        <v>37500798</v>
      </c>
      <c r="D120">
        <v>598161</v>
      </c>
      <c r="E120">
        <v>0</v>
      </c>
      <c r="F120">
        <v>0</v>
      </c>
      <c r="G120">
        <v>209341809</v>
      </c>
      <c r="H120">
        <v>1730340</v>
      </c>
      <c r="I120">
        <v>2600</v>
      </c>
      <c r="J120">
        <v>2749870</v>
      </c>
      <c r="K120">
        <v>40886</v>
      </c>
      <c r="L120" t="s">
        <v>936</v>
      </c>
      <c r="M120" t="s">
        <v>944</v>
      </c>
    </row>
    <row r="121" spans="1:13" x14ac:dyDescent="0.3">
      <c r="A121" t="s">
        <v>855</v>
      </c>
      <c r="B121">
        <v>140</v>
      </c>
      <c r="C121">
        <v>41885074</v>
      </c>
      <c r="D121">
        <v>597616</v>
      </c>
      <c r="E121">
        <v>754</v>
      </c>
      <c r="F121">
        <v>0</v>
      </c>
      <c r="G121">
        <v>226872840</v>
      </c>
      <c r="H121">
        <v>2135197</v>
      </c>
      <c r="I121">
        <v>37586</v>
      </c>
      <c r="J121">
        <v>3571075</v>
      </c>
      <c r="K121">
        <v>37273</v>
      </c>
      <c r="L121" t="s">
        <v>936</v>
      </c>
      <c r="M121" t="s">
        <v>940</v>
      </c>
    </row>
    <row r="122" spans="1:13" x14ac:dyDescent="0.3">
      <c r="A122" t="s">
        <v>838</v>
      </c>
      <c r="B122">
        <v>126</v>
      </c>
      <c r="C122">
        <v>34399113</v>
      </c>
      <c r="D122">
        <v>593160</v>
      </c>
      <c r="E122">
        <v>740</v>
      </c>
      <c r="F122">
        <v>935880</v>
      </c>
      <c r="G122">
        <v>223818920</v>
      </c>
      <c r="H122">
        <v>2632534</v>
      </c>
      <c r="I122">
        <v>45920</v>
      </c>
      <c r="J122">
        <v>5152246</v>
      </c>
      <c r="K122">
        <v>34710</v>
      </c>
      <c r="L122" t="s">
        <v>936</v>
      </c>
      <c r="M122" t="s">
        <v>942</v>
      </c>
    </row>
    <row r="123" spans="1:13" x14ac:dyDescent="0.3">
      <c r="A123" t="s">
        <v>857</v>
      </c>
      <c r="B123">
        <v>141</v>
      </c>
      <c r="C123">
        <v>34617816</v>
      </c>
      <c r="D123">
        <v>579935</v>
      </c>
      <c r="E123">
        <v>293</v>
      </c>
      <c r="F123">
        <v>0</v>
      </c>
      <c r="G123">
        <v>232993891</v>
      </c>
      <c r="H123">
        <v>2209899</v>
      </c>
      <c r="I123">
        <v>17864</v>
      </c>
      <c r="J123">
        <v>3835056</v>
      </c>
      <c r="K123">
        <v>40573</v>
      </c>
      <c r="L123" t="s">
        <v>936</v>
      </c>
      <c r="M123" t="s">
        <v>962</v>
      </c>
    </row>
    <row r="124" spans="1:13" x14ac:dyDescent="0.3">
      <c r="A124" t="s">
        <v>976</v>
      </c>
      <c r="B124">
        <v>108</v>
      </c>
      <c r="C124">
        <v>28049190</v>
      </c>
      <c r="D124">
        <v>577244</v>
      </c>
      <c r="E124">
        <v>750</v>
      </c>
      <c r="F124">
        <v>1522686</v>
      </c>
      <c r="G124">
        <v>258437674</v>
      </c>
      <c r="H124">
        <v>3168572</v>
      </c>
      <c r="I124">
        <v>18522</v>
      </c>
      <c r="J124">
        <v>8905273</v>
      </c>
      <c r="K124">
        <v>37760</v>
      </c>
      <c r="L124" t="s">
        <v>936</v>
      </c>
      <c r="M124" t="s">
        <v>942</v>
      </c>
    </row>
    <row r="125" spans="1:13" x14ac:dyDescent="0.3">
      <c r="A125" t="s">
        <v>849</v>
      </c>
      <c r="B125">
        <v>136</v>
      </c>
      <c r="C125">
        <v>50191231</v>
      </c>
      <c r="D125">
        <v>573647</v>
      </c>
      <c r="E125">
        <v>760</v>
      </c>
      <c r="F125">
        <v>0</v>
      </c>
      <c r="G125">
        <v>353075672</v>
      </c>
      <c r="H125">
        <v>2228214</v>
      </c>
      <c r="I125">
        <v>19742</v>
      </c>
      <c r="J125">
        <v>4192603</v>
      </c>
      <c r="K125">
        <v>38350</v>
      </c>
      <c r="L125" t="s">
        <v>936</v>
      </c>
      <c r="M125" t="s">
        <v>937</v>
      </c>
    </row>
    <row r="126" spans="1:13" x14ac:dyDescent="0.3">
      <c r="A126" t="s">
        <v>819</v>
      </c>
      <c r="B126">
        <v>97</v>
      </c>
      <c r="C126">
        <v>28459580</v>
      </c>
      <c r="D126">
        <v>568394</v>
      </c>
      <c r="E126">
        <v>450</v>
      </c>
      <c r="F126">
        <v>0</v>
      </c>
      <c r="G126">
        <v>228626347</v>
      </c>
      <c r="H126">
        <v>3020408</v>
      </c>
      <c r="I126">
        <v>61557</v>
      </c>
      <c r="J126">
        <v>8640603</v>
      </c>
      <c r="K126">
        <v>28983</v>
      </c>
      <c r="L126" t="s">
        <v>936</v>
      </c>
      <c r="M126" t="s">
        <v>946</v>
      </c>
    </row>
    <row r="127" spans="1:13" x14ac:dyDescent="0.3">
      <c r="A127" t="s">
        <v>967</v>
      </c>
      <c r="B127">
        <v>115</v>
      </c>
      <c r="C127">
        <v>39934474</v>
      </c>
      <c r="D127">
        <v>564026</v>
      </c>
      <c r="E127">
        <v>350</v>
      </c>
      <c r="F127">
        <v>0</v>
      </c>
      <c r="G127">
        <v>322328465</v>
      </c>
      <c r="H127">
        <v>3157512</v>
      </c>
      <c r="I127">
        <v>32145</v>
      </c>
      <c r="J127">
        <v>3722185</v>
      </c>
      <c r="K127">
        <v>44920</v>
      </c>
      <c r="L127" t="s">
        <v>936</v>
      </c>
      <c r="M127" t="s">
        <v>942</v>
      </c>
    </row>
    <row r="128" spans="1:13" x14ac:dyDescent="0.3">
      <c r="A128" t="s">
        <v>846</v>
      </c>
      <c r="B128">
        <v>135</v>
      </c>
      <c r="C128">
        <v>40890360</v>
      </c>
      <c r="D128">
        <v>555043</v>
      </c>
      <c r="E128">
        <v>21097</v>
      </c>
      <c r="F128">
        <v>0</v>
      </c>
      <c r="G128">
        <v>228244927</v>
      </c>
      <c r="H128">
        <v>2368885</v>
      </c>
      <c r="I128">
        <v>128810</v>
      </c>
      <c r="J128">
        <v>3654670</v>
      </c>
      <c r="K128">
        <v>33940</v>
      </c>
      <c r="L128" t="s">
        <v>936</v>
      </c>
      <c r="M128" t="s">
        <v>942</v>
      </c>
    </row>
    <row r="129" spans="1:13" x14ac:dyDescent="0.3">
      <c r="A129" t="s">
        <v>840</v>
      </c>
      <c r="B129">
        <v>128</v>
      </c>
      <c r="C129">
        <v>35123821</v>
      </c>
      <c r="D129">
        <v>551465</v>
      </c>
      <c r="E129">
        <v>404</v>
      </c>
      <c r="F129">
        <v>0</v>
      </c>
      <c r="G129">
        <v>218821826</v>
      </c>
      <c r="H129">
        <v>2543260</v>
      </c>
      <c r="I129">
        <v>24709</v>
      </c>
      <c r="J129">
        <v>7092507</v>
      </c>
      <c r="K129">
        <v>35350</v>
      </c>
      <c r="L129" t="s">
        <v>936</v>
      </c>
      <c r="M129" t="s">
        <v>937</v>
      </c>
    </row>
    <row r="130" spans="1:13" x14ac:dyDescent="0.3">
      <c r="A130" t="s">
        <v>788</v>
      </c>
      <c r="B130">
        <v>63</v>
      </c>
      <c r="C130">
        <v>49551384</v>
      </c>
      <c r="D130">
        <v>545610</v>
      </c>
      <c r="E130">
        <v>1073</v>
      </c>
      <c r="F130">
        <v>0</v>
      </c>
      <c r="G130">
        <v>326272199</v>
      </c>
      <c r="H130">
        <v>3763183</v>
      </c>
      <c r="I130">
        <v>48763</v>
      </c>
      <c r="J130">
        <v>3359356</v>
      </c>
      <c r="K130">
        <v>46140</v>
      </c>
      <c r="L130" t="s">
        <v>936</v>
      </c>
      <c r="M130" t="s">
        <v>944</v>
      </c>
    </row>
    <row r="131" spans="1:13" x14ac:dyDescent="0.3">
      <c r="A131" t="s">
        <v>965</v>
      </c>
      <c r="B131">
        <v>133</v>
      </c>
      <c r="C131">
        <v>24844419</v>
      </c>
      <c r="D131">
        <v>541376</v>
      </c>
      <c r="E131">
        <v>444</v>
      </c>
      <c r="F131">
        <v>0</v>
      </c>
      <c r="G131">
        <v>213398368</v>
      </c>
      <c r="H131">
        <v>2334153</v>
      </c>
      <c r="I131">
        <v>49260</v>
      </c>
      <c r="J131">
        <v>2946859</v>
      </c>
      <c r="K131">
        <v>36013</v>
      </c>
      <c r="L131" t="s">
        <v>936</v>
      </c>
      <c r="M131" t="s">
        <v>942</v>
      </c>
    </row>
    <row r="132" spans="1:13" x14ac:dyDescent="0.3">
      <c r="A132" t="s">
        <v>848</v>
      </c>
      <c r="B132">
        <v>137</v>
      </c>
      <c r="C132">
        <v>24437217</v>
      </c>
      <c r="D132">
        <v>535640</v>
      </c>
      <c r="E132">
        <v>9581</v>
      </c>
      <c r="F132">
        <v>0</v>
      </c>
      <c r="G132">
        <v>217496545</v>
      </c>
      <c r="H132">
        <v>2352504</v>
      </c>
      <c r="I132">
        <v>50618</v>
      </c>
      <c r="J132">
        <v>6223868</v>
      </c>
      <c r="K132">
        <v>37692</v>
      </c>
      <c r="L132" t="s">
        <v>987</v>
      </c>
      <c r="M132" t="s">
        <v>945</v>
      </c>
    </row>
    <row r="133" spans="1:13" x14ac:dyDescent="0.3">
      <c r="A133" t="s">
        <v>969</v>
      </c>
      <c r="B133">
        <v>107</v>
      </c>
      <c r="C133">
        <v>41712990</v>
      </c>
      <c r="D133">
        <v>533481</v>
      </c>
      <c r="E133">
        <v>0</v>
      </c>
      <c r="F133">
        <v>0</v>
      </c>
      <c r="G133">
        <v>303965194</v>
      </c>
      <c r="H133">
        <v>2878222</v>
      </c>
      <c r="I133">
        <v>28126</v>
      </c>
      <c r="J133">
        <v>17338769</v>
      </c>
      <c r="K133">
        <v>33920</v>
      </c>
      <c r="L133" t="s">
        <v>936</v>
      </c>
      <c r="M133" t="s">
        <v>946</v>
      </c>
    </row>
    <row r="134" spans="1:13" x14ac:dyDescent="0.3">
      <c r="A134" t="s">
        <v>859</v>
      </c>
      <c r="B134">
        <v>148</v>
      </c>
      <c r="C134">
        <v>48851582</v>
      </c>
      <c r="D134">
        <v>531151</v>
      </c>
      <c r="E134">
        <v>771</v>
      </c>
      <c r="F134">
        <v>0</v>
      </c>
      <c r="G134">
        <v>270533442</v>
      </c>
      <c r="H134">
        <v>2218582</v>
      </c>
      <c r="I134">
        <v>19746</v>
      </c>
      <c r="J134">
        <v>5374699</v>
      </c>
      <c r="K134">
        <v>37950</v>
      </c>
      <c r="L134" t="s">
        <v>936</v>
      </c>
      <c r="M134" t="s">
        <v>962</v>
      </c>
    </row>
    <row r="135" spans="1:13" x14ac:dyDescent="0.3">
      <c r="A135" t="s">
        <v>869</v>
      </c>
      <c r="B135">
        <v>165</v>
      </c>
      <c r="C135">
        <v>29098574</v>
      </c>
      <c r="D135">
        <v>524034</v>
      </c>
      <c r="E135">
        <v>8550</v>
      </c>
      <c r="F135">
        <v>0</v>
      </c>
      <c r="G135">
        <v>174629556</v>
      </c>
      <c r="H135">
        <v>1999218</v>
      </c>
      <c r="I135">
        <v>89227</v>
      </c>
      <c r="J135">
        <v>2945065</v>
      </c>
      <c r="K135">
        <v>27240</v>
      </c>
      <c r="L135" t="s">
        <v>936</v>
      </c>
      <c r="M135" t="s">
        <v>940</v>
      </c>
    </row>
    <row r="136" spans="1:13" x14ac:dyDescent="0.3">
      <c r="A136" t="s">
        <v>971</v>
      </c>
      <c r="B136">
        <v>122</v>
      </c>
      <c r="C136">
        <v>30133475</v>
      </c>
      <c r="D136">
        <v>523291</v>
      </c>
      <c r="E136">
        <v>400</v>
      </c>
      <c r="F136">
        <v>0</v>
      </c>
      <c r="G136">
        <v>252858476</v>
      </c>
      <c r="H136">
        <v>2577682</v>
      </c>
      <c r="I136">
        <v>32801</v>
      </c>
      <c r="J136">
        <v>3579744</v>
      </c>
      <c r="K136">
        <v>35433</v>
      </c>
      <c r="L136" t="s">
        <v>936</v>
      </c>
      <c r="M136" t="s">
        <v>942</v>
      </c>
    </row>
    <row r="137" spans="1:13" x14ac:dyDescent="0.3">
      <c r="A137" t="s">
        <v>862</v>
      </c>
      <c r="B137">
        <v>157</v>
      </c>
      <c r="C137">
        <v>26863094</v>
      </c>
      <c r="D137">
        <v>515537</v>
      </c>
      <c r="E137">
        <v>3700</v>
      </c>
      <c r="F137">
        <v>0</v>
      </c>
      <c r="G137">
        <v>257671629</v>
      </c>
      <c r="H137">
        <v>1899110</v>
      </c>
      <c r="I137">
        <v>25261</v>
      </c>
      <c r="J137">
        <v>2262023</v>
      </c>
      <c r="K137">
        <v>40600</v>
      </c>
      <c r="L137" t="s">
        <v>936</v>
      </c>
      <c r="M137" t="s">
        <v>944</v>
      </c>
    </row>
    <row r="138" spans="1:13" x14ac:dyDescent="0.3">
      <c r="A138" t="s">
        <v>974</v>
      </c>
      <c r="B138">
        <v>138</v>
      </c>
      <c r="C138">
        <v>23965888</v>
      </c>
      <c r="D138">
        <v>511989</v>
      </c>
      <c r="E138">
        <v>1140</v>
      </c>
      <c r="F138">
        <v>5603734</v>
      </c>
      <c r="G138">
        <v>224446694</v>
      </c>
      <c r="H138">
        <v>2316910</v>
      </c>
      <c r="I138">
        <v>23976</v>
      </c>
      <c r="J138">
        <v>12114174</v>
      </c>
      <c r="K138">
        <v>39060</v>
      </c>
      <c r="L138" t="s">
        <v>936</v>
      </c>
      <c r="M138" t="s">
        <v>942</v>
      </c>
    </row>
    <row r="139" spans="1:13" x14ac:dyDescent="0.3">
      <c r="A139" t="s">
        <v>977</v>
      </c>
      <c r="B139">
        <v>159</v>
      </c>
      <c r="C139">
        <v>22961551</v>
      </c>
      <c r="D139">
        <v>501460</v>
      </c>
      <c r="E139">
        <v>505</v>
      </c>
      <c r="F139">
        <v>453192</v>
      </c>
      <c r="G139">
        <v>195378808</v>
      </c>
      <c r="H139">
        <v>2075180</v>
      </c>
      <c r="I139">
        <v>6397</v>
      </c>
      <c r="J139">
        <v>9466611</v>
      </c>
      <c r="K139">
        <v>36460</v>
      </c>
      <c r="L139" t="s">
        <v>936</v>
      </c>
      <c r="M139" t="s">
        <v>959</v>
      </c>
    </row>
    <row r="140" spans="1:13" x14ac:dyDescent="0.3">
      <c r="A140" t="s">
        <v>817</v>
      </c>
      <c r="B140">
        <v>96</v>
      </c>
      <c r="C140">
        <v>25792619</v>
      </c>
      <c r="D140">
        <v>500146</v>
      </c>
      <c r="E140">
        <v>120</v>
      </c>
      <c r="F140">
        <v>0</v>
      </c>
      <c r="G140">
        <v>276050180</v>
      </c>
      <c r="H140">
        <v>3268000</v>
      </c>
      <c r="I140">
        <v>49596</v>
      </c>
      <c r="J140">
        <v>3612005</v>
      </c>
      <c r="K140">
        <v>32899</v>
      </c>
      <c r="L140" t="s">
        <v>936</v>
      </c>
      <c r="M140" t="s">
        <v>940</v>
      </c>
    </row>
    <row r="141" spans="1:13" x14ac:dyDescent="0.3">
      <c r="A141" t="s">
        <v>791</v>
      </c>
      <c r="B141">
        <v>71</v>
      </c>
      <c r="C141">
        <v>27198491</v>
      </c>
      <c r="D141">
        <v>494574</v>
      </c>
      <c r="E141">
        <v>202</v>
      </c>
      <c r="F141">
        <v>0</v>
      </c>
      <c r="G141">
        <v>311400753</v>
      </c>
      <c r="H141">
        <v>3661105</v>
      </c>
      <c r="I141">
        <v>59670</v>
      </c>
      <c r="J141">
        <v>3355651</v>
      </c>
      <c r="K141">
        <v>34470</v>
      </c>
      <c r="L141" t="s">
        <v>936</v>
      </c>
      <c r="M141" t="s">
        <v>939</v>
      </c>
    </row>
    <row r="142" spans="1:13" x14ac:dyDescent="0.3">
      <c r="A142" t="s">
        <v>870</v>
      </c>
      <c r="B142">
        <v>163</v>
      </c>
      <c r="C142">
        <v>50100822</v>
      </c>
      <c r="D142">
        <v>493789</v>
      </c>
      <c r="E142">
        <v>522</v>
      </c>
      <c r="F142">
        <v>0</v>
      </c>
      <c r="G142">
        <v>201703394</v>
      </c>
      <c r="H142">
        <v>1675855</v>
      </c>
      <c r="I142">
        <v>47011</v>
      </c>
      <c r="J142">
        <v>3293993</v>
      </c>
      <c r="K142">
        <v>31230</v>
      </c>
      <c r="L142" t="s">
        <v>936</v>
      </c>
      <c r="M142" t="s">
        <v>944</v>
      </c>
    </row>
    <row r="143" spans="1:13" x14ac:dyDescent="0.3">
      <c r="A143" t="s">
        <v>886</v>
      </c>
      <c r="B143">
        <v>180</v>
      </c>
      <c r="C143">
        <v>20631703</v>
      </c>
      <c r="D143">
        <v>492793</v>
      </c>
      <c r="E143">
        <v>17720</v>
      </c>
      <c r="F143">
        <v>0</v>
      </c>
      <c r="G143">
        <v>151369477</v>
      </c>
      <c r="H143">
        <v>1392455</v>
      </c>
      <c r="I143">
        <v>48987</v>
      </c>
      <c r="J143">
        <v>6840688</v>
      </c>
      <c r="K143">
        <v>31570</v>
      </c>
      <c r="L143" t="s">
        <v>936</v>
      </c>
      <c r="M143" t="s">
        <v>959</v>
      </c>
    </row>
    <row r="144" spans="1:13" x14ac:dyDescent="0.3">
      <c r="A144" t="s">
        <v>871</v>
      </c>
      <c r="B144">
        <v>166</v>
      </c>
      <c r="C144">
        <v>32545564</v>
      </c>
      <c r="D144">
        <v>492278</v>
      </c>
      <c r="E144">
        <v>750</v>
      </c>
      <c r="F144">
        <v>0</v>
      </c>
      <c r="G144">
        <v>171382861</v>
      </c>
      <c r="H144">
        <v>1760941</v>
      </c>
      <c r="I144">
        <v>8296</v>
      </c>
      <c r="J144">
        <v>4022349</v>
      </c>
      <c r="K144">
        <v>33399</v>
      </c>
      <c r="L144" t="s">
        <v>936</v>
      </c>
      <c r="M144" t="s">
        <v>959</v>
      </c>
    </row>
    <row r="145" spans="1:13" x14ac:dyDescent="0.3">
      <c r="A145" t="s">
        <v>843</v>
      </c>
      <c r="B145">
        <v>134</v>
      </c>
      <c r="C145">
        <v>25480390</v>
      </c>
      <c r="D145">
        <v>491507</v>
      </c>
      <c r="E145">
        <v>4829</v>
      </c>
      <c r="F145">
        <v>0</v>
      </c>
      <c r="G145">
        <v>201811268</v>
      </c>
      <c r="H145">
        <v>2431591</v>
      </c>
      <c r="I145">
        <v>56090</v>
      </c>
      <c r="J145">
        <v>3519551</v>
      </c>
      <c r="K145">
        <v>34908</v>
      </c>
      <c r="L145" t="s">
        <v>936</v>
      </c>
      <c r="M145" t="s">
        <v>962</v>
      </c>
    </row>
    <row r="146" spans="1:13" x14ac:dyDescent="0.3">
      <c r="A146" t="s">
        <v>841</v>
      </c>
      <c r="B146">
        <v>131</v>
      </c>
      <c r="C146">
        <v>31211325</v>
      </c>
      <c r="D146">
        <v>486650</v>
      </c>
      <c r="E146">
        <v>11250</v>
      </c>
      <c r="F146">
        <v>1332616</v>
      </c>
      <c r="G146">
        <v>170832304</v>
      </c>
      <c r="H146">
        <v>2400983</v>
      </c>
      <c r="I146">
        <v>69153</v>
      </c>
      <c r="J146">
        <v>37062837</v>
      </c>
      <c r="K146">
        <v>30390</v>
      </c>
      <c r="L146" t="s">
        <v>936</v>
      </c>
      <c r="M146" t="s">
        <v>945</v>
      </c>
    </row>
    <row r="147" spans="1:13" x14ac:dyDescent="0.3">
      <c r="A147" t="s">
        <v>809</v>
      </c>
      <c r="B147">
        <v>91</v>
      </c>
      <c r="C147">
        <v>23693944</v>
      </c>
      <c r="D147">
        <v>477992</v>
      </c>
      <c r="E147">
        <v>162</v>
      </c>
      <c r="F147">
        <v>2016823</v>
      </c>
      <c r="G147">
        <v>301356256</v>
      </c>
      <c r="H147">
        <v>3345840</v>
      </c>
      <c r="I147">
        <v>49132</v>
      </c>
      <c r="J147">
        <v>5987927</v>
      </c>
      <c r="K147">
        <v>39153</v>
      </c>
      <c r="L147" t="s">
        <v>936</v>
      </c>
      <c r="M147" t="s">
        <v>939</v>
      </c>
    </row>
    <row r="148" spans="1:13" x14ac:dyDescent="0.3">
      <c r="A148" t="s">
        <v>828</v>
      </c>
      <c r="B148">
        <v>119</v>
      </c>
      <c r="C148">
        <v>29833341</v>
      </c>
      <c r="D148">
        <v>467487</v>
      </c>
      <c r="E148">
        <v>12650</v>
      </c>
      <c r="F148">
        <v>0</v>
      </c>
      <c r="G148">
        <v>224190576</v>
      </c>
      <c r="H148">
        <v>2570232</v>
      </c>
      <c r="I148">
        <v>64351</v>
      </c>
      <c r="J148">
        <v>13759215</v>
      </c>
      <c r="K148">
        <v>34503</v>
      </c>
      <c r="L148" t="s">
        <v>936</v>
      </c>
      <c r="M148" t="s">
        <v>946</v>
      </c>
    </row>
    <row r="149" spans="1:13" x14ac:dyDescent="0.3">
      <c r="A149" t="s">
        <v>852</v>
      </c>
      <c r="B149">
        <v>144</v>
      </c>
      <c r="C149">
        <v>34892957</v>
      </c>
      <c r="D149">
        <v>451702</v>
      </c>
      <c r="E149">
        <v>552</v>
      </c>
      <c r="F149">
        <v>0</v>
      </c>
      <c r="G149">
        <v>204996006</v>
      </c>
      <c r="H149">
        <v>2105694</v>
      </c>
      <c r="I149">
        <v>17044</v>
      </c>
      <c r="J149">
        <v>3417438</v>
      </c>
      <c r="K149">
        <v>34020</v>
      </c>
      <c r="L149" t="s">
        <v>936</v>
      </c>
      <c r="M149" t="s">
        <v>940</v>
      </c>
    </row>
    <row r="150" spans="1:13" x14ac:dyDescent="0.3">
      <c r="A150" t="s">
        <v>824</v>
      </c>
      <c r="B150">
        <v>109</v>
      </c>
      <c r="C150">
        <v>41556372</v>
      </c>
      <c r="D150">
        <v>450804</v>
      </c>
      <c r="E150">
        <v>1801</v>
      </c>
      <c r="F150">
        <v>0</v>
      </c>
      <c r="G150">
        <v>248488813</v>
      </c>
      <c r="H150">
        <v>2694655</v>
      </c>
      <c r="I150">
        <v>3206</v>
      </c>
      <c r="J150">
        <v>5042586</v>
      </c>
      <c r="K150">
        <v>33413</v>
      </c>
      <c r="L150" t="s">
        <v>936</v>
      </c>
      <c r="M150" t="s">
        <v>959</v>
      </c>
    </row>
    <row r="151" spans="1:13" x14ac:dyDescent="0.3">
      <c r="A151" t="s">
        <v>877</v>
      </c>
      <c r="B151">
        <v>171</v>
      </c>
      <c r="C151">
        <v>34580774</v>
      </c>
      <c r="D151">
        <v>445364</v>
      </c>
      <c r="E151">
        <v>250</v>
      </c>
      <c r="F151">
        <v>2929423</v>
      </c>
      <c r="G151">
        <v>199023776</v>
      </c>
      <c r="H151">
        <v>1522059</v>
      </c>
      <c r="I151">
        <v>33253</v>
      </c>
      <c r="J151">
        <v>11408653</v>
      </c>
      <c r="K151">
        <v>37820</v>
      </c>
      <c r="L151" t="s">
        <v>936</v>
      </c>
      <c r="M151" t="s">
        <v>942</v>
      </c>
    </row>
    <row r="152" spans="1:13" x14ac:dyDescent="0.3">
      <c r="A152" t="s">
        <v>832</v>
      </c>
      <c r="B152">
        <v>123</v>
      </c>
      <c r="C152">
        <v>21121987</v>
      </c>
      <c r="D152">
        <v>444131</v>
      </c>
      <c r="E152">
        <v>13050</v>
      </c>
      <c r="F152">
        <v>0</v>
      </c>
      <c r="G152">
        <v>220347276</v>
      </c>
      <c r="H152">
        <v>2417315</v>
      </c>
      <c r="I152">
        <v>105402</v>
      </c>
      <c r="J152">
        <v>47067969</v>
      </c>
      <c r="K152">
        <v>30250</v>
      </c>
      <c r="L152" t="s">
        <v>936</v>
      </c>
      <c r="M152" t="s">
        <v>946</v>
      </c>
    </row>
    <row r="153" spans="1:13" x14ac:dyDescent="0.3">
      <c r="A153" t="s">
        <v>968</v>
      </c>
      <c r="B153">
        <v>160</v>
      </c>
      <c r="C153">
        <v>29435583</v>
      </c>
      <c r="D153">
        <v>442819</v>
      </c>
      <c r="E153">
        <v>0</v>
      </c>
      <c r="F153">
        <v>0</v>
      </c>
      <c r="G153">
        <v>187490767</v>
      </c>
      <c r="H153">
        <v>1895311</v>
      </c>
      <c r="I153">
        <v>7508</v>
      </c>
      <c r="J153">
        <v>3626092</v>
      </c>
      <c r="K153">
        <v>33170</v>
      </c>
      <c r="L153" t="s">
        <v>936</v>
      </c>
      <c r="M153" t="s">
        <v>945</v>
      </c>
    </row>
    <row r="154" spans="1:13" x14ac:dyDescent="0.3">
      <c r="A154" t="s">
        <v>604</v>
      </c>
      <c r="B154">
        <v>132</v>
      </c>
      <c r="C154">
        <v>20964061</v>
      </c>
      <c r="D154">
        <v>435364</v>
      </c>
      <c r="E154">
        <v>350</v>
      </c>
      <c r="F154">
        <v>1776948</v>
      </c>
      <c r="G154">
        <v>250548828</v>
      </c>
      <c r="H154">
        <v>2282995</v>
      </c>
      <c r="I154">
        <v>25331</v>
      </c>
      <c r="J154">
        <v>8601549</v>
      </c>
      <c r="K154">
        <v>29723</v>
      </c>
      <c r="L154" t="s">
        <v>936</v>
      </c>
      <c r="M154" t="s">
        <v>945</v>
      </c>
    </row>
    <row r="155" spans="1:13" x14ac:dyDescent="0.3">
      <c r="A155" t="s">
        <v>867</v>
      </c>
      <c r="B155">
        <v>162</v>
      </c>
      <c r="C155">
        <v>29252664</v>
      </c>
      <c r="D155">
        <v>410566</v>
      </c>
      <c r="E155">
        <v>202</v>
      </c>
      <c r="F155">
        <v>0</v>
      </c>
      <c r="G155">
        <v>206343684</v>
      </c>
      <c r="H155">
        <v>1654532</v>
      </c>
      <c r="I155">
        <v>31882</v>
      </c>
      <c r="J155">
        <v>3753806</v>
      </c>
      <c r="K155">
        <v>33240</v>
      </c>
      <c r="L155" t="s">
        <v>936</v>
      </c>
      <c r="M155" t="s">
        <v>940</v>
      </c>
    </row>
    <row r="156" spans="1:13" x14ac:dyDescent="0.3">
      <c r="A156" t="s">
        <v>970</v>
      </c>
      <c r="B156">
        <v>103</v>
      </c>
      <c r="C156">
        <v>17755738</v>
      </c>
      <c r="D156">
        <v>402472</v>
      </c>
      <c r="E156">
        <v>2600</v>
      </c>
      <c r="F156">
        <v>0</v>
      </c>
      <c r="G156">
        <v>222958905</v>
      </c>
      <c r="H156">
        <v>2766831</v>
      </c>
      <c r="I156">
        <v>49317</v>
      </c>
      <c r="J156">
        <v>9585335</v>
      </c>
      <c r="K156">
        <v>33900</v>
      </c>
      <c r="L156" t="s">
        <v>936</v>
      </c>
      <c r="M156" t="s">
        <v>939</v>
      </c>
    </row>
    <row r="157" spans="1:13" x14ac:dyDescent="0.3">
      <c r="A157" t="s">
        <v>858</v>
      </c>
      <c r="B157">
        <v>152</v>
      </c>
      <c r="C157">
        <v>41523815</v>
      </c>
      <c r="D157">
        <v>400230</v>
      </c>
      <c r="E157">
        <v>17853</v>
      </c>
      <c r="F157">
        <v>4760591</v>
      </c>
      <c r="G157">
        <v>272481924</v>
      </c>
      <c r="H157">
        <v>1834265</v>
      </c>
      <c r="I157">
        <v>56887</v>
      </c>
      <c r="J157">
        <v>38613980</v>
      </c>
      <c r="K157">
        <v>35410</v>
      </c>
      <c r="L157" t="s">
        <v>936</v>
      </c>
      <c r="M157" t="s">
        <v>942</v>
      </c>
    </row>
    <row r="158" spans="1:13" x14ac:dyDescent="0.3">
      <c r="A158" t="s">
        <v>874</v>
      </c>
      <c r="B158">
        <v>170</v>
      </c>
      <c r="C158">
        <v>36761647</v>
      </c>
      <c r="D158">
        <v>396775</v>
      </c>
      <c r="E158">
        <v>765</v>
      </c>
      <c r="F158">
        <v>2163828</v>
      </c>
      <c r="G158">
        <v>204346595</v>
      </c>
      <c r="H158">
        <v>1458159</v>
      </c>
      <c r="I158">
        <v>9363</v>
      </c>
      <c r="J158">
        <v>8549159</v>
      </c>
      <c r="K158">
        <v>38816</v>
      </c>
      <c r="L158" t="s">
        <v>936</v>
      </c>
      <c r="M158" t="s">
        <v>937</v>
      </c>
    </row>
    <row r="159" spans="1:13" x14ac:dyDescent="0.3">
      <c r="A159" t="s">
        <v>885</v>
      </c>
      <c r="B159">
        <v>182</v>
      </c>
      <c r="C159">
        <v>42530280</v>
      </c>
      <c r="D159">
        <v>388003</v>
      </c>
      <c r="E159">
        <v>700</v>
      </c>
      <c r="F159">
        <v>0</v>
      </c>
      <c r="G159">
        <v>150514127</v>
      </c>
      <c r="H159">
        <v>1276269</v>
      </c>
      <c r="I159">
        <v>9701</v>
      </c>
      <c r="J159">
        <v>4030908</v>
      </c>
      <c r="K159">
        <v>31262</v>
      </c>
      <c r="L159" t="s">
        <v>936</v>
      </c>
      <c r="M159" t="s">
        <v>959</v>
      </c>
    </row>
    <row r="160" spans="1:13" x14ac:dyDescent="0.3">
      <c r="A160" t="s">
        <v>887</v>
      </c>
      <c r="B160">
        <v>183</v>
      </c>
      <c r="C160">
        <v>13441136</v>
      </c>
      <c r="D160">
        <v>377962</v>
      </c>
      <c r="E160">
        <v>27326</v>
      </c>
      <c r="F160">
        <v>9209619</v>
      </c>
      <c r="G160">
        <v>101985903</v>
      </c>
      <c r="H160">
        <v>1459647</v>
      </c>
      <c r="I160">
        <v>113520</v>
      </c>
      <c r="J160">
        <v>60926385</v>
      </c>
      <c r="K160">
        <v>17691</v>
      </c>
      <c r="L160" t="s">
        <v>936</v>
      </c>
      <c r="M160" t="s">
        <v>937</v>
      </c>
    </row>
    <row r="161" spans="1:13" x14ac:dyDescent="0.3">
      <c r="A161" t="s">
        <v>873</v>
      </c>
      <c r="B161">
        <v>169</v>
      </c>
      <c r="C161">
        <v>16814619</v>
      </c>
      <c r="D161">
        <v>368257</v>
      </c>
      <c r="E161">
        <v>900</v>
      </c>
      <c r="F161">
        <v>0</v>
      </c>
      <c r="G161">
        <v>196587381</v>
      </c>
      <c r="H161">
        <v>1673648</v>
      </c>
      <c r="I161">
        <v>33266</v>
      </c>
      <c r="J161">
        <v>6642651</v>
      </c>
      <c r="K161">
        <v>33983</v>
      </c>
      <c r="L161" t="s">
        <v>936</v>
      </c>
      <c r="M161" t="s">
        <v>937</v>
      </c>
    </row>
    <row r="162" spans="1:13" x14ac:dyDescent="0.3">
      <c r="A162" t="s">
        <v>844</v>
      </c>
      <c r="B162">
        <v>142</v>
      </c>
      <c r="C162">
        <v>31738296</v>
      </c>
      <c r="D162">
        <v>360960</v>
      </c>
      <c r="E162">
        <v>3401</v>
      </c>
      <c r="F162">
        <v>0</v>
      </c>
      <c r="G162">
        <v>249619749</v>
      </c>
      <c r="H162">
        <v>2207294</v>
      </c>
      <c r="I162">
        <v>48755</v>
      </c>
      <c r="J162">
        <v>9247747</v>
      </c>
      <c r="K162">
        <v>33508</v>
      </c>
      <c r="L162" t="s">
        <v>987</v>
      </c>
      <c r="M162" t="s">
        <v>939</v>
      </c>
    </row>
    <row r="163" spans="1:13" x14ac:dyDescent="0.3">
      <c r="A163" t="s">
        <v>879</v>
      </c>
      <c r="B163">
        <v>174</v>
      </c>
      <c r="C163">
        <v>18396458</v>
      </c>
      <c r="D163">
        <v>356177</v>
      </c>
      <c r="E163">
        <v>0</v>
      </c>
      <c r="F163">
        <v>0</v>
      </c>
      <c r="G163">
        <v>146740303</v>
      </c>
      <c r="H163">
        <v>1336551</v>
      </c>
      <c r="I163">
        <v>12762</v>
      </c>
      <c r="J163">
        <v>1523337</v>
      </c>
      <c r="K163">
        <v>28120</v>
      </c>
      <c r="L163" t="s">
        <v>936</v>
      </c>
      <c r="M163" t="s">
        <v>942</v>
      </c>
    </row>
    <row r="164" spans="1:13" x14ac:dyDescent="0.3">
      <c r="A164" t="s">
        <v>876</v>
      </c>
      <c r="B164">
        <v>173</v>
      </c>
      <c r="C164">
        <v>22073884</v>
      </c>
      <c r="D164">
        <v>353196</v>
      </c>
      <c r="E164">
        <v>700</v>
      </c>
      <c r="F164">
        <v>3325055</v>
      </c>
      <c r="G164">
        <v>201648313</v>
      </c>
      <c r="H164">
        <v>1369371</v>
      </c>
      <c r="I164">
        <v>28244</v>
      </c>
      <c r="J164">
        <v>13900776</v>
      </c>
      <c r="K164">
        <v>36700</v>
      </c>
      <c r="L164" t="s">
        <v>936</v>
      </c>
      <c r="M164" t="s">
        <v>945</v>
      </c>
    </row>
    <row r="165" spans="1:13" x14ac:dyDescent="0.3">
      <c r="A165" t="s">
        <v>851</v>
      </c>
      <c r="B165">
        <v>146</v>
      </c>
      <c r="C165">
        <v>18747651</v>
      </c>
      <c r="D165">
        <v>344869</v>
      </c>
      <c r="E165">
        <v>10800</v>
      </c>
      <c r="F165">
        <v>0</v>
      </c>
      <c r="G165">
        <v>164024430</v>
      </c>
      <c r="H165">
        <v>1855312</v>
      </c>
      <c r="I165">
        <v>48170</v>
      </c>
      <c r="J165">
        <v>4801442</v>
      </c>
      <c r="K165">
        <v>30340</v>
      </c>
      <c r="L165" t="s">
        <v>936</v>
      </c>
      <c r="M165" t="s">
        <v>940</v>
      </c>
    </row>
    <row r="166" spans="1:13" x14ac:dyDescent="0.3">
      <c r="A166" t="s">
        <v>882</v>
      </c>
      <c r="B166">
        <v>177</v>
      </c>
      <c r="C166">
        <v>17664565</v>
      </c>
      <c r="D166">
        <v>342784</v>
      </c>
      <c r="E166">
        <v>851</v>
      </c>
      <c r="F166">
        <v>0</v>
      </c>
      <c r="G166">
        <v>157987364</v>
      </c>
      <c r="H166">
        <v>1281281</v>
      </c>
      <c r="I166">
        <v>10740</v>
      </c>
      <c r="J166">
        <v>4024234</v>
      </c>
      <c r="K166">
        <v>29535</v>
      </c>
      <c r="L166" t="s">
        <v>936</v>
      </c>
      <c r="M166" t="s">
        <v>959</v>
      </c>
    </row>
    <row r="167" spans="1:13" x14ac:dyDescent="0.3">
      <c r="A167" t="s">
        <v>831</v>
      </c>
      <c r="B167">
        <v>125</v>
      </c>
      <c r="C167">
        <v>15693512</v>
      </c>
      <c r="D167">
        <v>337380</v>
      </c>
      <c r="E167">
        <v>3050</v>
      </c>
      <c r="F167">
        <v>18568325</v>
      </c>
      <c r="G167">
        <v>213317926</v>
      </c>
      <c r="H167">
        <v>2263284</v>
      </c>
      <c r="I167">
        <v>75527</v>
      </c>
      <c r="J167">
        <v>47843901</v>
      </c>
      <c r="K167">
        <v>33646</v>
      </c>
      <c r="L167" t="s">
        <v>936</v>
      </c>
      <c r="M167" t="s">
        <v>940</v>
      </c>
    </row>
    <row r="168" spans="1:13" x14ac:dyDescent="0.3">
      <c r="A168" t="s">
        <v>847</v>
      </c>
      <c r="B168">
        <v>143</v>
      </c>
      <c r="C168">
        <v>75393189</v>
      </c>
      <c r="D168">
        <v>331326</v>
      </c>
      <c r="E168">
        <v>0</v>
      </c>
      <c r="F168">
        <v>0</v>
      </c>
      <c r="G168">
        <v>236358078</v>
      </c>
      <c r="H168">
        <v>2067067</v>
      </c>
      <c r="I168">
        <v>42681</v>
      </c>
      <c r="J168">
        <v>3573341</v>
      </c>
      <c r="K168">
        <v>31353</v>
      </c>
      <c r="L168" t="s">
        <v>936</v>
      </c>
      <c r="M168" t="s">
        <v>937</v>
      </c>
    </row>
    <row r="169" spans="1:13" x14ac:dyDescent="0.3">
      <c r="A169" t="s">
        <v>868</v>
      </c>
      <c r="B169">
        <v>167</v>
      </c>
      <c r="C169">
        <v>16446661</v>
      </c>
      <c r="D169">
        <v>318738</v>
      </c>
      <c r="E169">
        <v>350</v>
      </c>
      <c r="F169">
        <v>5197952</v>
      </c>
      <c r="G169">
        <v>140976798</v>
      </c>
      <c r="H169">
        <v>1509257</v>
      </c>
      <c r="I169">
        <v>15497</v>
      </c>
      <c r="J169">
        <v>34085517</v>
      </c>
      <c r="K169">
        <v>34323</v>
      </c>
      <c r="L169" t="s">
        <v>936</v>
      </c>
      <c r="M169" t="s">
        <v>962</v>
      </c>
    </row>
    <row r="170" spans="1:13" x14ac:dyDescent="0.3">
      <c r="A170" t="s">
        <v>875</v>
      </c>
      <c r="B170">
        <v>172</v>
      </c>
      <c r="C170">
        <v>42325764</v>
      </c>
      <c r="D170">
        <v>309275</v>
      </c>
      <c r="E170">
        <v>450</v>
      </c>
      <c r="F170">
        <v>3192867</v>
      </c>
      <c r="G170">
        <v>241144984</v>
      </c>
      <c r="H170">
        <v>1259734</v>
      </c>
      <c r="I170">
        <v>45574</v>
      </c>
      <c r="J170">
        <v>16918918</v>
      </c>
      <c r="K170">
        <v>39370</v>
      </c>
      <c r="L170" t="s">
        <v>936</v>
      </c>
      <c r="M170" t="s">
        <v>962</v>
      </c>
    </row>
    <row r="171" spans="1:13" x14ac:dyDescent="0.3">
      <c r="A171" t="s">
        <v>835</v>
      </c>
      <c r="B171">
        <v>129</v>
      </c>
      <c r="C171">
        <v>27255412</v>
      </c>
      <c r="D171">
        <v>296012</v>
      </c>
      <c r="E171">
        <v>0</v>
      </c>
      <c r="F171">
        <v>0</v>
      </c>
      <c r="G171">
        <v>252174427</v>
      </c>
      <c r="H171">
        <v>2205332</v>
      </c>
      <c r="I171">
        <v>32568</v>
      </c>
      <c r="J171">
        <v>4525150</v>
      </c>
      <c r="K171">
        <v>36713</v>
      </c>
      <c r="L171" t="s">
        <v>936</v>
      </c>
      <c r="M171" t="s">
        <v>944</v>
      </c>
    </row>
    <row r="172" spans="1:13" x14ac:dyDescent="0.3">
      <c r="A172" t="s">
        <v>854</v>
      </c>
      <c r="B172">
        <v>149</v>
      </c>
      <c r="C172">
        <v>14549007</v>
      </c>
      <c r="D172">
        <v>291825</v>
      </c>
      <c r="E172">
        <v>252</v>
      </c>
      <c r="F172">
        <v>0</v>
      </c>
      <c r="G172">
        <v>213859283</v>
      </c>
      <c r="H172">
        <v>1781261</v>
      </c>
      <c r="I172">
        <v>26223</v>
      </c>
      <c r="J172">
        <v>3243805</v>
      </c>
      <c r="K172">
        <v>18796</v>
      </c>
      <c r="L172" t="s">
        <v>936</v>
      </c>
      <c r="M172" t="s">
        <v>942</v>
      </c>
    </row>
    <row r="173" spans="1:13" x14ac:dyDescent="0.3">
      <c r="A173" t="s">
        <v>860</v>
      </c>
      <c r="B173">
        <v>158</v>
      </c>
      <c r="C173">
        <v>18570442</v>
      </c>
      <c r="D173">
        <v>284751</v>
      </c>
      <c r="E173">
        <v>5400</v>
      </c>
      <c r="F173">
        <v>10209783</v>
      </c>
      <c r="G173">
        <v>133523999</v>
      </c>
      <c r="H173">
        <v>1793435</v>
      </c>
      <c r="I173">
        <v>19570</v>
      </c>
      <c r="J173">
        <v>35790793</v>
      </c>
      <c r="K173">
        <v>31263</v>
      </c>
      <c r="L173" t="s">
        <v>936</v>
      </c>
      <c r="M173" t="s">
        <v>946</v>
      </c>
    </row>
    <row r="174" spans="1:13" x14ac:dyDescent="0.3">
      <c r="A174" t="s">
        <v>878</v>
      </c>
      <c r="B174">
        <v>175</v>
      </c>
      <c r="C174">
        <v>35095624</v>
      </c>
      <c r="D174">
        <v>282479</v>
      </c>
      <c r="E174">
        <v>202</v>
      </c>
      <c r="F174">
        <v>0</v>
      </c>
      <c r="G174">
        <v>157045520</v>
      </c>
      <c r="H174">
        <v>1239120</v>
      </c>
      <c r="I174">
        <v>26727</v>
      </c>
      <c r="J174">
        <v>3024324</v>
      </c>
      <c r="K174">
        <v>36390</v>
      </c>
      <c r="L174" t="s">
        <v>936</v>
      </c>
      <c r="M174" t="s">
        <v>962</v>
      </c>
    </row>
    <row r="175" spans="1:13" x14ac:dyDescent="0.3">
      <c r="A175" t="s">
        <v>850</v>
      </c>
      <c r="B175">
        <v>147</v>
      </c>
      <c r="C175">
        <v>14477232</v>
      </c>
      <c r="D175">
        <v>277631</v>
      </c>
      <c r="E175">
        <v>700</v>
      </c>
      <c r="F175">
        <v>0</v>
      </c>
      <c r="G175">
        <v>174238494</v>
      </c>
      <c r="H175">
        <v>1878550</v>
      </c>
      <c r="I175">
        <v>40028</v>
      </c>
      <c r="J175">
        <v>2328448</v>
      </c>
      <c r="K175">
        <v>30740</v>
      </c>
      <c r="L175" t="s">
        <v>936</v>
      </c>
      <c r="M175" t="s">
        <v>944</v>
      </c>
    </row>
    <row r="176" spans="1:13" x14ac:dyDescent="0.3">
      <c r="A176" t="s">
        <v>853</v>
      </c>
      <c r="B176">
        <v>151</v>
      </c>
      <c r="C176">
        <v>18191176</v>
      </c>
      <c r="D176">
        <v>271979</v>
      </c>
      <c r="E176">
        <v>0</v>
      </c>
      <c r="F176">
        <v>0</v>
      </c>
      <c r="G176">
        <v>159626279</v>
      </c>
      <c r="H176">
        <v>1753597</v>
      </c>
      <c r="I176">
        <v>36309</v>
      </c>
      <c r="J176">
        <v>53580116</v>
      </c>
      <c r="K176">
        <v>28533</v>
      </c>
      <c r="L176" t="s">
        <v>936</v>
      </c>
      <c r="M176" t="s">
        <v>943</v>
      </c>
    </row>
    <row r="177" spans="1:13" x14ac:dyDescent="0.3">
      <c r="A177" t="s">
        <v>883</v>
      </c>
      <c r="B177">
        <v>181</v>
      </c>
      <c r="C177">
        <v>14405225</v>
      </c>
      <c r="D177">
        <v>222238</v>
      </c>
      <c r="E177">
        <v>3250</v>
      </c>
      <c r="F177">
        <v>0</v>
      </c>
      <c r="G177">
        <v>126930276</v>
      </c>
      <c r="H177">
        <v>1044478</v>
      </c>
      <c r="I177">
        <v>22575</v>
      </c>
      <c r="J177">
        <v>8057288</v>
      </c>
      <c r="K177">
        <v>36500</v>
      </c>
      <c r="L177" t="s">
        <v>936</v>
      </c>
      <c r="M177" t="s">
        <v>962</v>
      </c>
    </row>
    <row r="178" spans="1:13" x14ac:dyDescent="0.3">
      <c r="A178" t="s">
        <v>881</v>
      </c>
      <c r="B178">
        <v>179</v>
      </c>
      <c r="C178">
        <v>11015750</v>
      </c>
      <c r="D178">
        <v>220391</v>
      </c>
      <c r="E178">
        <v>0</v>
      </c>
      <c r="F178">
        <v>0</v>
      </c>
      <c r="G178">
        <v>144223280</v>
      </c>
      <c r="H178">
        <v>1140557</v>
      </c>
      <c r="I178">
        <v>5980</v>
      </c>
      <c r="J178">
        <v>3912709</v>
      </c>
      <c r="K178">
        <v>32133</v>
      </c>
      <c r="L178" t="s">
        <v>936</v>
      </c>
      <c r="M178" t="s">
        <v>940</v>
      </c>
    </row>
    <row r="179" spans="1:13" x14ac:dyDescent="0.3">
      <c r="A179" t="s">
        <v>890</v>
      </c>
      <c r="B179">
        <v>186</v>
      </c>
      <c r="C179">
        <v>17120213</v>
      </c>
      <c r="D179">
        <v>210252</v>
      </c>
      <c r="E179">
        <v>353</v>
      </c>
      <c r="F179">
        <v>0</v>
      </c>
      <c r="G179">
        <v>106023154</v>
      </c>
      <c r="H179">
        <v>786947</v>
      </c>
      <c r="I179">
        <v>11973</v>
      </c>
      <c r="J179">
        <v>11815276</v>
      </c>
      <c r="K179">
        <v>28830</v>
      </c>
      <c r="L179" t="s">
        <v>936</v>
      </c>
      <c r="M179" t="s">
        <v>942</v>
      </c>
    </row>
    <row r="180" spans="1:13" x14ac:dyDescent="0.3">
      <c r="A180" t="s">
        <v>975</v>
      </c>
      <c r="B180">
        <v>155</v>
      </c>
      <c r="C180">
        <v>8904379</v>
      </c>
      <c r="D180">
        <v>205206</v>
      </c>
      <c r="E180">
        <v>2352</v>
      </c>
      <c r="F180">
        <v>0</v>
      </c>
      <c r="G180">
        <v>161249805</v>
      </c>
      <c r="H180">
        <v>1781835</v>
      </c>
      <c r="I180">
        <v>56481</v>
      </c>
      <c r="J180">
        <v>5539743</v>
      </c>
      <c r="K180">
        <v>35100</v>
      </c>
      <c r="L180" t="s">
        <v>936</v>
      </c>
      <c r="M180" t="s">
        <v>945</v>
      </c>
    </row>
    <row r="181" spans="1:13" x14ac:dyDescent="0.3">
      <c r="A181" t="s">
        <v>888</v>
      </c>
      <c r="B181">
        <v>184</v>
      </c>
      <c r="C181">
        <v>12205061</v>
      </c>
      <c r="D181">
        <v>181816</v>
      </c>
      <c r="E181">
        <v>101</v>
      </c>
      <c r="F181">
        <v>0</v>
      </c>
      <c r="G181">
        <v>126347129</v>
      </c>
      <c r="H181">
        <v>877882</v>
      </c>
      <c r="I181">
        <v>29123</v>
      </c>
      <c r="J181">
        <v>10097123</v>
      </c>
      <c r="K181">
        <v>30930</v>
      </c>
      <c r="L181" t="s">
        <v>936</v>
      </c>
      <c r="M181" t="s">
        <v>937</v>
      </c>
    </row>
    <row r="182" spans="1:13" x14ac:dyDescent="0.3">
      <c r="A182" t="s">
        <v>899</v>
      </c>
      <c r="B182">
        <v>195</v>
      </c>
      <c r="C182">
        <v>10809099</v>
      </c>
      <c r="D182">
        <v>171965</v>
      </c>
      <c r="E182">
        <v>6750</v>
      </c>
      <c r="F182">
        <v>0</v>
      </c>
      <c r="G182">
        <v>74202425</v>
      </c>
      <c r="H182">
        <v>527859</v>
      </c>
      <c r="I182">
        <v>34836</v>
      </c>
      <c r="J182">
        <v>64649956</v>
      </c>
      <c r="K182">
        <v>23403</v>
      </c>
      <c r="L182" t="s">
        <v>936</v>
      </c>
      <c r="M182" t="s">
        <v>945</v>
      </c>
    </row>
    <row r="183" spans="1:13" x14ac:dyDescent="0.3">
      <c r="A183" t="s">
        <v>842</v>
      </c>
      <c r="B183">
        <v>139</v>
      </c>
      <c r="C183">
        <v>10688118</v>
      </c>
      <c r="D183">
        <v>168850</v>
      </c>
      <c r="E183">
        <v>3500</v>
      </c>
      <c r="F183">
        <v>0</v>
      </c>
      <c r="G183">
        <v>209702807</v>
      </c>
      <c r="H183">
        <v>1769477</v>
      </c>
      <c r="I183">
        <v>85016</v>
      </c>
      <c r="J183">
        <v>3770795</v>
      </c>
      <c r="K183">
        <v>36840</v>
      </c>
      <c r="L183" t="s">
        <v>936</v>
      </c>
      <c r="M183" t="s">
        <v>946</v>
      </c>
    </row>
    <row r="184" spans="1:13" x14ac:dyDescent="0.3">
      <c r="A184" t="s">
        <v>889</v>
      </c>
      <c r="B184">
        <v>185</v>
      </c>
      <c r="C184">
        <v>8887483</v>
      </c>
      <c r="D184">
        <v>152303</v>
      </c>
      <c r="E184">
        <v>0</v>
      </c>
      <c r="F184">
        <v>946835</v>
      </c>
      <c r="G184">
        <v>133098124</v>
      </c>
      <c r="H184">
        <v>806190</v>
      </c>
      <c r="I184">
        <v>30181</v>
      </c>
      <c r="J184">
        <v>6125376</v>
      </c>
      <c r="K184">
        <v>30963</v>
      </c>
      <c r="L184" t="s">
        <v>936</v>
      </c>
      <c r="M184" t="s">
        <v>962</v>
      </c>
    </row>
    <row r="185" spans="1:13" x14ac:dyDescent="0.3">
      <c r="A185" t="s">
        <v>896</v>
      </c>
      <c r="B185">
        <v>191</v>
      </c>
      <c r="C185">
        <v>18448117</v>
      </c>
      <c r="D185">
        <v>148274</v>
      </c>
      <c r="E185">
        <v>5769</v>
      </c>
      <c r="F185">
        <v>9168087</v>
      </c>
      <c r="G185">
        <v>150056676</v>
      </c>
      <c r="H185">
        <v>571055</v>
      </c>
      <c r="I185">
        <v>17527</v>
      </c>
      <c r="J185">
        <v>12551708</v>
      </c>
      <c r="K185">
        <v>28988</v>
      </c>
      <c r="L185" t="s">
        <v>936</v>
      </c>
      <c r="M185" t="s">
        <v>962</v>
      </c>
    </row>
    <row r="186" spans="1:13" x14ac:dyDescent="0.3">
      <c r="A186" t="s">
        <v>861</v>
      </c>
      <c r="B186">
        <v>161</v>
      </c>
      <c r="C186">
        <v>18631978</v>
      </c>
      <c r="D186">
        <v>147807</v>
      </c>
      <c r="E186">
        <v>6450</v>
      </c>
      <c r="F186">
        <v>0</v>
      </c>
      <c r="G186">
        <v>185090072</v>
      </c>
      <c r="H186">
        <v>1456623</v>
      </c>
      <c r="I186">
        <v>46868</v>
      </c>
      <c r="J186">
        <v>12560636</v>
      </c>
      <c r="K186">
        <v>33510</v>
      </c>
      <c r="L186" t="s">
        <v>936</v>
      </c>
      <c r="M186" t="s">
        <v>942</v>
      </c>
    </row>
    <row r="187" spans="1:13" x14ac:dyDescent="0.3">
      <c r="A187" t="s">
        <v>866</v>
      </c>
      <c r="B187">
        <v>168</v>
      </c>
      <c r="C187">
        <v>11973086</v>
      </c>
      <c r="D187">
        <v>145315</v>
      </c>
      <c r="E187">
        <v>3050</v>
      </c>
      <c r="F187">
        <v>0</v>
      </c>
      <c r="G187">
        <v>201208180</v>
      </c>
      <c r="H187">
        <v>1279006</v>
      </c>
      <c r="I187">
        <v>83793</v>
      </c>
      <c r="J187">
        <v>2792897</v>
      </c>
      <c r="K187">
        <v>35560</v>
      </c>
      <c r="L187" t="s">
        <v>936</v>
      </c>
      <c r="M187" t="s">
        <v>944</v>
      </c>
    </row>
    <row r="188" spans="1:13" x14ac:dyDescent="0.3">
      <c r="A188" t="s">
        <v>880</v>
      </c>
      <c r="B188">
        <v>178</v>
      </c>
      <c r="C188">
        <v>20668854</v>
      </c>
      <c r="D188">
        <v>140158</v>
      </c>
      <c r="E188">
        <v>900</v>
      </c>
      <c r="F188">
        <v>0</v>
      </c>
      <c r="G188">
        <v>154952393</v>
      </c>
      <c r="H188">
        <v>1105613</v>
      </c>
      <c r="I188">
        <v>49572</v>
      </c>
      <c r="J188">
        <v>2022935</v>
      </c>
      <c r="K188">
        <v>32460</v>
      </c>
      <c r="L188" t="s">
        <v>936</v>
      </c>
      <c r="M188" t="s">
        <v>942</v>
      </c>
    </row>
    <row r="189" spans="1:13" x14ac:dyDescent="0.3">
      <c r="A189" t="s">
        <v>891</v>
      </c>
      <c r="B189">
        <v>187</v>
      </c>
      <c r="C189">
        <v>9049390</v>
      </c>
      <c r="D189">
        <v>138632</v>
      </c>
      <c r="E189">
        <v>18477</v>
      </c>
      <c r="F189">
        <v>3598970</v>
      </c>
      <c r="G189">
        <v>63322880</v>
      </c>
      <c r="H189">
        <v>548254</v>
      </c>
      <c r="I189">
        <v>18477</v>
      </c>
      <c r="J189">
        <v>51514017</v>
      </c>
      <c r="K189">
        <v>23965</v>
      </c>
      <c r="L189" t="s">
        <v>973</v>
      </c>
      <c r="M189" t="s">
        <v>959</v>
      </c>
    </row>
    <row r="190" spans="1:13" x14ac:dyDescent="0.3">
      <c r="A190" t="s">
        <v>856</v>
      </c>
      <c r="B190">
        <v>156</v>
      </c>
      <c r="C190">
        <v>6645292</v>
      </c>
      <c r="D190">
        <v>132965</v>
      </c>
      <c r="E190">
        <v>50</v>
      </c>
      <c r="F190">
        <v>0</v>
      </c>
      <c r="G190">
        <v>123335513</v>
      </c>
      <c r="H190">
        <v>1681723</v>
      </c>
      <c r="I190">
        <v>38494</v>
      </c>
      <c r="J190">
        <v>37620030</v>
      </c>
      <c r="K190">
        <v>17328</v>
      </c>
      <c r="L190" t="s">
        <v>936</v>
      </c>
      <c r="M190" t="s">
        <v>939</v>
      </c>
    </row>
    <row r="191" spans="1:13" x14ac:dyDescent="0.3">
      <c r="A191" t="s">
        <v>894</v>
      </c>
      <c r="B191">
        <v>189</v>
      </c>
      <c r="C191">
        <v>5272081</v>
      </c>
      <c r="D191">
        <v>105489</v>
      </c>
      <c r="E191">
        <v>350</v>
      </c>
      <c r="F191">
        <v>0</v>
      </c>
      <c r="G191">
        <v>102692401</v>
      </c>
      <c r="H191">
        <v>622150</v>
      </c>
      <c r="I191">
        <v>7644</v>
      </c>
      <c r="J191">
        <v>6188510</v>
      </c>
      <c r="K191">
        <v>25160</v>
      </c>
      <c r="L191" t="s">
        <v>936</v>
      </c>
      <c r="M191" t="s">
        <v>940</v>
      </c>
    </row>
    <row r="192" spans="1:13" x14ac:dyDescent="0.3">
      <c r="A192" t="s">
        <v>892</v>
      </c>
      <c r="B192">
        <v>188</v>
      </c>
      <c r="C192">
        <v>5063342</v>
      </c>
      <c r="D192">
        <v>97915</v>
      </c>
      <c r="E192">
        <v>0</v>
      </c>
      <c r="F192">
        <v>0</v>
      </c>
      <c r="G192">
        <v>111796516</v>
      </c>
      <c r="H192">
        <v>676817</v>
      </c>
      <c r="I192">
        <v>4977</v>
      </c>
      <c r="J192">
        <v>15924862</v>
      </c>
      <c r="K192">
        <v>33503</v>
      </c>
      <c r="L192" t="s">
        <v>936</v>
      </c>
      <c r="M192" t="s">
        <v>962</v>
      </c>
    </row>
    <row r="193" spans="1:13" x14ac:dyDescent="0.3">
      <c r="A193" t="s">
        <v>898</v>
      </c>
      <c r="B193">
        <v>193</v>
      </c>
      <c r="C193">
        <v>4510912</v>
      </c>
      <c r="D193">
        <v>97285</v>
      </c>
      <c r="E193">
        <v>350</v>
      </c>
      <c r="F193">
        <v>0</v>
      </c>
      <c r="G193">
        <v>83668908</v>
      </c>
      <c r="H193">
        <v>521469</v>
      </c>
      <c r="I193">
        <v>15966</v>
      </c>
      <c r="J193">
        <v>34567796</v>
      </c>
      <c r="K193">
        <v>22563</v>
      </c>
      <c r="L193" t="s">
        <v>936</v>
      </c>
      <c r="M193" t="s">
        <v>937</v>
      </c>
    </row>
    <row r="194" spans="1:13" x14ac:dyDescent="0.3">
      <c r="A194" t="s">
        <v>895</v>
      </c>
      <c r="B194">
        <v>192</v>
      </c>
      <c r="C194">
        <v>6164910</v>
      </c>
      <c r="D194">
        <v>91832</v>
      </c>
      <c r="E194">
        <v>350</v>
      </c>
      <c r="F194">
        <v>0</v>
      </c>
      <c r="G194">
        <v>121035756</v>
      </c>
      <c r="H194">
        <v>537192</v>
      </c>
      <c r="I194">
        <v>12947</v>
      </c>
      <c r="J194">
        <v>9629723</v>
      </c>
      <c r="K194">
        <v>33749</v>
      </c>
      <c r="L194" t="s">
        <v>936</v>
      </c>
      <c r="M194" t="s">
        <v>962</v>
      </c>
    </row>
    <row r="195" spans="1:13" x14ac:dyDescent="0.3">
      <c r="A195" t="s">
        <v>980</v>
      </c>
      <c r="B195">
        <v>198</v>
      </c>
      <c r="C195">
        <v>7947160</v>
      </c>
      <c r="D195">
        <v>78261</v>
      </c>
      <c r="E195">
        <v>23850</v>
      </c>
      <c r="F195">
        <v>20082128</v>
      </c>
      <c r="G195">
        <v>27407432</v>
      </c>
      <c r="H195">
        <v>162217</v>
      </c>
      <c r="I195">
        <v>23850</v>
      </c>
      <c r="J195">
        <v>65861155</v>
      </c>
      <c r="K195">
        <v>14640</v>
      </c>
      <c r="L195" t="s">
        <v>936</v>
      </c>
      <c r="M195" t="s">
        <v>959</v>
      </c>
    </row>
    <row r="196" spans="1:13" x14ac:dyDescent="0.3">
      <c r="A196" t="s">
        <v>900</v>
      </c>
      <c r="B196">
        <v>196</v>
      </c>
      <c r="C196">
        <v>3448590</v>
      </c>
      <c r="D196">
        <v>72171</v>
      </c>
      <c r="E196">
        <v>4850</v>
      </c>
      <c r="F196">
        <v>15018157</v>
      </c>
      <c r="G196">
        <v>51256444</v>
      </c>
      <c r="H196">
        <v>307963</v>
      </c>
      <c r="I196">
        <v>18175</v>
      </c>
      <c r="J196">
        <v>77322327</v>
      </c>
      <c r="K196">
        <v>17470</v>
      </c>
      <c r="L196" t="s">
        <v>936</v>
      </c>
      <c r="M196" t="s">
        <v>937</v>
      </c>
    </row>
    <row r="197" spans="1:13" x14ac:dyDescent="0.3">
      <c r="A197" t="s">
        <v>893</v>
      </c>
      <c r="B197">
        <v>190</v>
      </c>
      <c r="C197">
        <v>2708687</v>
      </c>
      <c r="D197">
        <v>43274</v>
      </c>
      <c r="E197">
        <v>358</v>
      </c>
      <c r="F197">
        <v>54560146</v>
      </c>
      <c r="G197">
        <v>42439211</v>
      </c>
      <c r="H197">
        <v>446771</v>
      </c>
      <c r="I197">
        <v>76192</v>
      </c>
      <c r="J197">
        <v>281279894</v>
      </c>
      <c r="K197">
        <v>20506</v>
      </c>
      <c r="L197" t="s">
        <v>936</v>
      </c>
      <c r="M197" t="s">
        <v>937</v>
      </c>
    </row>
    <row r="198" spans="1:13" x14ac:dyDescent="0.3">
      <c r="A198" t="s">
        <v>901</v>
      </c>
      <c r="B198">
        <v>197</v>
      </c>
      <c r="C198">
        <v>5765983</v>
      </c>
      <c r="D198">
        <v>23730</v>
      </c>
      <c r="E198">
        <v>0</v>
      </c>
      <c r="F198">
        <v>853698</v>
      </c>
      <c r="G198">
        <v>97676701</v>
      </c>
      <c r="H198">
        <v>243105</v>
      </c>
      <c r="I198">
        <v>23752</v>
      </c>
      <c r="J198">
        <v>51043346</v>
      </c>
      <c r="K198">
        <v>23610</v>
      </c>
      <c r="L198" t="s">
        <v>936</v>
      </c>
      <c r="M198" t="s">
        <v>937</v>
      </c>
    </row>
    <row r="199" spans="1:13" x14ac:dyDescent="0.3">
      <c r="A199" t="s">
        <v>897</v>
      </c>
      <c r="B199">
        <v>194</v>
      </c>
      <c r="C199">
        <v>0</v>
      </c>
      <c r="D199">
        <v>0</v>
      </c>
      <c r="E199">
        <v>0</v>
      </c>
      <c r="F199">
        <v>0</v>
      </c>
      <c r="G199">
        <v>56342414</v>
      </c>
      <c r="H199">
        <v>305271</v>
      </c>
      <c r="I199">
        <v>5816</v>
      </c>
      <c r="J199">
        <v>2216756</v>
      </c>
      <c r="K199">
        <v>23480</v>
      </c>
      <c r="L199" t="s">
        <v>936</v>
      </c>
      <c r="M199" t="s">
        <v>937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8E4D-10FC-4126-BBE4-65CC743433F1}">
  <dimension ref="A1:M199"/>
  <sheetViews>
    <sheetView topLeftCell="A85" workbookViewId="0">
      <selection activeCell="B36" sqref="A1:B36"/>
    </sheetView>
  </sheetViews>
  <sheetFormatPr defaultRowHeight="16.5" x14ac:dyDescent="0.3"/>
  <sheetData>
    <row r="1" spans="1:13" x14ac:dyDescent="0.3">
      <c r="A1" t="s">
        <v>923</v>
      </c>
      <c r="B1" t="s">
        <v>924</v>
      </c>
      <c r="C1" t="s">
        <v>925</v>
      </c>
      <c r="D1" t="s">
        <v>926</v>
      </c>
      <c r="E1" t="s">
        <v>927</v>
      </c>
      <c r="F1" t="s">
        <v>928</v>
      </c>
      <c r="G1" t="s">
        <v>929</v>
      </c>
      <c r="H1" t="s">
        <v>930</v>
      </c>
      <c r="I1" t="s">
        <v>931</v>
      </c>
      <c r="J1" t="s">
        <v>932</v>
      </c>
      <c r="K1" t="s">
        <v>933</v>
      </c>
      <c r="L1" t="s">
        <v>934</v>
      </c>
      <c r="M1" t="s">
        <v>935</v>
      </c>
    </row>
    <row r="2" spans="1:13" x14ac:dyDescent="0.3">
      <c r="A2" t="s">
        <v>740</v>
      </c>
      <c r="B2">
        <v>1</v>
      </c>
      <c r="C2">
        <v>107709980</v>
      </c>
      <c r="D2">
        <v>1837514</v>
      </c>
      <c r="E2">
        <v>12191</v>
      </c>
      <c r="F2">
        <v>0</v>
      </c>
      <c r="G2">
        <v>557791703</v>
      </c>
      <c r="H2">
        <v>8268131</v>
      </c>
      <c r="I2">
        <v>114625</v>
      </c>
      <c r="J2">
        <v>2709594</v>
      </c>
      <c r="K2">
        <v>42310</v>
      </c>
      <c r="L2" t="s">
        <v>936</v>
      </c>
      <c r="M2" t="s">
        <v>944</v>
      </c>
    </row>
    <row r="3" spans="1:13" x14ac:dyDescent="0.3">
      <c r="A3" t="s">
        <v>742</v>
      </c>
      <c r="B3">
        <v>2</v>
      </c>
      <c r="C3">
        <v>110790740</v>
      </c>
      <c r="D3">
        <v>2037354</v>
      </c>
      <c r="E3">
        <v>2169</v>
      </c>
      <c r="F3">
        <v>0</v>
      </c>
      <c r="G3">
        <v>550782906</v>
      </c>
      <c r="H3">
        <v>7953711</v>
      </c>
      <c r="I3">
        <v>55619</v>
      </c>
      <c r="J3">
        <v>2762893</v>
      </c>
      <c r="K3">
        <v>42213</v>
      </c>
      <c r="L3" t="s">
        <v>936</v>
      </c>
      <c r="M3" t="s">
        <v>937</v>
      </c>
    </row>
    <row r="4" spans="1:13" x14ac:dyDescent="0.3">
      <c r="A4" t="s">
        <v>598</v>
      </c>
      <c r="B4">
        <v>3</v>
      </c>
      <c r="C4">
        <v>93184359</v>
      </c>
      <c r="D4">
        <v>1655021</v>
      </c>
      <c r="E4">
        <v>4448</v>
      </c>
      <c r="F4">
        <v>0</v>
      </c>
      <c r="G4">
        <v>519967469</v>
      </c>
      <c r="H4">
        <v>7338038</v>
      </c>
      <c r="I4">
        <v>53905</v>
      </c>
      <c r="J4">
        <v>3882655</v>
      </c>
      <c r="K4">
        <v>40833</v>
      </c>
      <c r="L4" t="s">
        <v>936</v>
      </c>
      <c r="M4" t="s">
        <v>945</v>
      </c>
    </row>
    <row r="5" spans="1:13" x14ac:dyDescent="0.3">
      <c r="A5" t="s">
        <v>938</v>
      </c>
      <c r="B5">
        <v>4</v>
      </c>
      <c r="C5">
        <v>88538213</v>
      </c>
      <c r="D5">
        <v>1800174</v>
      </c>
      <c r="E5">
        <v>777</v>
      </c>
      <c r="F5">
        <v>0</v>
      </c>
      <c r="G5">
        <v>535398160</v>
      </c>
      <c r="H5">
        <v>7418496</v>
      </c>
      <c r="I5">
        <v>35438</v>
      </c>
      <c r="J5">
        <v>3237273</v>
      </c>
      <c r="K5">
        <v>45120</v>
      </c>
      <c r="L5" t="s">
        <v>936</v>
      </c>
      <c r="M5" t="s">
        <v>939</v>
      </c>
    </row>
    <row r="6" spans="1:13" x14ac:dyDescent="0.3">
      <c r="A6" t="s">
        <v>743</v>
      </c>
      <c r="B6">
        <v>5</v>
      </c>
      <c r="C6">
        <v>97916919</v>
      </c>
      <c r="D6">
        <v>1811691</v>
      </c>
      <c r="E6">
        <v>1144</v>
      </c>
      <c r="F6">
        <v>0</v>
      </c>
      <c r="G6">
        <v>489459340</v>
      </c>
      <c r="H6">
        <v>7338009</v>
      </c>
      <c r="I6">
        <v>54477</v>
      </c>
      <c r="J6">
        <v>2727930</v>
      </c>
      <c r="K6">
        <v>40960</v>
      </c>
      <c r="L6" t="s">
        <v>936</v>
      </c>
      <c r="M6" t="s">
        <v>940</v>
      </c>
    </row>
    <row r="7" spans="1:13" x14ac:dyDescent="0.3">
      <c r="A7" t="s">
        <v>741</v>
      </c>
      <c r="B7">
        <v>6</v>
      </c>
      <c r="C7">
        <v>78413752</v>
      </c>
      <c r="D7">
        <v>1533140</v>
      </c>
      <c r="E7">
        <v>350</v>
      </c>
      <c r="F7">
        <v>0</v>
      </c>
      <c r="G7">
        <v>465887791</v>
      </c>
      <c r="H7">
        <v>7092682</v>
      </c>
      <c r="I7">
        <v>31623</v>
      </c>
      <c r="J7">
        <v>2802676</v>
      </c>
      <c r="K7">
        <v>35700</v>
      </c>
      <c r="L7" t="s">
        <v>936</v>
      </c>
      <c r="M7" t="s">
        <v>940</v>
      </c>
    </row>
    <row r="8" spans="1:13" x14ac:dyDescent="0.3">
      <c r="A8" t="s">
        <v>744</v>
      </c>
      <c r="B8">
        <v>7</v>
      </c>
      <c r="C8">
        <v>90465957</v>
      </c>
      <c r="D8">
        <v>1820685</v>
      </c>
      <c r="E8">
        <v>1959</v>
      </c>
      <c r="F8">
        <v>0</v>
      </c>
      <c r="G8">
        <v>517668816</v>
      </c>
      <c r="H8">
        <v>7129245</v>
      </c>
      <c r="I8">
        <v>47662</v>
      </c>
      <c r="J8">
        <v>8203813</v>
      </c>
      <c r="K8">
        <v>47220</v>
      </c>
      <c r="L8" t="s">
        <v>936</v>
      </c>
      <c r="M8" t="s">
        <v>939</v>
      </c>
    </row>
    <row r="9" spans="1:13" x14ac:dyDescent="0.3">
      <c r="A9" t="s">
        <v>941</v>
      </c>
      <c r="B9">
        <v>8</v>
      </c>
      <c r="C9">
        <v>97728819</v>
      </c>
      <c r="D9">
        <v>1732790</v>
      </c>
      <c r="E9">
        <v>1180</v>
      </c>
      <c r="F9">
        <v>0</v>
      </c>
      <c r="G9">
        <v>481811697</v>
      </c>
      <c r="H9">
        <v>6900484</v>
      </c>
      <c r="I9">
        <v>41349</v>
      </c>
      <c r="J9">
        <v>2702688</v>
      </c>
      <c r="K9">
        <v>42309</v>
      </c>
      <c r="L9" t="s">
        <v>936</v>
      </c>
      <c r="M9" t="s">
        <v>942</v>
      </c>
    </row>
    <row r="10" spans="1:13" x14ac:dyDescent="0.3">
      <c r="A10" t="s">
        <v>746</v>
      </c>
      <c r="B10">
        <v>9</v>
      </c>
      <c r="C10">
        <v>86869306</v>
      </c>
      <c r="D10">
        <v>1692915</v>
      </c>
      <c r="E10">
        <v>8223</v>
      </c>
      <c r="F10">
        <v>0</v>
      </c>
      <c r="G10">
        <v>449490857</v>
      </c>
      <c r="H10">
        <v>6726347</v>
      </c>
      <c r="I10">
        <v>60645</v>
      </c>
      <c r="J10">
        <v>2964363</v>
      </c>
      <c r="K10">
        <v>38383</v>
      </c>
      <c r="L10" t="s">
        <v>936</v>
      </c>
      <c r="M10" t="s">
        <v>943</v>
      </c>
    </row>
    <row r="11" spans="1:13" x14ac:dyDescent="0.3">
      <c r="A11" t="s">
        <v>745</v>
      </c>
      <c r="B11">
        <v>10</v>
      </c>
      <c r="C11">
        <v>74612697</v>
      </c>
      <c r="D11">
        <v>1582668</v>
      </c>
      <c r="E11">
        <v>1579</v>
      </c>
      <c r="F11">
        <v>0</v>
      </c>
      <c r="G11">
        <v>457373517</v>
      </c>
      <c r="H11">
        <v>6909521</v>
      </c>
      <c r="I11">
        <v>62639</v>
      </c>
      <c r="J11">
        <v>3058362</v>
      </c>
      <c r="K11">
        <v>42190</v>
      </c>
      <c r="L11" t="s">
        <v>936</v>
      </c>
      <c r="M11" t="s">
        <v>943</v>
      </c>
    </row>
    <row r="12" spans="1:13" x14ac:dyDescent="0.3">
      <c r="A12" t="s">
        <v>747</v>
      </c>
      <c r="B12">
        <v>11</v>
      </c>
      <c r="C12">
        <v>92159060</v>
      </c>
      <c r="D12">
        <v>1466924</v>
      </c>
      <c r="E12">
        <v>21901</v>
      </c>
      <c r="F12">
        <v>0</v>
      </c>
      <c r="G12">
        <v>484554510</v>
      </c>
      <c r="H12">
        <v>6322656</v>
      </c>
      <c r="I12">
        <v>109573</v>
      </c>
      <c r="J12">
        <v>2761789</v>
      </c>
      <c r="K12">
        <v>42450</v>
      </c>
      <c r="L12" t="s">
        <v>936</v>
      </c>
      <c r="M12" t="s">
        <v>943</v>
      </c>
    </row>
    <row r="13" spans="1:13" x14ac:dyDescent="0.3">
      <c r="A13" t="s">
        <v>752</v>
      </c>
      <c r="B13">
        <v>12</v>
      </c>
      <c r="C13">
        <v>72730406</v>
      </c>
      <c r="D13">
        <v>1480984</v>
      </c>
      <c r="E13">
        <v>4762</v>
      </c>
      <c r="F13">
        <v>0</v>
      </c>
      <c r="G13">
        <v>436735432</v>
      </c>
      <c r="H13">
        <v>6146824</v>
      </c>
      <c r="I13">
        <v>64055</v>
      </c>
      <c r="J13">
        <v>3457225</v>
      </c>
      <c r="K13">
        <v>44640</v>
      </c>
      <c r="L13" t="s">
        <v>936</v>
      </c>
      <c r="M13" t="s">
        <v>943</v>
      </c>
    </row>
    <row r="14" spans="1:13" x14ac:dyDescent="0.3">
      <c r="A14" t="s">
        <v>749</v>
      </c>
      <c r="B14">
        <v>13</v>
      </c>
      <c r="C14">
        <v>63943135</v>
      </c>
      <c r="D14">
        <v>1218823</v>
      </c>
      <c r="E14">
        <v>1989</v>
      </c>
      <c r="F14">
        <v>0</v>
      </c>
      <c r="G14">
        <v>429442239</v>
      </c>
      <c r="H14">
        <v>5769885</v>
      </c>
      <c r="I14">
        <v>44368</v>
      </c>
      <c r="J14">
        <v>3448225</v>
      </c>
      <c r="K14">
        <v>45690</v>
      </c>
      <c r="L14" t="s">
        <v>936</v>
      </c>
      <c r="M14" t="s">
        <v>940</v>
      </c>
    </row>
    <row r="15" spans="1:13" x14ac:dyDescent="0.3">
      <c r="A15" t="s">
        <v>748</v>
      </c>
      <c r="B15">
        <v>14</v>
      </c>
      <c r="C15">
        <v>53522109</v>
      </c>
      <c r="D15">
        <v>1059817</v>
      </c>
      <c r="E15">
        <v>514</v>
      </c>
      <c r="F15">
        <v>0</v>
      </c>
      <c r="G15">
        <v>466313874</v>
      </c>
      <c r="H15">
        <v>5653224</v>
      </c>
      <c r="I15">
        <v>29239</v>
      </c>
      <c r="J15">
        <v>2770716</v>
      </c>
      <c r="K15">
        <v>35530</v>
      </c>
      <c r="L15" t="s">
        <v>936</v>
      </c>
      <c r="M15" t="s">
        <v>937</v>
      </c>
    </row>
    <row r="16" spans="1:13" x14ac:dyDescent="0.3">
      <c r="A16" t="s">
        <v>751</v>
      </c>
      <c r="B16">
        <v>15</v>
      </c>
      <c r="C16">
        <v>64794868</v>
      </c>
      <c r="D16">
        <v>1323686</v>
      </c>
      <c r="E16">
        <v>705</v>
      </c>
      <c r="F16">
        <v>0</v>
      </c>
      <c r="G16">
        <v>398898662</v>
      </c>
      <c r="H16">
        <v>5950233</v>
      </c>
      <c r="I16">
        <v>46851</v>
      </c>
      <c r="J16">
        <v>4819625</v>
      </c>
      <c r="K16">
        <v>39960</v>
      </c>
      <c r="L16" t="s">
        <v>936</v>
      </c>
      <c r="M16" t="s">
        <v>939</v>
      </c>
    </row>
    <row r="17" spans="1:13" x14ac:dyDescent="0.3">
      <c r="A17" t="s">
        <v>753</v>
      </c>
      <c r="B17">
        <v>16</v>
      </c>
      <c r="C17">
        <v>80295738</v>
      </c>
      <c r="D17">
        <v>1261152</v>
      </c>
      <c r="E17">
        <v>1555</v>
      </c>
      <c r="F17">
        <v>0</v>
      </c>
      <c r="G17">
        <v>477354482</v>
      </c>
      <c r="H17">
        <v>5844665</v>
      </c>
      <c r="I17">
        <v>41451</v>
      </c>
      <c r="J17">
        <v>2702231</v>
      </c>
      <c r="K17">
        <v>37790</v>
      </c>
      <c r="L17" t="s">
        <v>936</v>
      </c>
      <c r="M17" t="s">
        <v>939</v>
      </c>
    </row>
    <row r="18" spans="1:13" x14ac:dyDescent="0.3">
      <c r="A18" t="s">
        <v>599</v>
      </c>
      <c r="B18">
        <v>17</v>
      </c>
      <c r="C18">
        <v>59106069</v>
      </c>
      <c r="D18">
        <v>1233658</v>
      </c>
      <c r="E18">
        <v>550</v>
      </c>
      <c r="F18">
        <v>0</v>
      </c>
      <c r="G18">
        <v>426470746</v>
      </c>
      <c r="H18">
        <v>5808126</v>
      </c>
      <c r="I18">
        <v>43491</v>
      </c>
      <c r="J18">
        <v>2707023</v>
      </c>
      <c r="K18">
        <v>41690</v>
      </c>
      <c r="L18" t="s">
        <v>936</v>
      </c>
      <c r="M18" t="s">
        <v>945</v>
      </c>
    </row>
    <row r="19" spans="1:13" x14ac:dyDescent="0.3">
      <c r="A19" t="s">
        <v>750</v>
      </c>
      <c r="B19">
        <v>18</v>
      </c>
      <c r="C19">
        <v>51403659</v>
      </c>
      <c r="D19">
        <v>1027797</v>
      </c>
      <c r="E19">
        <v>1422</v>
      </c>
      <c r="F19">
        <v>0</v>
      </c>
      <c r="G19">
        <v>355682708</v>
      </c>
      <c r="H19">
        <v>5300855</v>
      </c>
      <c r="I19">
        <v>38113</v>
      </c>
      <c r="J19">
        <v>2726006</v>
      </c>
      <c r="K19">
        <v>40720</v>
      </c>
      <c r="L19" t="s">
        <v>936</v>
      </c>
      <c r="M19" t="s">
        <v>940</v>
      </c>
    </row>
    <row r="20" spans="1:13" x14ac:dyDescent="0.3">
      <c r="A20" t="s">
        <v>755</v>
      </c>
      <c r="B20">
        <v>19</v>
      </c>
      <c r="C20">
        <v>76278389</v>
      </c>
      <c r="D20">
        <v>1509806</v>
      </c>
      <c r="E20">
        <v>18503</v>
      </c>
      <c r="F20">
        <v>0</v>
      </c>
      <c r="G20">
        <v>427332302</v>
      </c>
      <c r="H20">
        <v>5700780</v>
      </c>
      <c r="I20">
        <v>124522</v>
      </c>
      <c r="J20">
        <v>6912971</v>
      </c>
      <c r="K20">
        <v>40470</v>
      </c>
      <c r="L20" t="s">
        <v>936</v>
      </c>
      <c r="M20" t="s">
        <v>940</v>
      </c>
    </row>
    <row r="21" spans="1:13" x14ac:dyDescent="0.3">
      <c r="A21" t="s">
        <v>754</v>
      </c>
      <c r="B21">
        <v>20</v>
      </c>
      <c r="C21">
        <v>78199830</v>
      </c>
      <c r="D21">
        <v>1220964</v>
      </c>
      <c r="E21">
        <v>631</v>
      </c>
      <c r="F21">
        <v>0</v>
      </c>
      <c r="G21">
        <v>376061137</v>
      </c>
      <c r="H21">
        <v>5282992</v>
      </c>
      <c r="I21">
        <v>32007</v>
      </c>
      <c r="J21">
        <v>3859526</v>
      </c>
      <c r="K21">
        <v>39923</v>
      </c>
      <c r="L21" t="s">
        <v>936</v>
      </c>
      <c r="M21" t="s">
        <v>942</v>
      </c>
    </row>
    <row r="22" spans="1:13" x14ac:dyDescent="0.3">
      <c r="A22" t="s">
        <v>758</v>
      </c>
      <c r="B22">
        <v>21</v>
      </c>
      <c r="C22">
        <v>86745831</v>
      </c>
      <c r="D22">
        <v>1376018</v>
      </c>
      <c r="E22">
        <v>5300</v>
      </c>
      <c r="F22">
        <v>0</v>
      </c>
      <c r="G22">
        <v>402789688</v>
      </c>
      <c r="H22">
        <v>5587544</v>
      </c>
      <c r="I22">
        <v>47094</v>
      </c>
      <c r="J22">
        <v>2705074</v>
      </c>
      <c r="K22">
        <v>40543</v>
      </c>
      <c r="L22" t="s">
        <v>936</v>
      </c>
      <c r="M22" t="s">
        <v>939</v>
      </c>
    </row>
    <row r="23" spans="1:13" x14ac:dyDescent="0.3">
      <c r="A23" t="s">
        <v>756</v>
      </c>
      <c r="B23">
        <v>22</v>
      </c>
      <c r="C23">
        <v>57077067</v>
      </c>
      <c r="D23">
        <v>1224700</v>
      </c>
      <c r="E23">
        <v>902</v>
      </c>
      <c r="F23">
        <v>81327</v>
      </c>
      <c r="G23">
        <v>368037128</v>
      </c>
      <c r="H23">
        <v>5440910</v>
      </c>
      <c r="I23">
        <v>55605</v>
      </c>
      <c r="J23">
        <v>3079272</v>
      </c>
      <c r="K23">
        <v>39333</v>
      </c>
      <c r="L23" t="s">
        <v>936</v>
      </c>
      <c r="M23" t="s">
        <v>945</v>
      </c>
    </row>
    <row r="24" spans="1:13" x14ac:dyDescent="0.3">
      <c r="A24" t="s">
        <v>757</v>
      </c>
      <c r="B24">
        <v>23</v>
      </c>
      <c r="C24">
        <v>65093499</v>
      </c>
      <c r="D24">
        <v>1307112</v>
      </c>
      <c r="E24">
        <v>1247</v>
      </c>
      <c r="F24">
        <v>0</v>
      </c>
      <c r="G24">
        <v>379856954</v>
      </c>
      <c r="H24">
        <v>5416122</v>
      </c>
      <c r="I24">
        <v>37588</v>
      </c>
      <c r="J24">
        <v>2782290</v>
      </c>
      <c r="K24">
        <v>37800</v>
      </c>
      <c r="L24" t="s">
        <v>936</v>
      </c>
      <c r="M24" t="s">
        <v>942</v>
      </c>
    </row>
    <row r="25" spans="1:13" x14ac:dyDescent="0.3">
      <c r="A25" t="s">
        <v>760</v>
      </c>
      <c r="B25">
        <v>24</v>
      </c>
      <c r="C25">
        <v>82736052</v>
      </c>
      <c r="D25">
        <v>1263226</v>
      </c>
      <c r="E25">
        <v>1151</v>
      </c>
      <c r="F25">
        <v>0</v>
      </c>
      <c r="G25">
        <v>620105238</v>
      </c>
      <c r="H25">
        <v>5248180</v>
      </c>
      <c r="I25">
        <v>35635</v>
      </c>
      <c r="J25">
        <v>4082120</v>
      </c>
      <c r="K25">
        <v>44383</v>
      </c>
      <c r="L25" t="s">
        <v>936</v>
      </c>
      <c r="M25" t="s">
        <v>940</v>
      </c>
    </row>
    <row r="26" spans="1:13" x14ac:dyDescent="0.3">
      <c r="A26" t="s">
        <v>761</v>
      </c>
      <c r="B26">
        <v>25</v>
      </c>
      <c r="C26">
        <v>60192161</v>
      </c>
      <c r="D26">
        <v>1307221</v>
      </c>
      <c r="E26">
        <v>8997</v>
      </c>
      <c r="F26">
        <v>133675</v>
      </c>
      <c r="G26">
        <v>417705356</v>
      </c>
      <c r="H26">
        <v>5464606</v>
      </c>
      <c r="I26">
        <v>64123</v>
      </c>
      <c r="J26">
        <v>5426407</v>
      </c>
      <c r="K26">
        <v>40890</v>
      </c>
      <c r="L26" t="s">
        <v>936</v>
      </c>
      <c r="M26" t="s">
        <v>945</v>
      </c>
    </row>
    <row r="27" spans="1:13" x14ac:dyDescent="0.3">
      <c r="A27" s="22" t="s">
        <v>759</v>
      </c>
      <c r="B27" s="22">
        <v>26</v>
      </c>
      <c r="C27">
        <v>56496916</v>
      </c>
      <c r="D27">
        <v>1131713</v>
      </c>
      <c r="E27">
        <v>6402</v>
      </c>
      <c r="F27">
        <v>0</v>
      </c>
      <c r="G27">
        <v>401053397</v>
      </c>
      <c r="H27">
        <v>5159911</v>
      </c>
      <c r="I27">
        <v>67889</v>
      </c>
      <c r="J27">
        <v>3467961</v>
      </c>
      <c r="K27">
        <v>45390</v>
      </c>
      <c r="L27" t="s">
        <v>936</v>
      </c>
      <c r="M27" t="s">
        <v>946</v>
      </c>
    </row>
    <row r="28" spans="1:13" x14ac:dyDescent="0.3">
      <c r="A28" s="22" t="s">
        <v>762</v>
      </c>
      <c r="B28" s="22">
        <v>27</v>
      </c>
      <c r="C28">
        <v>82848429</v>
      </c>
      <c r="D28">
        <v>1198006</v>
      </c>
      <c r="E28">
        <v>10178</v>
      </c>
      <c r="F28">
        <v>0</v>
      </c>
      <c r="G28">
        <v>424715660</v>
      </c>
      <c r="H28">
        <v>4970225</v>
      </c>
      <c r="I28">
        <v>73347</v>
      </c>
      <c r="J28">
        <v>4079718</v>
      </c>
      <c r="K28">
        <v>43566</v>
      </c>
      <c r="L28" t="s">
        <v>936</v>
      </c>
      <c r="M28" t="s">
        <v>937</v>
      </c>
    </row>
    <row r="29" spans="1:13" x14ac:dyDescent="0.3">
      <c r="A29" s="22" t="s">
        <v>763</v>
      </c>
      <c r="B29" s="22">
        <v>28</v>
      </c>
      <c r="C29">
        <v>51716365</v>
      </c>
      <c r="D29">
        <v>1017993</v>
      </c>
      <c r="E29">
        <v>588</v>
      </c>
      <c r="F29">
        <v>0</v>
      </c>
      <c r="G29">
        <v>325754188</v>
      </c>
      <c r="H29">
        <v>4792554</v>
      </c>
      <c r="I29">
        <v>43894</v>
      </c>
      <c r="J29">
        <v>2990195</v>
      </c>
      <c r="K29">
        <v>36340</v>
      </c>
      <c r="L29" t="s">
        <v>936</v>
      </c>
      <c r="M29" t="s">
        <v>940</v>
      </c>
    </row>
    <row r="30" spans="1:13" x14ac:dyDescent="0.3">
      <c r="A30" s="22" t="s">
        <v>765</v>
      </c>
      <c r="B30" s="22">
        <v>29</v>
      </c>
      <c r="C30">
        <v>78936443</v>
      </c>
      <c r="D30">
        <v>1168590</v>
      </c>
      <c r="E30">
        <v>8050</v>
      </c>
      <c r="F30">
        <v>0</v>
      </c>
      <c r="G30">
        <v>399118876</v>
      </c>
      <c r="H30">
        <v>5141257</v>
      </c>
      <c r="I30">
        <v>78224</v>
      </c>
      <c r="J30">
        <v>3463910</v>
      </c>
      <c r="K30">
        <v>43723</v>
      </c>
      <c r="L30" t="s">
        <v>936</v>
      </c>
      <c r="M30" t="s">
        <v>946</v>
      </c>
    </row>
    <row r="31" spans="1:13" x14ac:dyDescent="0.3">
      <c r="A31" s="22" t="s">
        <v>949</v>
      </c>
      <c r="B31" s="22">
        <v>30</v>
      </c>
      <c r="C31">
        <v>57538764</v>
      </c>
      <c r="D31">
        <v>1223601</v>
      </c>
      <c r="E31">
        <v>451</v>
      </c>
      <c r="F31">
        <v>0</v>
      </c>
      <c r="G31">
        <v>350504592</v>
      </c>
      <c r="H31">
        <v>5085468</v>
      </c>
      <c r="I31">
        <v>61840</v>
      </c>
      <c r="J31">
        <v>3815296</v>
      </c>
      <c r="K31">
        <v>39300</v>
      </c>
      <c r="L31" t="s">
        <v>936</v>
      </c>
      <c r="M31" t="s">
        <v>945</v>
      </c>
    </row>
    <row r="32" spans="1:13" x14ac:dyDescent="0.3">
      <c r="A32" s="22" t="s">
        <v>767</v>
      </c>
      <c r="B32" s="22">
        <v>31</v>
      </c>
      <c r="C32">
        <v>62905245</v>
      </c>
      <c r="D32">
        <v>1148082</v>
      </c>
      <c r="E32">
        <v>7300</v>
      </c>
      <c r="F32">
        <v>0</v>
      </c>
      <c r="G32">
        <v>369549934</v>
      </c>
      <c r="H32">
        <v>5032962</v>
      </c>
      <c r="I32">
        <v>74614</v>
      </c>
      <c r="J32">
        <v>3135417</v>
      </c>
      <c r="K32">
        <v>38490</v>
      </c>
      <c r="L32" t="s">
        <v>936</v>
      </c>
      <c r="M32" t="s">
        <v>944</v>
      </c>
    </row>
    <row r="33" spans="1:13" x14ac:dyDescent="0.3">
      <c r="A33" s="22" t="s">
        <v>770</v>
      </c>
      <c r="B33" s="22">
        <v>32</v>
      </c>
      <c r="C33">
        <v>63839060</v>
      </c>
      <c r="D33">
        <v>1166059</v>
      </c>
      <c r="E33">
        <v>6997</v>
      </c>
      <c r="F33">
        <v>0</v>
      </c>
      <c r="G33">
        <v>396885256</v>
      </c>
      <c r="H33">
        <v>4775026</v>
      </c>
      <c r="I33">
        <v>68004</v>
      </c>
      <c r="J33">
        <v>2702575</v>
      </c>
      <c r="K33">
        <v>39573</v>
      </c>
      <c r="L33" t="s">
        <v>936</v>
      </c>
      <c r="M33" t="s">
        <v>940</v>
      </c>
    </row>
    <row r="34" spans="1:13" x14ac:dyDescent="0.3">
      <c r="A34" s="22" t="s">
        <v>766</v>
      </c>
      <c r="B34" s="22">
        <v>33</v>
      </c>
      <c r="C34">
        <v>46453109</v>
      </c>
      <c r="D34">
        <v>918037</v>
      </c>
      <c r="E34">
        <v>1754</v>
      </c>
      <c r="F34">
        <v>0</v>
      </c>
      <c r="G34">
        <v>364557540</v>
      </c>
      <c r="H34">
        <v>4732803</v>
      </c>
      <c r="I34">
        <v>60002</v>
      </c>
      <c r="J34">
        <v>2762450</v>
      </c>
      <c r="K34">
        <v>35440</v>
      </c>
      <c r="L34" t="s">
        <v>936</v>
      </c>
      <c r="M34" t="s">
        <v>937</v>
      </c>
    </row>
    <row r="35" spans="1:13" x14ac:dyDescent="0.3">
      <c r="A35" s="22" t="s">
        <v>774</v>
      </c>
      <c r="B35" s="22">
        <v>34</v>
      </c>
      <c r="C35">
        <v>62786675</v>
      </c>
      <c r="D35">
        <v>1182726</v>
      </c>
      <c r="E35">
        <v>350</v>
      </c>
      <c r="F35">
        <v>0</v>
      </c>
      <c r="G35">
        <v>370829117</v>
      </c>
      <c r="H35">
        <v>4729578</v>
      </c>
      <c r="I35">
        <v>32608</v>
      </c>
      <c r="J35">
        <v>4422108</v>
      </c>
      <c r="K35">
        <v>37580</v>
      </c>
      <c r="L35" t="s">
        <v>936</v>
      </c>
      <c r="M35" t="s">
        <v>946</v>
      </c>
    </row>
    <row r="36" spans="1:13" x14ac:dyDescent="0.3">
      <c r="A36" s="22" t="s">
        <v>772</v>
      </c>
      <c r="B36" s="22">
        <v>35</v>
      </c>
      <c r="C36">
        <v>59351596</v>
      </c>
      <c r="D36">
        <v>1264206</v>
      </c>
      <c r="E36">
        <v>837</v>
      </c>
      <c r="F36">
        <v>0</v>
      </c>
      <c r="G36">
        <v>371349430</v>
      </c>
      <c r="H36">
        <v>4784482</v>
      </c>
      <c r="I36">
        <v>62403</v>
      </c>
      <c r="J36">
        <v>2504414</v>
      </c>
      <c r="K36">
        <v>39103</v>
      </c>
      <c r="L36" t="s">
        <v>936</v>
      </c>
      <c r="M36" t="s">
        <v>946</v>
      </c>
    </row>
    <row r="37" spans="1:13" x14ac:dyDescent="0.3">
      <c r="A37" t="s">
        <v>769</v>
      </c>
      <c r="B37">
        <v>36</v>
      </c>
      <c r="C37">
        <v>54624869</v>
      </c>
      <c r="D37">
        <v>1127331</v>
      </c>
      <c r="E37">
        <v>1589</v>
      </c>
      <c r="F37">
        <v>0</v>
      </c>
      <c r="G37">
        <v>340569532</v>
      </c>
      <c r="H37">
        <v>4933648</v>
      </c>
      <c r="I37">
        <v>45725</v>
      </c>
      <c r="J37">
        <v>3310084</v>
      </c>
      <c r="K37">
        <v>41630</v>
      </c>
      <c r="L37" t="s">
        <v>936</v>
      </c>
      <c r="M37" t="s">
        <v>939</v>
      </c>
    </row>
    <row r="38" spans="1:13" x14ac:dyDescent="0.3">
      <c r="A38" t="s">
        <v>773</v>
      </c>
      <c r="B38">
        <v>37</v>
      </c>
      <c r="C38">
        <v>52950596</v>
      </c>
      <c r="D38">
        <v>1161257</v>
      </c>
      <c r="E38">
        <v>350</v>
      </c>
      <c r="F38">
        <v>0</v>
      </c>
      <c r="G38">
        <v>361198434</v>
      </c>
      <c r="H38">
        <v>4864101</v>
      </c>
      <c r="I38">
        <v>63434</v>
      </c>
      <c r="J38">
        <v>3727713</v>
      </c>
      <c r="K38">
        <v>40736</v>
      </c>
      <c r="L38" t="s">
        <v>936</v>
      </c>
      <c r="M38" t="s">
        <v>946</v>
      </c>
    </row>
    <row r="39" spans="1:13" x14ac:dyDescent="0.3">
      <c r="A39" t="s">
        <v>771</v>
      </c>
      <c r="B39">
        <v>38</v>
      </c>
      <c r="C39">
        <v>52507200</v>
      </c>
      <c r="D39">
        <v>1086152</v>
      </c>
      <c r="E39">
        <v>500</v>
      </c>
      <c r="F39">
        <v>0</v>
      </c>
      <c r="G39">
        <v>320429896</v>
      </c>
      <c r="H39">
        <v>4622613</v>
      </c>
      <c r="I39">
        <v>48301</v>
      </c>
      <c r="J39">
        <v>3978341</v>
      </c>
      <c r="K39">
        <v>29006</v>
      </c>
      <c r="L39" t="s">
        <v>936</v>
      </c>
      <c r="M39" t="s">
        <v>939</v>
      </c>
    </row>
    <row r="40" spans="1:13" x14ac:dyDescent="0.3">
      <c r="A40" t="s">
        <v>768</v>
      </c>
      <c r="B40">
        <v>39</v>
      </c>
      <c r="C40">
        <v>43353558</v>
      </c>
      <c r="D40">
        <v>854404</v>
      </c>
      <c r="E40">
        <v>350</v>
      </c>
      <c r="F40">
        <v>0</v>
      </c>
      <c r="G40">
        <v>339634263</v>
      </c>
      <c r="H40">
        <v>4342168</v>
      </c>
      <c r="I40">
        <v>49944</v>
      </c>
      <c r="J40">
        <v>2817074</v>
      </c>
      <c r="K40">
        <v>40240</v>
      </c>
      <c r="L40" t="s">
        <v>936</v>
      </c>
      <c r="M40" t="s">
        <v>937</v>
      </c>
    </row>
    <row r="41" spans="1:13" x14ac:dyDescent="0.3">
      <c r="A41" t="s">
        <v>776</v>
      </c>
      <c r="B41">
        <v>40</v>
      </c>
      <c r="C41">
        <v>72229116</v>
      </c>
      <c r="D41">
        <v>1205327</v>
      </c>
      <c r="E41">
        <v>451</v>
      </c>
      <c r="F41">
        <v>0</v>
      </c>
      <c r="G41">
        <v>369694871</v>
      </c>
      <c r="H41">
        <v>4860215</v>
      </c>
      <c r="I41">
        <v>31461</v>
      </c>
      <c r="J41">
        <v>19401162</v>
      </c>
      <c r="K41">
        <v>42890</v>
      </c>
      <c r="L41" t="s">
        <v>936</v>
      </c>
      <c r="M41" t="s">
        <v>939</v>
      </c>
    </row>
    <row r="42" spans="1:13" x14ac:dyDescent="0.3">
      <c r="A42" t="s">
        <v>783</v>
      </c>
      <c r="B42">
        <v>41</v>
      </c>
      <c r="C42">
        <v>79137381</v>
      </c>
      <c r="D42">
        <v>1359258</v>
      </c>
      <c r="E42">
        <v>300</v>
      </c>
      <c r="F42">
        <v>0</v>
      </c>
      <c r="G42">
        <v>365288834</v>
      </c>
      <c r="H42">
        <v>4695962</v>
      </c>
      <c r="I42">
        <v>57591</v>
      </c>
      <c r="J42">
        <v>2823608</v>
      </c>
      <c r="K42">
        <v>42400</v>
      </c>
      <c r="L42" t="s">
        <v>936</v>
      </c>
      <c r="M42" t="s">
        <v>945</v>
      </c>
    </row>
    <row r="43" spans="1:13" x14ac:dyDescent="0.3">
      <c r="A43" t="s">
        <v>784</v>
      </c>
      <c r="B43">
        <v>42</v>
      </c>
      <c r="C43">
        <v>64577913</v>
      </c>
      <c r="D43">
        <v>1226871</v>
      </c>
      <c r="E43">
        <v>0</v>
      </c>
      <c r="F43">
        <v>0</v>
      </c>
      <c r="G43">
        <v>378516817</v>
      </c>
      <c r="H43">
        <v>4694216</v>
      </c>
      <c r="I43">
        <v>69120</v>
      </c>
      <c r="J43">
        <v>5913914</v>
      </c>
      <c r="K43">
        <v>43090</v>
      </c>
      <c r="L43" t="s">
        <v>936</v>
      </c>
      <c r="M43" t="s">
        <v>942</v>
      </c>
    </row>
    <row r="44" spans="1:13" x14ac:dyDescent="0.3">
      <c r="A44" t="s">
        <v>781</v>
      </c>
      <c r="B44">
        <v>43</v>
      </c>
      <c r="C44">
        <v>58278119</v>
      </c>
      <c r="D44">
        <v>1046877</v>
      </c>
      <c r="E44">
        <v>101</v>
      </c>
      <c r="F44">
        <v>0</v>
      </c>
      <c r="G44">
        <v>343471025</v>
      </c>
      <c r="H44">
        <v>4382406</v>
      </c>
      <c r="I44">
        <v>44811</v>
      </c>
      <c r="J44">
        <v>2870594</v>
      </c>
      <c r="K44">
        <v>41040</v>
      </c>
      <c r="L44" t="s">
        <v>936</v>
      </c>
      <c r="M44" t="s">
        <v>944</v>
      </c>
    </row>
    <row r="45" spans="1:13" x14ac:dyDescent="0.3">
      <c r="A45" t="s">
        <v>777</v>
      </c>
      <c r="B45">
        <v>44</v>
      </c>
      <c r="C45">
        <v>48811851</v>
      </c>
      <c r="D45">
        <v>1029687</v>
      </c>
      <c r="E45">
        <v>14650</v>
      </c>
      <c r="F45">
        <v>0</v>
      </c>
      <c r="G45">
        <v>318334762</v>
      </c>
      <c r="H45">
        <v>4468769</v>
      </c>
      <c r="I45">
        <v>96392</v>
      </c>
      <c r="J45">
        <v>5085296</v>
      </c>
      <c r="K45">
        <v>37633</v>
      </c>
      <c r="L45" t="s">
        <v>936</v>
      </c>
      <c r="M45" t="s">
        <v>940</v>
      </c>
    </row>
    <row r="46" spans="1:13" x14ac:dyDescent="0.3">
      <c r="A46" t="s">
        <v>955</v>
      </c>
      <c r="B46">
        <v>45</v>
      </c>
      <c r="C46">
        <v>67399888</v>
      </c>
      <c r="D46">
        <v>1005938</v>
      </c>
      <c r="E46">
        <v>350</v>
      </c>
      <c r="F46">
        <v>0</v>
      </c>
      <c r="G46">
        <v>380758277</v>
      </c>
      <c r="H46">
        <v>4665782</v>
      </c>
      <c r="I46">
        <v>57962</v>
      </c>
      <c r="J46">
        <v>2743373</v>
      </c>
      <c r="K46">
        <v>42300</v>
      </c>
      <c r="L46" t="s">
        <v>936</v>
      </c>
      <c r="M46" t="s">
        <v>939</v>
      </c>
    </row>
    <row r="47" spans="1:13" x14ac:dyDescent="0.3">
      <c r="A47" t="s">
        <v>780</v>
      </c>
      <c r="B47">
        <v>46</v>
      </c>
      <c r="C47">
        <v>67795939</v>
      </c>
      <c r="D47">
        <v>1012365</v>
      </c>
      <c r="E47">
        <v>0</v>
      </c>
      <c r="F47">
        <v>0</v>
      </c>
      <c r="G47">
        <v>397698672</v>
      </c>
      <c r="H47">
        <v>4615704</v>
      </c>
      <c r="I47">
        <v>50577</v>
      </c>
      <c r="J47">
        <v>3385461</v>
      </c>
      <c r="K47">
        <v>39440</v>
      </c>
      <c r="L47" t="s">
        <v>936</v>
      </c>
      <c r="M47" t="s">
        <v>942</v>
      </c>
    </row>
    <row r="48" spans="1:13" x14ac:dyDescent="0.3">
      <c r="A48" t="s">
        <v>957</v>
      </c>
      <c r="B48">
        <v>47</v>
      </c>
      <c r="C48">
        <v>63138593</v>
      </c>
      <c r="D48">
        <v>965932</v>
      </c>
      <c r="E48">
        <v>4662</v>
      </c>
      <c r="F48">
        <v>0</v>
      </c>
      <c r="G48">
        <v>349992888</v>
      </c>
      <c r="H48">
        <v>4486952</v>
      </c>
      <c r="I48">
        <v>44227</v>
      </c>
      <c r="J48">
        <v>2705997</v>
      </c>
      <c r="K48">
        <v>40800</v>
      </c>
      <c r="L48" t="s">
        <v>936</v>
      </c>
      <c r="M48" t="s">
        <v>943</v>
      </c>
    </row>
    <row r="49" spans="1:13" x14ac:dyDescent="0.3">
      <c r="A49" t="s">
        <v>775</v>
      </c>
      <c r="B49">
        <v>48</v>
      </c>
      <c r="C49">
        <v>47413746</v>
      </c>
      <c r="D49">
        <v>981216</v>
      </c>
      <c r="E49">
        <v>100</v>
      </c>
      <c r="F49">
        <v>0</v>
      </c>
      <c r="G49">
        <v>307066392</v>
      </c>
      <c r="H49">
        <v>4516085</v>
      </c>
      <c r="I49">
        <v>49560</v>
      </c>
      <c r="J49">
        <v>3406692</v>
      </c>
      <c r="K49">
        <v>38060</v>
      </c>
      <c r="L49" t="s">
        <v>936</v>
      </c>
      <c r="M49" t="s">
        <v>939</v>
      </c>
    </row>
    <row r="50" spans="1:13" x14ac:dyDescent="0.3">
      <c r="A50" t="s">
        <v>785</v>
      </c>
      <c r="B50">
        <v>49</v>
      </c>
      <c r="C50">
        <v>58820462</v>
      </c>
      <c r="D50">
        <v>1254418</v>
      </c>
      <c r="E50">
        <v>27818</v>
      </c>
      <c r="F50">
        <v>0</v>
      </c>
      <c r="G50">
        <v>314632819</v>
      </c>
      <c r="H50">
        <v>5116861</v>
      </c>
      <c r="I50">
        <v>137832</v>
      </c>
      <c r="J50">
        <v>3404300</v>
      </c>
      <c r="K50">
        <v>39170</v>
      </c>
      <c r="L50" t="s">
        <v>936</v>
      </c>
      <c r="M50" t="s">
        <v>946</v>
      </c>
    </row>
    <row r="51" spans="1:13" x14ac:dyDescent="0.3">
      <c r="A51" t="s">
        <v>778</v>
      </c>
      <c r="B51">
        <v>50</v>
      </c>
      <c r="C51">
        <v>78358923</v>
      </c>
      <c r="D51">
        <v>917042</v>
      </c>
      <c r="E51">
        <v>224</v>
      </c>
      <c r="F51">
        <v>0</v>
      </c>
      <c r="G51">
        <v>415052766</v>
      </c>
      <c r="H51">
        <v>4346839</v>
      </c>
      <c r="I51">
        <v>46958</v>
      </c>
      <c r="J51">
        <v>2712776</v>
      </c>
      <c r="K51">
        <v>39030</v>
      </c>
      <c r="L51" t="s">
        <v>936</v>
      </c>
      <c r="M51" t="s">
        <v>937</v>
      </c>
    </row>
    <row r="52" spans="1:13" x14ac:dyDescent="0.3">
      <c r="A52" t="s">
        <v>786</v>
      </c>
      <c r="B52">
        <v>51</v>
      </c>
      <c r="C52">
        <v>82552423</v>
      </c>
      <c r="D52">
        <v>1152135</v>
      </c>
      <c r="E52">
        <v>21080</v>
      </c>
      <c r="F52">
        <v>0</v>
      </c>
      <c r="G52">
        <v>402492190</v>
      </c>
      <c r="H52">
        <v>4630500</v>
      </c>
      <c r="I52">
        <v>81675</v>
      </c>
      <c r="J52">
        <v>2065216</v>
      </c>
      <c r="K52">
        <v>38170</v>
      </c>
      <c r="L52" t="s">
        <v>936</v>
      </c>
      <c r="M52" t="s">
        <v>940</v>
      </c>
    </row>
    <row r="53" spans="1:13" x14ac:dyDescent="0.3">
      <c r="A53" t="s">
        <v>779</v>
      </c>
      <c r="B53">
        <v>52</v>
      </c>
      <c r="C53">
        <v>78059519</v>
      </c>
      <c r="D53">
        <v>954325</v>
      </c>
      <c r="E53">
        <v>400</v>
      </c>
      <c r="F53">
        <v>0</v>
      </c>
      <c r="G53">
        <v>377485466</v>
      </c>
      <c r="H53">
        <v>4475006</v>
      </c>
      <c r="I53">
        <v>35171</v>
      </c>
      <c r="J53">
        <v>3066559</v>
      </c>
      <c r="K53">
        <v>39080</v>
      </c>
      <c r="L53" t="s">
        <v>936</v>
      </c>
      <c r="M53" t="s">
        <v>940</v>
      </c>
    </row>
    <row r="54" spans="1:13" x14ac:dyDescent="0.3">
      <c r="A54" t="s">
        <v>961</v>
      </c>
      <c r="B54">
        <v>53</v>
      </c>
      <c r="C54">
        <v>46672951</v>
      </c>
      <c r="D54">
        <v>942548</v>
      </c>
      <c r="E54">
        <v>0</v>
      </c>
      <c r="F54">
        <v>0</v>
      </c>
      <c r="G54">
        <v>337477195</v>
      </c>
      <c r="H54">
        <v>4425768</v>
      </c>
      <c r="I54">
        <v>44537</v>
      </c>
      <c r="J54">
        <v>3480620</v>
      </c>
      <c r="K54">
        <v>42480</v>
      </c>
      <c r="L54" t="s">
        <v>936</v>
      </c>
      <c r="M54" t="s">
        <v>946</v>
      </c>
    </row>
    <row r="55" spans="1:13" x14ac:dyDescent="0.3">
      <c r="A55" t="s">
        <v>782</v>
      </c>
      <c r="B55">
        <v>54</v>
      </c>
      <c r="C55">
        <v>46970699</v>
      </c>
      <c r="D55">
        <v>796684</v>
      </c>
      <c r="E55">
        <v>3670</v>
      </c>
      <c r="F55">
        <v>0</v>
      </c>
      <c r="G55">
        <v>386895096</v>
      </c>
      <c r="H55">
        <v>4160329</v>
      </c>
      <c r="I55">
        <v>69368</v>
      </c>
      <c r="J55">
        <v>3629210</v>
      </c>
      <c r="K55">
        <v>41010</v>
      </c>
      <c r="L55" t="s">
        <v>936</v>
      </c>
      <c r="M55" t="s">
        <v>937</v>
      </c>
    </row>
    <row r="56" spans="1:13" x14ac:dyDescent="0.3">
      <c r="A56" t="s">
        <v>947</v>
      </c>
      <c r="B56">
        <v>55</v>
      </c>
      <c r="C56">
        <v>74465021</v>
      </c>
      <c r="D56">
        <v>1265465</v>
      </c>
      <c r="E56">
        <v>646</v>
      </c>
      <c r="F56">
        <v>0</v>
      </c>
      <c r="G56">
        <v>360216678</v>
      </c>
      <c r="H56">
        <v>4606330</v>
      </c>
      <c r="I56">
        <v>45191</v>
      </c>
      <c r="J56">
        <v>9110940</v>
      </c>
      <c r="K56">
        <v>42050</v>
      </c>
      <c r="L56" t="s">
        <v>936</v>
      </c>
      <c r="M56" t="s">
        <v>939</v>
      </c>
    </row>
    <row r="57" spans="1:13" x14ac:dyDescent="0.3">
      <c r="A57" t="s">
        <v>789</v>
      </c>
      <c r="B57">
        <v>56</v>
      </c>
      <c r="C57">
        <v>63569487</v>
      </c>
      <c r="D57">
        <v>995275</v>
      </c>
      <c r="E57">
        <v>3238</v>
      </c>
      <c r="F57">
        <v>0</v>
      </c>
      <c r="G57">
        <v>365673680</v>
      </c>
      <c r="H57">
        <v>4465233</v>
      </c>
      <c r="I57">
        <v>90077</v>
      </c>
      <c r="J57">
        <v>3538091</v>
      </c>
      <c r="K57">
        <v>40810</v>
      </c>
      <c r="L57" t="s">
        <v>936</v>
      </c>
      <c r="M57" t="s">
        <v>945</v>
      </c>
    </row>
    <row r="58" spans="1:13" x14ac:dyDescent="0.3">
      <c r="A58" t="s">
        <v>793</v>
      </c>
      <c r="B58">
        <v>57</v>
      </c>
      <c r="C58">
        <v>61281161</v>
      </c>
      <c r="D58">
        <v>1228166</v>
      </c>
      <c r="E58">
        <v>668</v>
      </c>
      <c r="F58">
        <v>0</v>
      </c>
      <c r="G58">
        <v>349866036</v>
      </c>
      <c r="H58">
        <v>4423419</v>
      </c>
      <c r="I58">
        <v>44332</v>
      </c>
      <c r="J58">
        <v>3522751</v>
      </c>
      <c r="K58">
        <v>39940</v>
      </c>
      <c r="L58" t="s">
        <v>936</v>
      </c>
      <c r="M58" t="s">
        <v>937</v>
      </c>
    </row>
    <row r="59" spans="1:13" x14ac:dyDescent="0.3">
      <c r="A59" t="s">
        <v>792</v>
      </c>
      <c r="B59">
        <v>58</v>
      </c>
      <c r="C59">
        <v>60325769</v>
      </c>
      <c r="D59">
        <v>1182030</v>
      </c>
      <c r="E59">
        <v>4342</v>
      </c>
      <c r="F59">
        <v>0</v>
      </c>
      <c r="G59">
        <v>325062565</v>
      </c>
      <c r="H59">
        <v>4528257</v>
      </c>
      <c r="I59">
        <v>125889</v>
      </c>
      <c r="J59">
        <v>5387592</v>
      </c>
      <c r="K59">
        <v>37809</v>
      </c>
      <c r="L59" t="s">
        <v>936</v>
      </c>
      <c r="M59" t="s">
        <v>943</v>
      </c>
    </row>
    <row r="60" spans="1:13" x14ac:dyDescent="0.3">
      <c r="A60" t="s">
        <v>804</v>
      </c>
      <c r="B60">
        <v>59</v>
      </c>
      <c r="C60">
        <v>89003747</v>
      </c>
      <c r="D60">
        <v>1518801</v>
      </c>
      <c r="E60">
        <v>400</v>
      </c>
      <c r="F60">
        <v>0</v>
      </c>
      <c r="G60">
        <v>409955169</v>
      </c>
      <c r="H60">
        <v>4818702</v>
      </c>
      <c r="I60">
        <v>15311</v>
      </c>
      <c r="J60">
        <v>12260817</v>
      </c>
      <c r="K60">
        <v>39760</v>
      </c>
      <c r="L60" t="s">
        <v>936</v>
      </c>
      <c r="M60" t="s">
        <v>937</v>
      </c>
    </row>
    <row r="61" spans="1:13" x14ac:dyDescent="0.3">
      <c r="A61" t="s">
        <v>790</v>
      </c>
      <c r="B61">
        <v>60</v>
      </c>
      <c r="C61">
        <v>49918836</v>
      </c>
      <c r="D61">
        <v>960754</v>
      </c>
      <c r="E61">
        <v>2604</v>
      </c>
      <c r="F61">
        <v>0</v>
      </c>
      <c r="G61">
        <v>325631931</v>
      </c>
      <c r="H61">
        <v>4183162</v>
      </c>
      <c r="I61">
        <v>46881</v>
      </c>
      <c r="J61">
        <v>2836865</v>
      </c>
      <c r="K61">
        <v>38370</v>
      </c>
      <c r="L61" t="s">
        <v>936</v>
      </c>
      <c r="M61" t="s">
        <v>945</v>
      </c>
    </row>
    <row r="62" spans="1:13" x14ac:dyDescent="0.3">
      <c r="A62" t="s">
        <v>787</v>
      </c>
      <c r="B62">
        <v>61</v>
      </c>
      <c r="C62">
        <v>39841797</v>
      </c>
      <c r="D62">
        <v>778400</v>
      </c>
      <c r="E62">
        <v>0</v>
      </c>
      <c r="F62">
        <v>0</v>
      </c>
      <c r="G62">
        <v>312336035</v>
      </c>
      <c r="H62">
        <v>4084622</v>
      </c>
      <c r="I62">
        <v>42937</v>
      </c>
      <c r="J62">
        <v>3787035</v>
      </c>
      <c r="K62">
        <v>33240</v>
      </c>
      <c r="L62" t="s">
        <v>936</v>
      </c>
      <c r="M62" t="s">
        <v>939</v>
      </c>
    </row>
    <row r="63" spans="1:13" x14ac:dyDescent="0.3">
      <c r="A63" t="s">
        <v>797</v>
      </c>
      <c r="B63">
        <v>62</v>
      </c>
      <c r="C63">
        <v>58767698</v>
      </c>
      <c r="D63">
        <v>1324670</v>
      </c>
      <c r="E63">
        <v>34216</v>
      </c>
      <c r="F63">
        <v>0</v>
      </c>
      <c r="G63">
        <v>338426360</v>
      </c>
      <c r="H63">
        <v>5044489</v>
      </c>
      <c r="I63">
        <v>158017</v>
      </c>
      <c r="J63">
        <v>5856448</v>
      </c>
      <c r="K63">
        <v>39630</v>
      </c>
      <c r="L63" t="s">
        <v>936</v>
      </c>
      <c r="M63" t="s">
        <v>939</v>
      </c>
    </row>
    <row r="64" spans="1:13" x14ac:dyDescent="0.3">
      <c r="A64" t="s">
        <v>788</v>
      </c>
      <c r="B64">
        <v>63</v>
      </c>
      <c r="C64">
        <v>57169392</v>
      </c>
      <c r="D64">
        <v>699390</v>
      </c>
      <c r="E64">
        <v>1073</v>
      </c>
      <c r="F64">
        <v>0</v>
      </c>
      <c r="G64">
        <v>333890207</v>
      </c>
      <c r="H64">
        <v>3916963</v>
      </c>
      <c r="I64">
        <v>48763</v>
      </c>
      <c r="J64">
        <v>3359356</v>
      </c>
      <c r="K64">
        <v>46140</v>
      </c>
      <c r="L64" t="s">
        <v>936</v>
      </c>
      <c r="M64" t="s">
        <v>944</v>
      </c>
    </row>
    <row r="65" spans="1:13" x14ac:dyDescent="0.3">
      <c r="A65" t="s">
        <v>800</v>
      </c>
      <c r="B65">
        <v>64</v>
      </c>
      <c r="C65">
        <v>64509590</v>
      </c>
      <c r="D65">
        <v>1179803</v>
      </c>
      <c r="E65">
        <v>274</v>
      </c>
      <c r="F65">
        <v>0</v>
      </c>
      <c r="G65">
        <v>333082993</v>
      </c>
      <c r="H65">
        <v>4372847</v>
      </c>
      <c r="I65">
        <v>127835</v>
      </c>
      <c r="J65">
        <v>6872085</v>
      </c>
      <c r="K65">
        <v>39430</v>
      </c>
      <c r="L65" t="s">
        <v>936</v>
      </c>
      <c r="M65" t="s">
        <v>945</v>
      </c>
    </row>
    <row r="66" spans="1:13" x14ac:dyDescent="0.3">
      <c r="A66" t="s">
        <v>795</v>
      </c>
      <c r="B66">
        <v>65</v>
      </c>
      <c r="C66">
        <v>47888258</v>
      </c>
      <c r="D66">
        <v>982360</v>
      </c>
      <c r="E66">
        <v>2138</v>
      </c>
      <c r="F66">
        <v>0</v>
      </c>
      <c r="G66">
        <v>326475235</v>
      </c>
      <c r="H66">
        <v>4247520</v>
      </c>
      <c r="I66">
        <v>42879</v>
      </c>
      <c r="J66">
        <v>3989749</v>
      </c>
      <c r="K66">
        <v>41273</v>
      </c>
      <c r="L66" t="s">
        <v>936</v>
      </c>
      <c r="M66" t="s">
        <v>939</v>
      </c>
    </row>
    <row r="67" spans="1:13" x14ac:dyDescent="0.3">
      <c r="A67" t="s">
        <v>951</v>
      </c>
      <c r="B67">
        <v>66</v>
      </c>
      <c r="C67">
        <v>50138187</v>
      </c>
      <c r="D67">
        <v>1061420</v>
      </c>
      <c r="E67">
        <v>1263</v>
      </c>
      <c r="F67">
        <v>0</v>
      </c>
      <c r="G67">
        <v>301095386</v>
      </c>
      <c r="H67">
        <v>4421410</v>
      </c>
      <c r="I67">
        <v>110068</v>
      </c>
      <c r="J67">
        <v>2944971</v>
      </c>
      <c r="K67">
        <v>38300</v>
      </c>
      <c r="L67" t="s">
        <v>936</v>
      </c>
      <c r="M67" t="s">
        <v>940</v>
      </c>
    </row>
    <row r="68" spans="1:13" x14ac:dyDescent="0.3">
      <c r="A68" t="s">
        <v>794</v>
      </c>
      <c r="B68">
        <v>67</v>
      </c>
      <c r="C68">
        <v>60508123</v>
      </c>
      <c r="D68">
        <v>878018</v>
      </c>
      <c r="E68">
        <v>242</v>
      </c>
      <c r="F68">
        <v>0</v>
      </c>
      <c r="G68">
        <v>325925980</v>
      </c>
      <c r="H68">
        <v>3861493</v>
      </c>
      <c r="I68">
        <v>29325</v>
      </c>
      <c r="J68">
        <v>6477417</v>
      </c>
      <c r="K68">
        <v>42493</v>
      </c>
      <c r="L68" t="s">
        <v>936</v>
      </c>
      <c r="M68" t="s">
        <v>942</v>
      </c>
    </row>
    <row r="69" spans="1:13" x14ac:dyDescent="0.3">
      <c r="A69" t="s">
        <v>796</v>
      </c>
      <c r="B69">
        <v>68</v>
      </c>
      <c r="C69">
        <v>49000842</v>
      </c>
      <c r="D69">
        <v>887706</v>
      </c>
      <c r="E69">
        <v>614</v>
      </c>
      <c r="F69">
        <v>0</v>
      </c>
      <c r="G69">
        <v>339539454</v>
      </c>
      <c r="H69">
        <v>3995694</v>
      </c>
      <c r="I69">
        <v>82882</v>
      </c>
      <c r="J69">
        <v>3048789</v>
      </c>
      <c r="K69">
        <v>34550</v>
      </c>
      <c r="L69" t="s">
        <v>936</v>
      </c>
      <c r="M69" t="s">
        <v>946</v>
      </c>
    </row>
    <row r="70" spans="1:13" x14ac:dyDescent="0.3">
      <c r="A70" t="s">
        <v>799</v>
      </c>
      <c r="B70">
        <v>69</v>
      </c>
      <c r="C70">
        <v>80217407</v>
      </c>
      <c r="D70">
        <v>1090817</v>
      </c>
      <c r="E70">
        <v>631</v>
      </c>
      <c r="F70">
        <v>0</v>
      </c>
      <c r="G70">
        <v>498543955</v>
      </c>
      <c r="H70">
        <v>4333681</v>
      </c>
      <c r="I70">
        <v>50056</v>
      </c>
      <c r="J70">
        <v>3345422</v>
      </c>
      <c r="K70">
        <v>45650</v>
      </c>
      <c r="L70" t="s">
        <v>936</v>
      </c>
      <c r="M70" t="s">
        <v>940</v>
      </c>
    </row>
    <row r="71" spans="1:13" x14ac:dyDescent="0.3">
      <c r="A71" t="s">
        <v>798</v>
      </c>
      <c r="B71">
        <v>70</v>
      </c>
      <c r="C71">
        <v>48818313</v>
      </c>
      <c r="D71">
        <v>1029196</v>
      </c>
      <c r="E71">
        <v>3235</v>
      </c>
      <c r="F71">
        <v>0</v>
      </c>
      <c r="G71">
        <v>329286071</v>
      </c>
      <c r="H71">
        <v>4359244</v>
      </c>
      <c r="I71">
        <v>128111</v>
      </c>
      <c r="J71">
        <v>4290497</v>
      </c>
      <c r="K71">
        <v>38959</v>
      </c>
      <c r="L71" t="s">
        <v>936</v>
      </c>
      <c r="M71" t="s">
        <v>946</v>
      </c>
    </row>
    <row r="72" spans="1:13" x14ac:dyDescent="0.3">
      <c r="A72" t="s">
        <v>791</v>
      </c>
      <c r="B72">
        <v>71</v>
      </c>
      <c r="C72">
        <v>33587013</v>
      </c>
      <c r="D72">
        <v>622385</v>
      </c>
      <c r="E72">
        <v>202</v>
      </c>
      <c r="F72">
        <v>0</v>
      </c>
      <c r="G72">
        <v>317789275</v>
      </c>
      <c r="H72">
        <v>3788916</v>
      </c>
      <c r="I72">
        <v>59670</v>
      </c>
      <c r="J72">
        <v>3355651</v>
      </c>
      <c r="K72">
        <v>34470</v>
      </c>
      <c r="L72" t="s">
        <v>936</v>
      </c>
      <c r="M72" t="s">
        <v>939</v>
      </c>
    </row>
    <row r="73" spans="1:13" x14ac:dyDescent="0.3">
      <c r="A73" t="s">
        <v>950</v>
      </c>
      <c r="B73">
        <v>72</v>
      </c>
      <c r="C73">
        <v>54996610</v>
      </c>
      <c r="D73">
        <v>1168075</v>
      </c>
      <c r="E73">
        <v>1183</v>
      </c>
      <c r="F73">
        <v>0</v>
      </c>
      <c r="G73">
        <v>349114475</v>
      </c>
      <c r="H73">
        <v>4467756</v>
      </c>
      <c r="I73">
        <v>35339</v>
      </c>
      <c r="J73">
        <v>3348287</v>
      </c>
      <c r="K73">
        <v>36760</v>
      </c>
      <c r="L73" t="s">
        <v>936</v>
      </c>
      <c r="M73" t="s">
        <v>942</v>
      </c>
    </row>
    <row r="74" spans="1:13" x14ac:dyDescent="0.3">
      <c r="A74" t="s">
        <v>803</v>
      </c>
      <c r="B74">
        <v>73</v>
      </c>
      <c r="C74">
        <v>58365999</v>
      </c>
      <c r="D74">
        <v>1143029</v>
      </c>
      <c r="E74">
        <v>3454</v>
      </c>
      <c r="F74">
        <v>0</v>
      </c>
      <c r="G74">
        <v>313789723</v>
      </c>
      <c r="H74">
        <v>4245414</v>
      </c>
      <c r="I74">
        <v>47397</v>
      </c>
      <c r="J74">
        <v>52282692</v>
      </c>
      <c r="K74">
        <v>40823</v>
      </c>
      <c r="L74" t="s">
        <v>936</v>
      </c>
      <c r="M74" t="s">
        <v>939</v>
      </c>
    </row>
    <row r="75" spans="1:13" x14ac:dyDescent="0.3">
      <c r="A75" t="s">
        <v>952</v>
      </c>
      <c r="B75">
        <v>74</v>
      </c>
      <c r="C75">
        <v>54334385</v>
      </c>
      <c r="D75">
        <v>1138353</v>
      </c>
      <c r="E75">
        <v>1696</v>
      </c>
      <c r="F75">
        <v>0</v>
      </c>
      <c r="G75">
        <v>381735244</v>
      </c>
      <c r="H75">
        <v>4486199</v>
      </c>
      <c r="I75">
        <v>55235</v>
      </c>
      <c r="J75">
        <v>3312487</v>
      </c>
      <c r="K75">
        <v>36950</v>
      </c>
      <c r="L75" t="s">
        <v>936</v>
      </c>
      <c r="M75" t="s">
        <v>942</v>
      </c>
    </row>
    <row r="76" spans="1:13" x14ac:dyDescent="0.3">
      <c r="A76" t="s">
        <v>805</v>
      </c>
      <c r="B76">
        <v>75</v>
      </c>
      <c r="C76">
        <v>76091057</v>
      </c>
      <c r="D76">
        <v>1152968</v>
      </c>
      <c r="E76">
        <v>1708</v>
      </c>
      <c r="F76">
        <v>0</v>
      </c>
      <c r="G76">
        <v>354714340</v>
      </c>
      <c r="H76">
        <v>4373539</v>
      </c>
      <c r="I76">
        <v>30278</v>
      </c>
      <c r="J76">
        <v>3701831</v>
      </c>
      <c r="K76">
        <v>41050</v>
      </c>
      <c r="L76" t="s">
        <v>936</v>
      </c>
      <c r="M76" t="s">
        <v>940</v>
      </c>
    </row>
    <row r="77" spans="1:13" x14ac:dyDescent="0.3">
      <c r="A77" t="s">
        <v>808</v>
      </c>
      <c r="B77">
        <v>76</v>
      </c>
      <c r="C77">
        <v>55582150</v>
      </c>
      <c r="D77">
        <v>1051641</v>
      </c>
      <c r="E77">
        <v>768</v>
      </c>
      <c r="F77">
        <v>0</v>
      </c>
      <c r="G77">
        <v>345864293</v>
      </c>
      <c r="H77">
        <v>4235315</v>
      </c>
      <c r="I77">
        <v>31289</v>
      </c>
      <c r="J77">
        <v>3174407</v>
      </c>
      <c r="K77">
        <v>34490</v>
      </c>
      <c r="L77" t="s">
        <v>936</v>
      </c>
      <c r="M77" t="s">
        <v>946</v>
      </c>
    </row>
    <row r="78" spans="1:13" x14ac:dyDescent="0.3">
      <c r="A78" t="s">
        <v>600</v>
      </c>
      <c r="B78">
        <v>77</v>
      </c>
      <c r="C78">
        <v>48963364</v>
      </c>
      <c r="D78">
        <v>1031589</v>
      </c>
      <c r="E78">
        <v>2338</v>
      </c>
      <c r="F78">
        <v>1286174</v>
      </c>
      <c r="G78">
        <v>313039491</v>
      </c>
      <c r="H78">
        <v>4134241</v>
      </c>
      <c r="I78">
        <v>30179</v>
      </c>
      <c r="J78">
        <v>6107671</v>
      </c>
      <c r="K78">
        <v>40193</v>
      </c>
      <c r="L78" t="s">
        <v>936</v>
      </c>
      <c r="M78" t="s">
        <v>945</v>
      </c>
    </row>
    <row r="79" spans="1:13" x14ac:dyDescent="0.3">
      <c r="A79" t="s">
        <v>801</v>
      </c>
      <c r="B79">
        <v>78</v>
      </c>
      <c r="C79">
        <v>61673426</v>
      </c>
      <c r="D79">
        <v>999513</v>
      </c>
      <c r="E79">
        <v>170</v>
      </c>
      <c r="F79">
        <v>0</v>
      </c>
      <c r="G79">
        <v>337335334</v>
      </c>
      <c r="H79">
        <v>4286062</v>
      </c>
      <c r="I79">
        <v>44608</v>
      </c>
      <c r="J79">
        <v>5367439</v>
      </c>
      <c r="K79">
        <v>42960</v>
      </c>
      <c r="L79" t="s">
        <v>936</v>
      </c>
      <c r="M79" t="s">
        <v>944</v>
      </c>
    </row>
    <row r="80" spans="1:13" x14ac:dyDescent="0.3">
      <c r="A80" t="s">
        <v>802</v>
      </c>
      <c r="B80">
        <v>79</v>
      </c>
      <c r="C80">
        <v>66993921</v>
      </c>
      <c r="D80">
        <v>832898</v>
      </c>
      <c r="E80">
        <v>842</v>
      </c>
      <c r="F80">
        <v>0</v>
      </c>
      <c r="G80">
        <v>355936816</v>
      </c>
      <c r="H80">
        <v>4134545</v>
      </c>
      <c r="I80">
        <v>44864</v>
      </c>
      <c r="J80">
        <v>2912558</v>
      </c>
      <c r="K80">
        <v>39843</v>
      </c>
      <c r="L80" t="s">
        <v>936</v>
      </c>
      <c r="M80" t="s">
        <v>937</v>
      </c>
    </row>
    <row r="81" spans="1:13" x14ac:dyDescent="0.3">
      <c r="A81" t="s">
        <v>806</v>
      </c>
      <c r="B81">
        <v>80</v>
      </c>
      <c r="C81">
        <v>72445585</v>
      </c>
      <c r="D81">
        <v>812452</v>
      </c>
      <c r="E81">
        <v>444</v>
      </c>
      <c r="F81">
        <v>0</v>
      </c>
      <c r="G81">
        <v>406758054</v>
      </c>
      <c r="H81">
        <v>3711091</v>
      </c>
      <c r="I81">
        <v>34958</v>
      </c>
      <c r="J81">
        <v>4581119</v>
      </c>
      <c r="K81">
        <v>46140</v>
      </c>
      <c r="L81" t="s">
        <v>936</v>
      </c>
      <c r="M81" t="s">
        <v>939</v>
      </c>
    </row>
    <row r="82" spans="1:13" x14ac:dyDescent="0.3">
      <c r="A82" t="s">
        <v>807</v>
      </c>
      <c r="B82">
        <v>81</v>
      </c>
      <c r="C82">
        <v>37373293</v>
      </c>
      <c r="D82">
        <v>784903</v>
      </c>
      <c r="E82">
        <v>1570</v>
      </c>
      <c r="F82">
        <v>0</v>
      </c>
      <c r="G82">
        <v>306055214</v>
      </c>
      <c r="H82">
        <v>3991628</v>
      </c>
      <c r="I82">
        <v>34705</v>
      </c>
      <c r="J82">
        <v>3953012</v>
      </c>
      <c r="K82">
        <v>41240</v>
      </c>
      <c r="L82" t="s">
        <v>936</v>
      </c>
      <c r="M82" t="s">
        <v>939</v>
      </c>
    </row>
    <row r="83" spans="1:13" x14ac:dyDescent="0.3">
      <c r="A83" t="s">
        <v>948</v>
      </c>
      <c r="B83">
        <v>82</v>
      </c>
      <c r="C83">
        <v>55439658</v>
      </c>
      <c r="D83">
        <v>1190073</v>
      </c>
      <c r="E83">
        <v>653</v>
      </c>
      <c r="F83">
        <v>0</v>
      </c>
      <c r="G83">
        <v>333229496</v>
      </c>
      <c r="H83">
        <v>4076604</v>
      </c>
      <c r="I83">
        <v>59864</v>
      </c>
      <c r="J83">
        <v>3007799</v>
      </c>
      <c r="K83">
        <v>39256</v>
      </c>
      <c r="L83" t="s">
        <v>936</v>
      </c>
      <c r="M83" t="s">
        <v>942</v>
      </c>
    </row>
    <row r="84" spans="1:13" x14ac:dyDescent="0.3">
      <c r="A84" t="s">
        <v>812</v>
      </c>
      <c r="B84">
        <v>83</v>
      </c>
      <c r="C84">
        <v>55541746</v>
      </c>
      <c r="D84">
        <v>1199362</v>
      </c>
      <c r="E84">
        <v>1312</v>
      </c>
      <c r="F84">
        <v>0</v>
      </c>
      <c r="G84">
        <v>321650369</v>
      </c>
      <c r="H84">
        <v>4266213</v>
      </c>
      <c r="I84">
        <v>4973</v>
      </c>
      <c r="J84">
        <v>10589521</v>
      </c>
      <c r="K84">
        <v>42800</v>
      </c>
      <c r="L84" t="s">
        <v>936</v>
      </c>
      <c r="M84" t="s">
        <v>940</v>
      </c>
    </row>
    <row r="85" spans="1:13" x14ac:dyDescent="0.3">
      <c r="A85" t="s">
        <v>814</v>
      </c>
      <c r="B85">
        <v>84</v>
      </c>
      <c r="C85">
        <v>54609376</v>
      </c>
      <c r="D85">
        <v>1153847</v>
      </c>
      <c r="E85">
        <v>303</v>
      </c>
      <c r="F85">
        <v>0</v>
      </c>
      <c r="G85">
        <v>314839419</v>
      </c>
      <c r="H85">
        <v>3692196</v>
      </c>
      <c r="I85">
        <v>37502</v>
      </c>
      <c r="J85">
        <v>6353831</v>
      </c>
      <c r="K85">
        <v>40859</v>
      </c>
      <c r="L85" t="s">
        <v>936</v>
      </c>
      <c r="M85" t="s">
        <v>940</v>
      </c>
    </row>
    <row r="86" spans="1:13" x14ac:dyDescent="0.3">
      <c r="A86" t="s">
        <v>972</v>
      </c>
      <c r="B86">
        <v>85</v>
      </c>
      <c r="C86">
        <v>50755405</v>
      </c>
      <c r="D86">
        <v>793020</v>
      </c>
      <c r="E86">
        <v>878</v>
      </c>
      <c r="F86">
        <v>0</v>
      </c>
      <c r="G86">
        <v>348935827</v>
      </c>
      <c r="H86">
        <v>3736282</v>
      </c>
      <c r="I86">
        <v>40760</v>
      </c>
      <c r="J86">
        <v>2716994</v>
      </c>
      <c r="K86">
        <v>41620</v>
      </c>
      <c r="L86" t="s">
        <v>936</v>
      </c>
      <c r="M86" t="s">
        <v>942</v>
      </c>
    </row>
    <row r="87" spans="1:13" x14ac:dyDescent="0.3">
      <c r="A87" t="s">
        <v>953</v>
      </c>
      <c r="B87">
        <v>86</v>
      </c>
      <c r="C87">
        <v>49173633</v>
      </c>
      <c r="D87">
        <v>987109</v>
      </c>
      <c r="E87">
        <v>135</v>
      </c>
      <c r="F87">
        <v>0</v>
      </c>
      <c r="G87">
        <v>346445874</v>
      </c>
      <c r="H87">
        <v>4010210</v>
      </c>
      <c r="I87">
        <v>32241</v>
      </c>
      <c r="J87">
        <v>3306963</v>
      </c>
      <c r="K87">
        <v>40636</v>
      </c>
      <c r="L87" t="s">
        <v>936</v>
      </c>
      <c r="M87" t="s">
        <v>942</v>
      </c>
    </row>
    <row r="88" spans="1:13" x14ac:dyDescent="0.3">
      <c r="A88" t="s">
        <v>960</v>
      </c>
      <c r="B88">
        <v>87</v>
      </c>
      <c r="C88">
        <v>58204816</v>
      </c>
      <c r="D88">
        <v>864925</v>
      </c>
      <c r="E88">
        <v>100</v>
      </c>
      <c r="F88">
        <v>0</v>
      </c>
      <c r="G88">
        <v>331107211</v>
      </c>
      <c r="H88">
        <v>3817320</v>
      </c>
      <c r="I88">
        <v>23200</v>
      </c>
      <c r="J88">
        <v>6151726</v>
      </c>
      <c r="K88">
        <v>35820</v>
      </c>
      <c r="L88" t="s">
        <v>936</v>
      </c>
      <c r="M88" t="s">
        <v>945</v>
      </c>
    </row>
    <row r="89" spans="1:13" x14ac:dyDescent="0.3">
      <c r="A89" t="s">
        <v>601</v>
      </c>
      <c r="B89">
        <v>88</v>
      </c>
      <c r="C89">
        <v>53950674</v>
      </c>
      <c r="D89">
        <v>1104757</v>
      </c>
      <c r="E89">
        <v>998</v>
      </c>
      <c r="F89">
        <v>0</v>
      </c>
      <c r="G89">
        <v>278455740</v>
      </c>
      <c r="H89">
        <v>4032923</v>
      </c>
      <c r="I89">
        <v>47174</v>
      </c>
      <c r="J89">
        <v>4578043</v>
      </c>
      <c r="K89">
        <v>36890</v>
      </c>
      <c r="L89" t="s">
        <v>936</v>
      </c>
      <c r="M89" t="s">
        <v>945</v>
      </c>
    </row>
    <row r="90" spans="1:13" x14ac:dyDescent="0.3">
      <c r="A90" t="s">
        <v>811</v>
      </c>
      <c r="B90">
        <v>89</v>
      </c>
      <c r="C90">
        <v>44576379</v>
      </c>
      <c r="D90">
        <v>848999</v>
      </c>
      <c r="E90">
        <v>1950</v>
      </c>
      <c r="F90">
        <v>995732</v>
      </c>
      <c r="G90">
        <v>278641434</v>
      </c>
      <c r="H90">
        <v>3660924</v>
      </c>
      <c r="I90">
        <v>66186</v>
      </c>
      <c r="J90">
        <v>5828444</v>
      </c>
      <c r="K90">
        <v>38483</v>
      </c>
      <c r="L90" t="s">
        <v>936</v>
      </c>
      <c r="M90" t="s">
        <v>939</v>
      </c>
    </row>
    <row r="91" spans="1:13" x14ac:dyDescent="0.3">
      <c r="A91" t="s">
        <v>813</v>
      </c>
      <c r="B91">
        <v>90</v>
      </c>
      <c r="C91">
        <v>38321896</v>
      </c>
      <c r="D91">
        <v>851242</v>
      </c>
      <c r="E91">
        <v>202</v>
      </c>
      <c r="F91">
        <v>0</v>
      </c>
      <c r="G91">
        <v>287350202</v>
      </c>
      <c r="H91">
        <v>3875274</v>
      </c>
      <c r="I91">
        <v>34907</v>
      </c>
      <c r="J91">
        <v>3365819</v>
      </c>
      <c r="K91">
        <v>34630</v>
      </c>
      <c r="L91" t="s">
        <v>936</v>
      </c>
      <c r="M91" t="s">
        <v>939</v>
      </c>
    </row>
    <row r="92" spans="1:13" x14ac:dyDescent="0.3">
      <c r="A92" t="s">
        <v>809</v>
      </c>
      <c r="B92">
        <v>91</v>
      </c>
      <c r="C92">
        <v>28953501</v>
      </c>
      <c r="D92">
        <v>585105</v>
      </c>
      <c r="E92">
        <v>162</v>
      </c>
      <c r="F92">
        <v>2016823</v>
      </c>
      <c r="G92">
        <v>306615813</v>
      </c>
      <c r="H92">
        <v>3452953</v>
      </c>
      <c r="I92">
        <v>49132</v>
      </c>
      <c r="J92">
        <v>5987927</v>
      </c>
      <c r="K92">
        <v>39793</v>
      </c>
      <c r="L92" t="s">
        <v>936</v>
      </c>
      <c r="M92" t="s">
        <v>939</v>
      </c>
    </row>
    <row r="93" spans="1:13" x14ac:dyDescent="0.3">
      <c r="A93" t="s">
        <v>815</v>
      </c>
      <c r="B93">
        <v>92</v>
      </c>
      <c r="C93">
        <v>48067361</v>
      </c>
      <c r="D93">
        <v>731404</v>
      </c>
      <c r="E93">
        <v>450</v>
      </c>
      <c r="F93">
        <v>6614723</v>
      </c>
      <c r="G93">
        <v>247108520</v>
      </c>
      <c r="H93">
        <v>3689093</v>
      </c>
      <c r="I93">
        <v>56236</v>
      </c>
      <c r="J93">
        <v>44520963</v>
      </c>
      <c r="K93">
        <v>30620</v>
      </c>
      <c r="L93" t="s">
        <v>936</v>
      </c>
      <c r="M93" t="s">
        <v>939</v>
      </c>
    </row>
    <row r="94" spans="1:13" x14ac:dyDescent="0.3">
      <c r="A94" t="s">
        <v>818</v>
      </c>
      <c r="B94">
        <v>93</v>
      </c>
      <c r="C94">
        <v>46775194</v>
      </c>
      <c r="D94">
        <v>1029728</v>
      </c>
      <c r="E94">
        <v>35841</v>
      </c>
      <c r="F94">
        <v>0</v>
      </c>
      <c r="G94">
        <v>294671510</v>
      </c>
      <c r="H94">
        <v>3773543</v>
      </c>
      <c r="I94">
        <v>138278</v>
      </c>
      <c r="J94">
        <v>4891434</v>
      </c>
      <c r="K94">
        <v>40460</v>
      </c>
      <c r="L94" t="s">
        <v>936</v>
      </c>
      <c r="M94" t="s">
        <v>946</v>
      </c>
    </row>
    <row r="95" spans="1:13" x14ac:dyDescent="0.3">
      <c r="A95" t="s">
        <v>816</v>
      </c>
      <c r="B95">
        <v>94</v>
      </c>
      <c r="C95">
        <v>40190757</v>
      </c>
      <c r="D95">
        <v>837298</v>
      </c>
      <c r="E95">
        <v>19151</v>
      </c>
      <c r="F95">
        <v>0</v>
      </c>
      <c r="G95">
        <v>266630870</v>
      </c>
      <c r="H95">
        <v>3584599</v>
      </c>
      <c r="I95">
        <v>113189</v>
      </c>
      <c r="J95">
        <v>2734459</v>
      </c>
      <c r="K95">
        <v>37200</v>
      </c>
      <c r="L95" t="s">
        <v>936</v>
      </c>
      <c r="M95" t="s">
        <v>940</v>
      </c>
    </row>
    <row r="96" spans="1:13" x14ac:dyDescent="0.3">
      <c r="A96" t="s">
        <v>820</v>
      </c>
      <c r="B96">
        <v>95</v>
      </c>
      <c r="C96">
        <v>53336566</v>
      </c>
      <c r="D96">
        <v>839531</v>
      </c>
      <c r="E96">
        <v>3542</v>
      </c>
      <c r="F96">
        <v>0</v>
      </c>
      <c r="G96">
        <v>305388189</v>
      </c>
      <c r="H96">
        <v>3453713</v>
      </c>
      <c r="I96">
        <v>45466</v>
      </c>
      <c r="J96">
        <v>4123091</v>
      </c>
      <c r="K96">
        <v>35606</v>
      </c>
      <c r="L96" t="s">
        <v>936</v>
      </c>
      <c r="M96" t="s">
        <v>946</v>
      </c>
    </row>
    <row r="97" spans="1:13" x14ac:dyDescent="0.3">
      <c r="A97" t="s">
        <v>817</v>
      </c>
      <c r="B97">
        <v>96</v>
      </c>
      <c r="C97">
        <v>29501434</v>
      </c>
      <c r="D97">
        <v>574348</v>
      </c>
      <c r="E97">
        <v>120</v>
      </c>
      <c r="F97">
        <v>0</v>
      </c>
      <c r="G97">
        <v>279758995</v>
      </c>
      <c r="H97">
        <v>3342202</v>
      </c>
      <c r="I97">
        <v>49596</v>
      </c>
      <c r="J97">
        <v>3612005</v>
      </c>
      <c r="K97">
        <v>32899</v>
      </c>
      <c r="L97" t="s">
        <v>936</v>
      </c>
      <c r="M97" t="s">
        <v>940</v>
      </c>
    </row>
    <row r="98" spans="1:13" x14ac:dyDescent="0.3">
      <c r="A98" t="s">
        <v>819</v>
      </c>
      <c r="B98">
        <v>97</v>
      </c>
      <c r="C98">
        <v>32456733</v>
      </c>
      <c r="D98">
        <v>648359</v>
      </c>
      <c r="E98">
        <v>450</v>
      </c>
      <c r="F98">
        <v>0</v>
      </c>
      <c r="G98">
        <v>232623500</v>
      </c>
      <c r="H98">
        <v>3100373</v>
      </c>
      <c r="I98">
        <v>61557</v>
      </c>
      <c r="J98">
        <v>8640603</v>
      </c>
      <c r="K98">
        <v>28983</v>
      </c>
      <c r="L98" t="s">
        <v>936</v>
      </c>
      <c r="M98" t="s">
        <v>946</v>
      </c>
    </row>
    <row r="99" spans="1:13" x14ac:dyDescent="0.3">
      <c r="A99" t="s">
        <v>602</v>
      </c>
      <c r="B99">
        <v>98</v>
      </c>
      <c r="C99">
        <v>68266093</v>
      </c>
      <c r="D99">
        <v>983080</v>
      </c>
      <c r="E99">
        <v>950</v>
      </c>
      <c r="F99">
        <v>0</v>
      </c>
      <c r="G99">
        <v>291410722</v>
      </c>
      <c r="H99">
        <v>3471549</v>
      </c>
      <c r="I99">
        <v>63462</v>
      </c>
      <c r="J99">
        <v>6527035</v>
      </c>
      <c r="K99">
        <v>36483</v>
      </c>
      <c r="L99" t="s">
        <v>936</v>
      </c>
      <c r="M99" t="s">
        <v>945</v>
      </c>
    </row>
    <row r="100" spans="1:13" x14ac:dyDescent="0.3">
      <c r="A100" t="s">
        <v>821</v>
      </c>
      <c r="B100">
        <v>99</v>
      </c>
      <c r="C100">
        <v>43143539</v>
      </c>
      <c r="D100">
        <v>815146</v>
      </c>
      <c r="E100">
        <v>7002</v>
      </c>
      <c r="F100">
        <v>0</v>
      </c>
      <c r="G100">
        <v>319224161</v>
      </c>
      <c r="H100">
        <v>3416070</v>
      </c>
      <c r="I100">
        <v>59195</v>
      </c>
      <c r="J100">
        <v>4680527</v>
      </c>
      <c r="K100">
        <v>40683</v>
      </c>
      <c r="L100" t="s">
        <v>936</v>
      </c>
      <c r="M100" t="s">
        <v>946</v>
      </c>
    </row>
    <row r="101" spans="1:13" x14ac:dyDescent="0.3">
      <c r="A101" t="s">
        <v>823</v>
      </c>
      <c r="B101">
        <v>100</v>
      </c>
      <c r="C101">
        <v>54040329</v>
      </c>
      <c r="D101">
        <v>893781</v>
      </c>
      <c r="E101">
        <v>1252</v>
      </c>
      <c r="F101">
        <v>715058</v>
      </c>
      <c r="G101">
        <v>298199382</v>
      </c>
      <c r="H101">
        <v>3544727</v>
      </c>
      <c r="I101">
        <v>51151</v>
      </c>
      <c r="J101">
        <v>8073140</v>
      </c>
      <c r="K101">
        <v>38453</v>
      </c>
      <c r="L101" t="s">
        <v>936</v>
      </c>
      <c r="M101" t="s">
        <v>937</v>
      </c>
    </row>
    <row r="102" spans="1:13" x14ac:dyDescent="0.3">
      <c r="A102" t="s">
        <v>822</v>
      </c>
      <c r="B102">
        <v>101</v>
      </c>
      <c r="C102">
        <v>50800495</v>
      </c>
      <c r="D102">
        <v>768639</v>
      </c>
      <c r="E102">
        <v>855</v>
      </c>
      <c r="F102">
        <v>0</v>
      </c>
      <c r="G102">
        <v>309407556</v>
      </c>
      <c r="H102">
        <v>3326233</v>
      </c>
      <c r="I102">
        <v>83437</v>
      </c>
      <c r="J102">
        <v>2963087</v>
      </c>
      <c r="K102">
        <v>39700</v>
      </c>
      <c r="L102" t="s">
        <v>936</v>
      </c>
      <c r="M102" t="s">
        <v>944</v>
      </c>
    </row>
    <row r="103" spans="1:13" x14ac:dyDescent="0.3">
      <c r="A103" t="s">
        <v>954</v>
      </c>
      <c r="B103">
        <v>102</v>
      </c>
      <c r="C103">
        <v>49989102</v>
      </c>
      <c r="D103">
        <v>920288</v>
      </c>
      <c r="E103">
        <v>360</v>
      </c>
      <c r="F103">
        <v>0</v>
      </c>
      <c r="G103">
        <v>269673056</v>
      </c>
      <c r="H103">
        <v>3348140</v>
      </c>
      <c r="I103">
        <v>42898</v>
      </c>
      <c r="J103">
        <v>6279036</v>
      </c>
      <c r="K103">
        <v>40910</v>
      </c>
      <c r="L103" t="s">
        <v>936</v>
      </c>
      <c r="M103" t="s">
        <v>945</v>
      </c>
    </row>
    <row r="104" spans="1:13" x14ac:dyDescent="0.3">
      <c r="A104" t="s">
        <v>964</v>
      </c>
      <c r="B104">
        <v>103</v>
      </c>
      <c r="C104">
        <v>36514109</v>
      </c>
      <c r="D104">
        <v>723434</v>
      </c>
      <c r="E104">
        <v>2254</v>
      </c>
      <c r="F104">
        <v>0</v>
      </c>
      <c r="G104">
        <v>243892224</v>
      </c>
      <c r="H104">
        <v>3210899</v>
      </c>
      <c r="I104">
        <v>55883</v>
      </c>
      <c r="J104">
        <v>3037846</v>
      </c>
      <c r="K104">
        <v>33160</v>
      </c>
      <c r="L104" t="s">
        <v>936</v>
      </c>
      <c r="M104" t="s">
        <v>939</v>
      </c>
    </row>
    <row r="105" spans="1:13" x14ac:dyDescent="0.3">
      <c r="A105" t="s">
        <v>825</v>
      </c>
      <c r="B105">
        <v>104</v>
      </c>
      <c r="C105">
        <v>50031309</v>
      </c>
      <c r="D105">
        <v>755690</v>
      </c>
      <c r="E105">
        <v>404</v>
      </c>
      <c r="F105">
        <v>0</v>
      </c>
      <c r="G105">
        <v>263322351</v>
      </c>
      <c r="H105">
        <v>3095134</v>
      </c>
      <c r="I105">
        <v>54588</v>
      </c>
      <c r="J105">
        <v>3499294</v>
      </c>
      <c r="K105">
        <v>39122</v>
      </c>
      <c r="L105" t="s">
        <v>936</v>
      </c>
      <c r="M105" t="s">
        <v>937</v>
      </c>
    </row>
    <row r="106" spans="1:13" x14ac:dyDescent="0.3">
      <c r="A106" t="s">
        <v>826</v>
      </c>
      <c r="B106">
        <v>105</v>
      </c>
      <c r="C106">
        <v>41332361</v>
      </c>
      <c r="D106">
        <v>900911</v>
      </c>
      <c r="E106">
        <v>1988</v>
      </c>
      <c r="F106">
        <v>0</v>
      </c>
      <c r="G106">
        <v>275565227</v>
      </c>
      <c r="H106">
        <v>3575063</v>
      </c>
      <c r="I106">
        <v>27199</v>
      </c>
      <c r="J106">
        <v>2706596</v>
      </c>
      <c r="K106">
        <v>36110</v>
      </c>
      <c r="L106" t="s">
        <v>936</v>
      </c>
      <c r="M106" t="s">
        <v>940</v>
      </c>
    </row>
    <row r="107" spans="1:13" x14ac:dyDescent="0.3">
      <c r="A107" t="s">
        <v>976</v>
      </c>
      <c r="B107">
        <v>106</v>
      </c>
      <c r="C107">
        <v>35158901</v>
      </c>
      <c r="D107">
        <v>728724</v>
      </c>
      <c r="E107">
        <v>750</v>
      </c>
      <c r="F107">
        <v>1522686</v>
      </c>
      <c r="G107">
        <v>265547385</v>
      </c>
      <c r="H107">
        <v>3320052</v>
      </c>
      <c r="I107">
        <v>18522</v>
      </c>
      <c r="J107">
        <v>8905273</v>
      </c>
      <c r="K107">
        <v>38860</v>
      </c>
      <c r="L107" t="s">
        <v>936</v>
      </c>
      <c r="M107" t="s">
        <v>942</v>
      </c>
    </row>
    <row r="108" spans="1:13" x14ac:dyDescent="0.3">
      <c r="A108" t="s">
        <v>970</v>
      </c>
      <c r="B108">
        <v>107</v>
      </c>
      <c r="C108">
        <v>17853388</v>
      </c>
      <c r="D108">
        <v>404428</v>
      </c>
      <c r="E108">
        <v>2600</v>
      </c>
      <c r="F108">
        <v>0</v>
      </c>
      <c r="G108">
        <v>223056555</v>
      </c>
      <c r="H108">
        <v>2768787</v>
      </c>
      <c r="I108">
        <v>49317</v>
      </c>
      <c r="J108">
        <v>9585335</v>
      </c>
      <c r="K108">
        <v>33900</v>
      </c>
      <c r="L108" t="s">
        <v>936</v>
      </c>
      <c r="M108" t="s">
        <v>939</v>
      </c>
    </row>
    <row r="109" spans="1:13" x14ac:dyDescent="0.3">
      <c r="A109" t="s">
        <v>969</v>
      </c>
      <c r="B109">
        <v>108</v>
      </c>
      <c r="C109">
        <v>46379236</v>
      </c>
      <c r="D109">
        <v>626327</v>
      </c>
      <c r="E109">
        <v>0</v>
      </c>
      <c r="F109">
        <v>0</v>
      </c>
      <c r="G109">
        <v>308631440</v>
      </c>
      <c r="H109">
        <v>2971068</v>
      </c>
      <c r="I109">
        <v>28126</v>
      </c>
      <c r="J109">
        <v>17338769</v>
      </c>
      <c r="K109">
        <v>33920</v>
      </c>
      <c r="L109" t="s">
        <v>936</v>
      </c>
      <c r="M109" t="s">
        <v>946</v>
      </c>
    </row>
    <row r="110" spans="1:13" x14ac:dyDescent="0.3">
      <c r="A110" t="s">
        <v>824</v>
      </c>
      <c r="B110">
        <v>109</v>
      </c>
      <c r="C110">
        <v>46397119</v>
      </c>
      <c r="D110">
        <v>570742</v>
      </c>
      <c r="E110">
        <v>4451</v>
      </c>
      <c r="F110">
        <v>0</v>
      </c>
      <c r="G110">
        <v>253329560</v>
      </c>
      <c r="H110">
        <v>2814593</v>
      </c>
      <c r="I110">
        <v>5856</v>
      </c>
      <c r="J110">
        <v>5042586</v>
      </c>
      <c r="K110">
        <v>33673</v>
      </c>
      <c r="L110" t="s">
        <v>936</v>
      </c>
      <c r="M110" t="s">
        <v>959</v>
      </c>
    </row>
    <row r="111" spans="1:13" x14ac:dyDescent="0.3">
      <c r="A111" t="s">
        <v>956</v>
      </c>
      <c r="B111">
        <v>110</v>
      </c>
      <c r="C111">
        <v>56174240</v>
      </c>
      <c r="D111">
        <v>867623</v>
      </c>
      <c r="E111">
        <v>26556</v>
      </c>
      <c r="F111">
        <v>0</v>
      </c>
      <c r="G111">
        <v>236945341</v>
      </c>
      <c r="H111">
        <v>3206675</v>
      </c>
      <c r="I111">
        <v>105593</v>
      </c>
      <c r="J111">
        <v>8448987</v>
      </c>
      <c r="K111">
        <v>34316</v>
      </c>
      <c r="L111" t="s">
        <v>936</v>
      </c>
      <c r="M111" t="s">
        <v>942</v>
      </c>
    </row>
    <row r="112" spans="1:13" x14ac:dyDescent="0.3">
      <c r="A112" t="s">
        <v>958</v>
      </c>
      <c r="B112">
        <v>111</v>
      </c>
      <c r="C112">
        <v>48775792</v>
      </c>
      <c r="D112">
        <v>836588</v>
      </c>
      <c r="E112">
        <v>350</v>
      </c>
      <c r="F112">
        <v>0</v>
      </c>
      <c r="G112">
        <v>238981194</v>
      </c>
      <c r="H112">
        <v>3093567</v>
      </c>
      <c r="I112">
        <v>15948</v>
      </c>
      <c r="J112">
        <v>4317550</v>
      </c>
      <c r="K112">
        <v>41600</v>
      </c>
      <c r="L112" t="s">
        <v>936</v>
      </c>
      <c r="M112" t="s">
        <v>945</v>
      </c>
    </row>
    <row r="113" spans="1:13" x14ac:dyDescent="0.3">
      <c r="A113" t="s">
        <v>603</v>
      </c>
      <c r="B113">
        <v>112</v>
      </c>
      <c r="C113">
        <v>37132232</v>
      </c>
      <c r="D113">
        <v>751044</v>
      </c>
      <c r="E113">
        <v>902</v>
      </c>
      <c r="F113">
        <v>0</v>
      </c>
      <c r="G113">
        <v>238324069</v>
      </c>
      <c r="H113">
        <v>3162913</v>
      </c>
      <c r="I113">
        <v>40713</v>
      </c>
      <c r="J113">
        <v>5309261</v>
      </c>
      <c r="K113">
        <v>32700</v>
      </c>
      <c r="L113" t="s">
        <v>936</v>
      </c>
      <c r="M113" t="s">
        <v>945</v>
      </c>
    </row>
    <row r="114" spans="1:13" x14ac:dyDescent="0.3">
      <c r="A114" t="s">
        <v>829</v>
      </c>
      <c r="B114">
        <v>113</v>
      </c>
      <c r="C114">
        <v>59889833</v>
      </c>
      <c r="D114">
        <v>829277</v>
      </c>
      <c r="E114">
        <v>151</v>
      </c>
      <c r="F114">
        <v>0</v>
      </c>
      <c r="G114">
        <v>387254618</v>
      </c>
      <c r="H114">
        <v>3374235</v>
      </c>
      <c r="I114">
        <v>37907</v>
      </c>
      <c r="J114">
        <v>2736506</v>
      </c>
      <c r="K114">
        <v>49285</v>
      </c>
      <c r="L114" t="s">
        <v>936</v>
      </c>
      <c r="M114" t="s">
        <v>944</v>
      </c>
    </row>
    <row r="115" spans="1:13" x14ac:dyDescent="0.3">
      <c r="A115" t="s">
        <v>827</v>
      </c>
      <c r="B115">
        <v>114</v>
      </c>
      <c r="C115">
        <v>31952916</v>
      </c>
      <c r="D115">
        <v>716240</v>
      </c>
      <c r="E115">
        <v>87</v>
      </c>
      <c r="F115">
        <v>0</v>
      </c>
      <c r="G115">
        <v>241341681</v>
      </c>
      <c r="H115">
        <v>2960938</v>
      </c>
      <c r="I115">
        <v>36746</v>
      </c>
      <c r="J115">
        <v>3415801</v>
      </c>
      <c r="K115">
        <v>37980</v>
      </c>
      <c r="L115" t="s">
        <v>936</v>
      </c>
      <c r="M115" t="s">
        <v>946</v>
      </c>
    </row>
    <row r="116" spans="1:13" x14ac:dyDescent="0.3">
      <c r="A116" t="s">
        <v>967</v>
      </c>
      <c r="B116">
        <v>115</v>
      </c>
      <c r="C116">
        <v>44019811</v>
      </c>
      <c r="D116">
        <v>653240</v>
      </c>
      <c r="E116">
        <v>350</v>
      </c>
      <c r="F116">
        <v>0</v>
      </c>
      <c r="G116">
        <v>326413802</v>
      </c>
      <c r="H116">
        <v>3246726</v>
      </c>
      <c r="I116">
        <v>32145</v>
      </c>
      <c r="J116">
        <v>3722185</v>
      </c>
      <c r="K116">
        <v>44830</v>
      </c>
      <c r="L116" t="s">
        <v>936</v>
      </c>
      <c r="M116" t="s">
        <v>942</v>
      </c>
    </row>
    <row r="117" spans="1:13" x14ac:dyDescent="0.3">
      <c r="A117" t="s">
        <v>830</v>
      </c>
      <c r="B117">
        <v>116</v>
      </c>
      <c r="C117">
        <v>40671067</v>
      </c>
      <c r="D117">
        <v>774968</v>
      </c>
      <c r="E117">
        <v>8050</v>
      </c>
      <c r="F117">
        <v>0</v>
      </c>
      <c r="G117">
        <v>229672240</v>
      </c>
      <c r="H117">
        <v>2992779</v>
      </c>
      <c r="I117">
        <v>59409</v>
      </c>
      <c r="J117">
        <v>4167307</v>
      </c>
      <c r="K117">
        <v>26970</v>
      </c>
      <c r="L117" t="s">
        <v>936</v>
      </c>
      <c r="M117" t="s">
        <v>945</v>
      </c>
    </row>
    <row r="118" spans="1:13" x14ac:dyDescent="0.3">
      <c r="A118" t="s">
        <v>834</v>
      </c>
      <c r="B118">
        <v>117</v>
      </c>
      <c r="C118">
        <v>53559387</v>
      </c>
      <c r="D118">
        <v>860564</v>
      </c>
      <c r="E118">
        <v>602</v>
      </c>
      <c r="F118">
        <v>0</v>
      </c>
      <c r="G118">
        <v>263812802</v>
      </c>
      <c r="H118">
        <v>3104978</v>
      </c>
      <c r="I118">
        <v>5345</v>
      </c>
      <c r="J118">
        <v>8914326</v>
      </c>
      <c r="K118">
        <v>31743</v>
      </c>
      <c r="L118" t="s">
        <v>936</v>
      </c>
      <c r="M118" t="s">
        <v>937</v>
      </c>
    </row>
    <row r="119" spans="1:13" x14ac:dyDescent="0.3">
      <c r="A119" t="s">
        <v>833</v>
      </c>
      <c r="B119">
        <v>118</v>
      </c>
      <c r="C119">
        <v>74930564</v>
      </c>
      <c r="D119">
        <v>767878</v>
      </c>
      <c r="E119">
        <v>11700</v>
      </c>
      <c r="F119">
        <v>0</v>
      </c>
      <c r="G119">
        <v>324969440</v>
      </c>
      <c r="H119">
        <v>2980728</v>
      </c>
      <c r="I119">
        <v>53124</v>
      </c>
      <c r="J119">
        <v>2144170</v>
      </c>
      <c r="K119">
        <v>43690</v>
      </c>
      <c r="L119" t="s">
        <v>936</v>
      </c>
      <c r="M119" t="s">
        <v>944</v>
      </c>
    </row>
    <row r="120" spans="1:13" x14ac:dyDescent="0.3">
      <c r="A120" t="s">
        <v>963</v>
      </c>
      <c r="B120">
        <v>119</v>
      </c>
      <c r="C120">
        <v>31859999</v>
      </c>
      <c r="D120">
        <v>676895</v>
      </c>
      <c r="E120">
        <v>1701</v>
      </c>
      <c r="F120">
        <v>0</v>
      </c>
      <c r="G120">
        <v>290384344</v>
      </c>
      <c r="H120">
        <v>2875313</v>
      </c>
      <c r="I120">
        <v>50870</v>
      </c>
      <c r="J120">
        <v>3449800</v>
      </c>
      <c r="K120">
        <v>31360</v>
      </c>
      <c r="L120" t="s">
        <v>936</v>
      </c>
      <c r="M120" t="s">
        <v>946</v>
      </c>
    </row>
    <row r="121" spans="1:13" x14ac:dyDescent="0.3">
      <c r="A121" t="s">
        <v>828</v>
      </c>
      <c r="B121">
        <v>120</v>
      </c>
      <c r="C121">
        <v>34050284</v>
      </c>
      <c r="D121">
        <v>555771</v>
      </c>
      <c r="E121">
        <v>13500</v>
      </c>
      <c r="F121">
        <v>0</v>
      </c>
      <c r="G121">
        <v>228407519</v>
      </c>
      <c r="H121">
        <v>2658516</v>
      </c>
      <c r="I121">
        <v>65201</v>
      </c>
      <c r="J121">
        <v>13759215</v>
      </c>
      <c r="K121">
        <v>34503</v>
      </c>
      <c r="L121" t="s">
        <v>936</v>
      </c>
      <c r="M121" t="s">
        <v>946</v>
      </c>
    </row>
    <row r="122" spans="1:13" x14ac:dyDescent="0.3">
      <c r="A122" t="s">
        <v>837</v>
      </c>
      <c r="B122">
        <v>121</v>
      </c>
      <c r="C122">
        <v>61539442</v>
      </c>
      <c r="D122">
        <v>960998</v>
      </c>
      <c r="E122">
        <v>350</v>
      </c>
      <c r="F122">
        <v>1818888</v>
      </c>
      <c r="G122">
        <v>277399595</v>
      </c>
      <c r="H122">
        <v>2903153</v>
      </c>
      <c r="I122">
        <v>34497</v>
      </c>
      <c r="J122">
        <v>11047709</v>
      </c>
      <c r="K122">
        <v>33953</v>
      </c>
      <c r="L122" t="s">
        <v>936</v>
      </c>
      <c r="M122" t="s">
        <v>937</v>
      </c>
    </row>
    <row r="123" spans="1:13" x14ac:dyDescent="0.3">
      <c r="A123" t="s">
        <v>971</v>
      </c>
      <c r="B123">
        <v>122</v>
      </c>
      <c r="C123">
        <v>35747981</v>
      </c>
      <c r="D123">
        <v>635613</v>
      </c>
      <c r="E123">
        <v>400</v>
      </c>
      <c r="F123">
        <v>0</v>
      </c>
      <c r="G123">
        <v>258472982</v>
      </c>
      <c r="H123">
        <v>2690004</v>
      </c>
      <c r="I123">
        <v>32801</v>
      </c>
      <c r="J123">
        <v>3579744</v>
      </c>
      <c r="K123">
        <v>35430</v>
      </c>
      <c r="L123" t="s">
        <v>936</v>
      </c>
      <c r="M123" t="s">
        <v>942</v>
      </c>
    </row>
    <row r="124" spans="1:13" x14ac:dyDescent="0.3">
      <c r="A124" t="s">
        <v>836</v>
      </c>
      <c r="B124">
        <v>123</v>
      </c>
      <c r="C124">
        <v>39494489</v>
      </c>
      <c r="D124">
        <v>789426</v>
      </c>
      <c r="E124">
        <v>0</v>
      </c>
      <c r="F124">
        <v>0</v>
      </c>
      <c r="G124">
        <v>299783768</v>
      </c>
      <c r="H124">
        <v>2826240</v>
      </c>
      <c r="I124">
        <v>22159</v>
      </c>
      <c r="J124">
        <v>3937082</v>
      </c>
      <c r="K124">
        <v>39120</v>
      </c>
      <c r="L124" t="s">
        <v>936</v>
      </c>
      <c r="M124" t="s">
        <v>940</v>
      </c>
    </row>
    <row r="125" spans="1:13" x14ac:dyDescent="0.3">
      <c r="A125" t="s">
        <v>832</v>
      </c>
      <c r="B125">
        <v>124</v>
      </c>
      <c r="C125">
        <v>23845614</v>
      </c>
      <c r="D125">
        <v>501122</v>
      </c>
      <c r="E125">
        <v>13500</v>
      </c>
      <c r="F125">
        <v>0</v>
      </c>
      <c r="G125">
        <v>223070903</v>
      </c>
      <c r="H125">
        <v>2474306</v>
      </c>
      <c r="I125">
        <v>105852</v>
      </c>
      <c r="J125">
        <v>47067969</v>
      </c>
      <c r="K125">
        <v>30350</v>
      </c>
      <c r="L125" t="s">
        <v>936</v>
      </c>
      <c r="M125" t="s">
        <v>946</v>
      </c>
    </row>
    <row r="126" spans="1:13" x14ac:dyDescent="0.3">
      <c r="A126" t="s">
        <v>838</v>
      </c>
      <c r="B126">
        <v>125</v>
      </c>
      <c r="C126">
        <v>38865502</v>
      </c>
      <c r="D126">
        <v>696824</v>
      </c>
      <c r="E126">
        <v>740</v>
      </c>
      <c r="F126">
        <v>935880</v>
      </c>
      <c r="G126">
        <v>228285309</v>
      </c>
      <c r="H126">
        <v>2736198</v>
      </c>
      <c r="I126">
        <v>45920</v>
      </c>
      <c r="J126">
        <v>5152246</v>
      </c>
      <c r="K126">
        <v>34810</v>
      </c>
      <c r="L126" t="s">
        <v>936</v>
      </c>
      <c r="M126" t="s">
        <v>942</v>
      </c>
    </row>
    <row r="127" spans="1:13" x14ac:dyDescent="0.3">
      <c r="A127" t="s">
        <v>831</v>
      </c>
      <c r="B127">
        <v>126</v>
      </c>
      <c r="C127">
        <v>17882305</v>
      </c>
      <c r="D127">
        <v>374580</v>
      </c>
      <c r="E127">
        <v>3050</v>
      </c>
      <c r="F127">
        <v>18568325</v>
      </c>
      <c r="G127">
        <v>215506719</v>
      </c>
      <c r="H127">
        <v>2300484</v>
      </c>
      <c r="I127">
        <v>75527</v>
      </c>
      <c r="J127">
        <v>47843901</v>
      </c>
      <c r="K127">
        <v>32266</v>
      </c>
      <c r="L127" t="s">
        <v>936</v>
      </c>
      <c r="M127" t="s">
        <v>940</v>
      </c>
    </row>
    <row r="128" spans="1:13" x14ac:dyDescent="0.3">
      <c r="A128" t="s">
        <v>839</v>
      </c>
      <c r="B128">
        <v>127</v>
      </c>
      <c r="C128">
        <v>44181901</v>
      </c>
      <c r="D128">
        <v>789349</v>
      </c>
      <c r="E128">
        <v>5776</v>
      </c>
      <c r="F128">
        <v>0</v>
      </c>
      <c r="G128">
        <v>295810768</v>
      </c>
      <c r="H128">
        <v>2920469</v>
      </c>
      <c r="I128">
        <v>46430</v>
      </c>
      <c r="J128">
        <v>2529773</v>
      </c>
      <c r="K128">
        <v>39599</v>
      </c>
      <c r="L128" t="s">
        <v>936</v>
      </c>
      <c r="M128" t="s">
        <v>942</v>
      </c>
    </row>
    <row r="129" spans="1:13" x14ac:dyDescent="0.3">
      <c r="A129" t="s">
        <v>840</v>
      </c>
      <c r="B129">
        <v>128</v>
      </c>
      <c r="C129">
        <v>38786354</v>
      </c>
      <c r="D129">
        <v>632533</v>
      </c>
      <c r="E129">
        <v>404</v>
      </c>
      <c r="F129">
        <v>0</v>
      </c>
      <c r="G129">
        <v>222484359</v>
      </c>
      <c r="H129">
        <v>2624328</v>
      </c>
      <c r="I129">
        <v>24709</v>
      </c>
      <c r="J129">
        <v>7092507</v>
      </c>
      <c r="K129">
        <v>35450</v>
      </c>
      <c r="L129" t="s">
        <v>936</v>
      </c>
      <c r="M129" t="s">
        <v>937</v>
      </c>
    </row>
    <row r="130" spans="1:13" x14ac:dyDescent="0.3">
      <c r="A130" t="s">
        <v>835</v>
      </c>
      <c r="B130">
        <v>129</v>
      </c>
      <c r="C130">
        <v>29354566</v>
      </c>
      <c r="D130">
        <v>338010</v>
      </c>
      <c r="E130">
        <v>0</v>
      </c>
      <c r="F130">
        <v>0</v>
      </c>
      <c r="G130">
        <v>254273581</v>
      </c>
      <c r="H130">
        <v>2247330</v>
      </c>
      <c r="I130">
        <v>32568</v>
      </c>
      <c r="J130">
        <v>4525150</v>
      </c>
      <c r="K130">
        <v>36713</v>
      </c>
      <c r="L130" t="s">
        <v>936</v>
      </c>
      <c r="M130" t="s">
        <v>944</v>
      </c>
    </row>
    <row r="131" spans="1:13" x14ac:dyDescent="0.3">
      <c r="A131" t="s">
        <v>845</v>
      </c>
      <c r="B131">
        <v>130</v>
      </c>
      <c r="C131">
        <v>53752897</v>
      </c>
      <c r="D131">
        <v>730196</v>
      </c>
      <c r="E131">
        <v>0</v>
      </c>
      <c r="F131">
        <v>0</v>
      </c>
      <c r="G131">
        <v>279887308</v>
      </c>
      <c r="H131">
        <v>2517130</v>
      </c>
      <c r="I131">
        <v>35605</v>
      </c>
      <c r="J131">
        <v>20487871</v>
      </c>
      <c r="K131">
        <v>38523</v>
      </c>
      <c r="L131" t="s">
        <v>936</v>
      </c>
      <c r="M131" t="s">
        <v>944</v>
      </c>
    </row>
    <row r="132" spans="1:13" x14ac:dyDescent="0.3">
      <c r="A132" t="s">
        <v>841</v>
      </c>
      <c r="B132">
        <v>131</v>
      </c>
      <c r="C132">
        <v>42740693</v>
      </c>
      <c r="D132">
        <v>578960</v>
      </c>
      <c r="E132">
        <v>21600</v>
      </c>
      <c r="F132">
        <v>1332616</v>
      </c>
      <c r="G132">
        <v>182361672</v>
      </c>
      <c r="H132">
        <v>2493293</v>
      </c>
      <c r="I132">
        <v>79503</v>
      </c>
      <c r="J132">
        <v>37062837</v>
      </c>
      <c r="K132">
        <v>30390</v>
      </c>
      <c r="L132" t="s">
        <v>936</v>
      </c>
      <c r="M132" t="s">
        <v>945</v>
      </c>
    </row>
    <row r="133" spans="1:13" x14ac:dyDescent="0.3">
      <c r="A133" t="s">
        <v>604</v>
      </c>
      <c r="B133">
        <v>132</v>
      </c>
      <c r="C133">
        <v>25845281</v>
      </c>
      <c r="D133">
        <v>532847</v>
      </c>
      <c r="E133">
        <v>350</v>
      </c>
      <c r="F133">
        <v>1776948</v>
      </c>
      <c r="G133">
        <v>255430048</v>
      </c>
      <c r="H133">
        <v>2380478</v>
      </c>
      <c r="I133">
        <v>25331</v>
      </c>
      <c r="J133">
        <v>8601549</v>
      </c>
      <c r="K133">
        <v>30703</v>
      </c>
      <c r="L133" t="s">
        <v>936</v>
      </c>
      <c r="M133" t="s">
        <v>945</v>
      </c>
    </row>
    <row r="134" spans="1:13" x14ac:dyDescent="0.3">
      <c r="A134" t="s">
        <v>843</v>
      </c>
      <c r="B134">
        <v>133</v>
      </c>
      <c r="C134">
        <v>31698253</v>
      </c>
      <c r="D134">
        <v>616629</v>
      </c>
      <c r="E134">
        <v>5029</v>
      </c>
      <c r="F134">
        <v>0</v>
      </c>
      <c r="G134">
        <v>208029131</v>
      </c>
      <c r="H134">
        <v>2556713</v>
      </c>
      <c r="I134">
        <v>56290</v>
      </c>
      <c r="J134">
        <v>3519551</v>
      </c>
      <c r="K134">
        <v>34763</v>
      </c>
      <c r="L134" t="s">
        <v>936</v>
      </c>
      <c r="M134" t="s">
        <v>962</v>
      </c>
    </row>
    <row r="135" spans="1:13" x14ac:dyDescent="0.3">
      <c r="A135" t="s">
        <v>965</v>
      </c>
      <c r="B135">
        <v>134</v>
      </c>
      <c r="C135">
        <v>29629040</v>
      </c>
      <c r="D135">
        <v>659126</v>
      </c>
      <c r="E135">
        <v>2694</v>
      </c>
      <c r="F135">
        <v>0</v>
      </c>
      <c r="G135">
        <v>218182989</v>
      </c>
      <c r="H135">
        <v>2451903</v>
      </c>
      <c r="I135">
        <v>51510</v>
      </c>
      <c r="J135">
        <v>2946859</v>
      </c>
      <c r="K135">
        <v>36013</v>
      </c>
      <c r="L135" t="s">
        <v>936</v>
      </c>
      <c r="M135" t="s">
        <v>942</v>
      </c>
    </row>
    <row r="136" spans="1:13" x14ac:dyDescent="0.3">
      <c r="A136" t="s">
        <v>846</v>
      </c>
      <c r="B136">
        <v>135</v>
      </c>
      <c r="C136">
        <v>44256806</v>
      </c>
      <c r="D136">
        <v>625439</v>
      </c>
      <c r="E136">
        <v>22897</v>
      </c>
      <c r="F136">
        <v>0</v>
      </c>
      <c r="G136">
        <v>231611373</v>
      </c>
      <c r="H136">
        <v>2439281</v>
      </c>
      <c r="I136">
        <v>130610</v>
      </c>
      <c r="J136">
        <v>3654670</v>
      </c>
      <c r="K136">
        <v>33890</v>
      </c>
      <c r="L136" t="s">
        <v>936</v>
      </c>
      <c r="M136" t="s">
        <v>942</v>
      </c>
    </row>
    <row r="137" spans="1:13" x14ac:dyDescent="0.3">
      <c r="A137" t="s">
        <v>849</v>
      </c>
      <c r="B137">
        <v>136</v>
      </c>
      <c r="C137">
        <v>60608135</v>
      </c>
      <c r="D137">
        <v>679973</v>
      </c>
      <c r="E137">
        <v>760</v>
      </c>
      <c r="F137">
        <v>0</v>
      </c>
      <c r="G137">
        <v>363492576</v>
      </c>
      <c r="H137">
        <v>2334540</v>
      </c>
      <c r="I137">
        <v>19742</v>
      </c>
      <c r="J137">
        <v>4192603</v>
      </c>
      <c r="K137">
        <v>38350</v>
      </c>
      <c r="L137" t="s">
        <v>936</v>
      </c>
      <c r="M137" t="s">
        <v>937</v>
      </c>
    </row>
    <row r="138" spans="1:13" x14ac:dyDescent="0.3">
      <c r="A138" t="s">
        <v>974</v>
      </c>
      <c r="B138">
        <v>137</v>
      </c>
      <c r="C138">
        <v>30124826</v>
      </c>
      <c r="D138">
        <v>650206</v>
      </c>
      <c r="E138">
        <v>1140</v>
      </c>
      <c r="F138">
        <v>5603734</v>
      </c>
      <c r="G138">
        <v>230605632</v>
      </c>
      <c r="H138">
        <v>2455127</v>
      </c>
      <c r="I138">
        <v>23976</v>
      </c>
      <c r="J138">
        <v>12114174</v>
      </c>
      <c r="K138">
        <v>40140</v>
      </c>
      <c r="L138" t="s">
        <v>936</v>
      </c>
      <c r="M138" t="s">
        <v>942</v>
      </c>
    </row>
    <row r="139" spans="1:13" x14ac:dyDescent="0.3">
      <c r="A139" t="s">
        <v>848</v>
      </c>
      <c r="B139">
        <v>138</v>
      </c>
      <c r="C139">
        <v>30046900</v>
      </c>
      <c r="D139">
        <v>640536</v>
      </c>
      <c r="E139">
        <v>14933</v>
      </c>
      <c r="F139">
        <v>0</v>
      </c>
      <c r="G139">
        <v>223106228</v>
      </c>
      <c r="H139">
        <v>2457400</v>
      </c>
      <c r="I139">
        <v>55970</v>
      </c>
      <c r="J139">
        <v>6223868</v>
      </c>
      <c r="K139">
        <v>36773</v>
      </c>
      <c r="L139" t="s">
        <v>987</v>
      </c>
      <c r="M139" t="s">
        <v>945</v>
      </c>
    </row>
    <row r="140" spans="1:13" x14ac:dyDescent="0.3">
      <c r="A140" t="s">
        <v>857</v>
      </c>
      <c r="B140">
        <v>139</v>
      </c>
      <c r="C140">
        <v>42009468</v>
      </c>
      <c r="D140">
        <v>706129</v>
      </c>
      <c r="E140">
        <v>643</v>
      </c>
      <c r="F140">
        <v>0</v>
      </c>
      <c r="G140">
        <v>240385543</v>
      </c>
      <c r="H140">
        <v>2336093</v>
      </c>
      <c r="I140">
        <v>18214</v>
      </c>
      <c r="J140">
        <v>3835056</v>
      </c>
      <c r="K140">
        <v>41223</v>
      </c>
      <c r="L140" t="s">
        <v>936</v>
      </c>
      <c r="M140" t="s">
        <v>962</v>
      </c>
    </row>
    <row r="141" spans="1:13" x14ac:dyDescent="0.3">
      <c r="A141" t="s">
        <v>844</v>
      </c>
      <c r="B141">
        <v>140</v>
      </c>
      <c r="C141">
        <v>38725374</v>
      </c>
      <c r="D141">
        <v>488630</v>
      </c>
      <c r="E141">
        <v>6225</v>
      </c>
      <c r="F141">
        <v>0</v>
      </c>
      <c r="G141">
        <v>256606827</v>
      </c>
      <c r="H141">
        <v>2334964</v>
      </c>
      <c r="I141">
        <v>51579</v>
      </c>
      <c r="J141">
        <v>9247747</v>
      </c>
      <c r="K141">
        <v>34138</v>
      </c>
      <c r="L141" t="s">
        <v>987</v>
      </c>
      <c r="M141" t="s">
        <v>939</v>
      </c>
    </row>
    <row r="142" spans="1:13" x14ac:dyDescent="0.3">
      <c r="A142" t="s">
        <v>855</v>
      </c>
      <c r="B142">
        <v>141</v>
      </c>
      <c r="C142">
        <v>46520696</v>
      </c>
      <c r="D142">
        <v>687443</v>
      </c>
      <c r="E142">
        <v>754</v>
      </c>
      <c r="F142">
        <v>0</v>
      </c>
      <c r="G142">
        <v>231508462</v>
      </c>
      <c r="H142">
        <v>2225024</v>
      </c>
      <c r="I142">
        <v>37586</v>
      </c>
      <c r="J142">
        <v>3571075</v>
      </c>
      <c r="K142">
        <v>37523</v>
      </c>
      <c r="L142" t="s">
        <v>936</v>
      </c>
      <c r="M142" t="s">
        <v>940</v>
      </c>
    </row>
    <row r="143" spans="1:13" x14ac:dyDescent="0.3">
      <c r="A143" t="s">
        <v>842</v>
      </c>
      <c r="B143">
        <v>142</v>
      </c>
      <c r="C143">
        <v>15534363</v>
      </c>
      <c r="D143">
        <v>186685</v>
      </c>
      <c r="E143">
        <v>3950</v>
      </c>
      <c r="F143">
        <v>0</v>
      </c>
      <c r="G143">
        <v>214549052</v>
      </c>
      <c r="H143">
        <v>1787312</v>
      </c>
      <c r="I143">
        <v>85466</v>
      </c>
      <c r="J143">
        <v>3770795</v>
      </c>
      <c r="K143">
        <v>36840</v>
      </c>
      <c r="L143" t="s">
        <v>936</v>
      </c>
      <c r="M143" t="s">
        <v>946</v>
      </c>
    </row>
    <row r="144" spans="1:13" x14ac:dyDescent="0.3">
      <c r="A144" t="s">
        <v>966</v>
      </c>
      <c r="B144">
        <v>143</v>
      </c>
      <c r="C144">
        <v>37667148</v>
      </c>
      <c r="D144">
        <v>785002</v>
      </c>
      <c r="E144">
        <v>408</v>
      </c>
      <c r="F144">
        <v>2030326</v>
      </c>
      <c r="G144">
        <v>239247866</v>
      </c>
      <c r="H144">
        <v>2467647</v>
      </c>
      <c r="I144">
        <v>6084</v>
      </c>
      <c r="J144">
        <v>8821778</v>
      </c>
      <c r="K144">
        <v>40810</v>
      </c>
      <c r="L144" t="s">
        <v>936</v>
      </c>
      <c r="M144" t="s">
        <v>940</v>
      </c>
    </row>
    <row r="145" spans="1:13" x14ac:dyDescent="0.3">
      <c r="A145" t="s">
        <v>847</v>
      </c>
      <c r="B145">
        <v>144</v>
      </c>
      <c r="C145">
        <v>79044984</v>
      </c>
      <c r="D145">
        <v>373275</v>
      </c>
      <c r="E145">
        <v>0</v>
      </c>
      <c r="F145">
        <v>0</v>
      </c>
      <c r="G145">
        <v>240009873</v>
      </c>
      <c r="H145">
        <v>2109016</v>
      </c>
      <c r="I145">
        <v>42681</v>
      </c>
      <c r="J145">
        <v>3573341</v>
      </c>
      <c r="K145">
        <v>31353</v>
      </c>
      <c r="L145" t="s">
        <v>936</v>
      </c>
      <c r="M145" t="s">
        <v>937</v>
      </c>
    </row>
    <row r="146" spans="1:13" x14ac:dyDescent="0.3">
      <c r="A146" t="s">
        <v>852</v>
      </c>
      <c r="B146">
        <v>145</v>
      </c>
      <c r="C146">
        <v>37507410</v>
      </c>
      <c r="D146">
        <v>514691</v>
      </c>
      <c r="E146">
        <v>552</v>
      </c>
      <c r="F146">
        <v>0</v>
      </c>
      <c r="G146">
        <v>207610459</v>
      </c>
      <c r="H146">
        <v>2168683</v>
      </c>
      <c r="I146">
        <v>17044</v>
      </c>
      <c r="J146">
        <v>3417438</v>
      </c>
      <c r="K146">
        <v>34020</v>
      </c>
      <c r="L146" t="s">
        <v>936</v>
      </c>
      <c r="M146" t="s">
        <v>940</v>
      </c>
    </row>
    <row r="147" spans="1:13" x14ac:dyDescent="0.3">
      <c r="A147" t="s">
        <v>859</v>
      </c>
      <c r="B147">
        <v>146</v>
      </c>
      <c r="C147">
        <v>54351059</v>
      </c>
      <c r="D147">
        <v>632539</v>
      </c>
      <c r="E147">
        <v>9584</v>
      </c>
      <c r="F147">
        <v>0</v>
      </c>
      <c r="G147">
        <v>276032919</v>
      </c>
      <c r="H147">
        <v>2319970</v>
      </c>
      <c r="I147">
        <v>28559</v>
      </c>
      <c r="J147">
        <v>5374699</v>
      </c>
      <c r="K147">
        <v>38805</v>
      </c>
      <c r="L147" t="s">
        <v>936</v>
      </c>
      <c r="M147" t="s">
        <v>962</v>
      </c>
    </row>
    <row r="148" spans="1:13" x14ac:dyDescent="0.3">
      <c r="A148" t="s">
        <v>850</v>
      </c>
      <c r="B148">
        <v>147</v>
      </c>
      <c r="C148">
        <v>17895432</v>
      </c>
      <c r="D148">
        <v>346443</v>
      </c>
      <c r="E148">
        <v>700</v>
      </c>
      <c r="F148">
        <v>0</v>
      </c>
      <c r="G148">
        <v>177656694</v>
      </c>
      <c r="H148">
        <v>1947362</v>
      </c>
      <c r="I148">
        <v>40028</v>
      </c>
      <c r="J148">
        <v>2328448</v>
      </c>
      <c r="K148">
        <v>30740</v>
      </c>
      <c r="L148" t="s">
        <v>936</v>
      </c>
      <c r="M148" t="s">
        <v>944</v>
      </c>
    </row>
    <row r="149" spans="1:13" x14ac:dyDescent="0.3">
      <c r="A149" t="s">
        <v>851</v>
      </c>
      <c r="B149">
        <v>148</v>
      </c>
      <c r="C149">
        <v>20248678</v>
      </c>
      <c r="D149">
        <v>378591</v>
      </c>
      <c r="E149">
        <v>12600</v>
      </c>
      <c r="F149">
        <v>0</v>
      </c>
      <c r="G149">
        <v>165525457</v>
      </c>
      <c r="H149">
        <v>1889034</v>
      </c>
      <c r="I149">
        <v>49970</v>
      </c>
      <c r="J149">
        <v>4801442</v>
      </c>
      <c r="K149">
        <v>30640</v>
      </c>
      <c r="L149" t="s">
        <v>936</v>
      </c>
      <c r="M149" t="s">
        <v>940</v>
      </c>
    </row>
    <row r="150" spans="1:13" x14ac:dyDescent="0.3">
      <c r="A150" t="s">
        <v>853</v>
      </c>
      <c r="B150">
        <v>149</v>
      </c>
      <c r="C150">
        <v>35148841</v>
      </c>
      <c r="D150">
        <v>398864</v>
      </c>
      <c r="E150">
        <v>0</v>
      </c>
      <c r="F150">
        <v>0</v>
      </c>
      <c r="G150">
        <v>176583944</v>
      </c>
      <c r="H150">
        <v>1880482</v>
      </c>
      <c r="I150">
        <v>36309</v>
      </c>
      <c r="J150">
        <v>53580116</v>
      </c>
      <c r="K150">
        <v>30813</v>
      </c>
      <c r="L150" t="s">
        <v>936</v>
      </c>
      <c r="M150" t="s">
        <v>943</v>
      </c>
    </row>
    <row r="151" spans="1:13" x14ac:dyDescent="0.3">
      <c r="A151" t="s">
        <v>864</v>
      </c>
      <c r="B151">
        <v>150</v>
      </c>
      <c r="C151">
        <v>53601391</v>
      </c>
      <c r="D151">
        <v>813609</v>
      </c>
      <c r="E151">
        <v>1190</v>
      </c>
      <c r="F151">
        <v>0</v>
      </c>
      <c r="G151">
        <v>242452808</v>
      </c>
      <c r="H151">
        <v>2330270</v>
      </c>
      <c r="I151">
        <v>15455</v>
      </c>
      <c r="J151">
        <v>3144058</v>
      </c>
      <c r="K151">
        <v>43253</v>
      </c>
      <c r="L151" t="s">
        <v>936</v>
      </c>
      <c r="M151" t="s">
        <v>937</v>
      </c>
    </row>
    <row r="152" spans="1:13" x14ac:dyDescent="0.3">
      <c r="A152" t="s">
        <v>858</v>
      </c>
      <c r="B152">
        <v>151</v>
      </c>
      <c r="C152">
        <v>44157441</v>
      </c>
      <c r="D152">
        <v>454628</v>
      </c>
      <c r="E152">
        <v>19203</v>
      </c>
      <c r="F152">
        <v>4760591</v>
      </c>
      <c r="G152">
        <v>275115550</v>
      </c>
      <c r="H152">
        <v>1888663</v>
      </c>
      <c r="I152">
        <v>58237</v>
      </c>
      <c r="J152">
        <v>38613980</v>
      </c>
      <c r="K152">
        <v>35410</v>
      </c>
      <c r="L152" t="s">
        <v>936</v>
      </c>
      <c r="M152" t="s">
        <v>942</v>
      </c>
    </row>
    <row r="153" spans="1:13" x14ac:dyDescent="0.3">
      <c r="A153" t="s">
        <v>854</v>
      </c>
      <c r="B153">
        <v>152</v>
      </c>
      <c r="C153">
        <v>15244961</v>
      </c>
      <c r="D153">
        <v>305750</v>
      </c>
      <c r="E153">
        <v>252</v>
      </c>
      <c r="F153">
        <v>0</v>
      </c>
      <c r="G153">
        <v>214555237</v>
      </c>
      <c r="H153">
        <v>1795186</v>
      </c>
      <c r="I153">
        <v>26223</v>
      </c>
      <c r="J153">
        <v>3243805</v>
      </c>
      <c r="K153">
        <v>18793</v>
      </c>
      <c r="L153" t="s">
        <v>936</v>
      </c>
      <c r="M153" t="s">
        <v>942</v>
      </c>
    </row>
    <row r="154" spans="1:13" x14ac:dyDescent="0.3">
      <c r="A154" t="s">
        <v>863</v>
      </c>
      <c r="B154">
        <v>153</v>
      </c>
      <c r="C154">
        <v>46436803</v>
      </c>
      <c r="D154">
        <v>726380</v>
      </c>
      <c r="E154">
        <v>1200</v>
      </c>
      <c r="F154">
        <v>913276</v>
      </c>
      <c r="G154">
        <v>203963266</v>
      </c>
      <c r="H154">
        <v>2002254</v>
      </c>
      <c r="I154">
        <v>17430</v>
      </c>
      <c r="J154">
        <v>33225234</v>
      </c>
      <c r="K154">
        <v>43360</v>
      </c>
      <c r="L154" t="s">
        <v>936</v>
      </c>
      <c r="M154" t="s">
        <v>959</v>
      </c>
    </row>
    <row r="155" spans="1:13" x14ac:dyDescent="0.3">
      <c r="A155" t="s">
        <v>865</v>
      </c>
      <c r="B155">
        <v>154</v>
      </c>
      <c r="C155">
        <v>87429932</v>
      </c>
      <c r="D155">
        <v>841067</v>
      </c>
      <c r="E155">
        <v>622</v>
      </c>
      <c r="F155">
        <v>0</v>
      </c>
      <c r="G155">
        <v>215041438</v>
      </c>
      <c r="H155">
        <v>2111015</v>
      </c>
      <c r="I155">
        <v>3797</v>
      </c>
      <c r="J155">
        <v>35083546</v>
      </c>
      <c r="K155">
        <v>38680</v>
      </c>
      <c r="L155" t="s">
        <v>936</v>
      </c>
      <c r="M155" t="s">
        <v>937</v>
      </c>
    </row>
    <row r="156" spans="1:13" x14ac:dyDescent="0.3">
      <c r="A156" t="s">
        <v>975</v>
      </c>
      <c r="B156">
        <v>155</v>
      </c>
      <c r="C156">
        <v>9485080</v>
      </c>
      <c r="D156">
        <v>216825</v>
      </c>
      <c r="E156">
        <v>6402</v>
      </c>
      <c r="F156">
        <v>0</v>
      </c>
      <c r="G156">
        <v>161830506</v>
      </c>
      <c r="H156">
        <v>1793454</v>
      </c>
      <c r="I156">
        <v>60531</v>
      </c>
      <c r="J156">
        <v>5539743</v>
      </c>
      <c r="K156">
        <v>35100</v>
      </c>
      <c r="L156" t="s">
        <v>936</v>
      </c>
      <c r="M156" t="s">
        <v>945</v>
      </c>
    </row>
    <row r="157" spans="1:13" x14ac:dyDescent="0.3">
      <c r="A157" t="s">
        <v>862</v>
      </c>
      <c r="B157">
        <v>156</v>
      </c>
      <c r="C157">
        <v>31098225</v>
      </c>
      <c r="D157">
        <v>600265</v>
      </c>
      <c r="E157">
        <v>3700</v>
      </c>
      <c r="F157">
        <v>0</v>
      </c>
      <c r="G157">
        <v>261906760</v>
      </c>
      <c r="H157">
        <v>1983838</v>
      </c>
      <c r="I157">
        <v>25261</v>
      </c>
      <c r="J157">
        <v>2262023</v>
      </c>
      <c r="K157">
        <v>40600</v>
      </c>
      <c r="L157" t="s">
        <v>936</v>
      </c>
      <c r="M157" t="s">
        <v>944</v>
      </c>
    </row>
    <row r="158" spans="1:13" x14ac:dyDescent="0.3">
      <c r="A158" t="s">
        <v>856</v>
      </c>
      <c r="B158">
        <v>157</v>
      </c>
      <c r="C158">
        <v>7668126</v>
      </c>
      <c r="D158">
        <v>153429</v>
      </c>
      <c r="E158">
        <v>50</v>
      </c>
      <c r="F158">
        <v>0</v>
      </c>
      <c r="G158">
        <v>124358347</v>
      </c>
      <c r="H158">
        <v>1702187</v>
      </c>
      <c r="I158">
        <v>38494</v>
      </c>
      <c r="J158">
        <v>37620030</v>
      </c>
      <c r="K158">
        <v>17331</v>
      </c>
      <c r="L158" t="s">
        <v>936</v>
      </c>
      <c r="M158" t="s">
        <v>939</v>
      </c>
    </row>
    <row r="159" spans="1:13" x14ac:dyDescent="0.3">
      <c r="A159" t="s">
        <v>977</v>
      </c>
      <c r="B159">
        <v>158</v>
      </c>
      <c r="C159">
        <v>28249703</v>
      </c>
      <c r="D159">
        <v>618465</v>
      </c>
      <c r="E159">
        <v>505</v>
      </c>
      <c r="F159">
        <v>453192</v>
      </c>
      <c r="G159">
        <v>200666960</v>
      </c>
      <c r="H159">
        <v>2192185</v>
      </c>
      <c r="I159">
        <v>6397</v>
      </c>
      <c r="J159">
        <v>9466611</v>
      </c>
      <c r="K159">
        <v>37500</v>
      </c>
      <c r="L159" t="s">
        <v>936</v>
      </c>
      <c r="M159" t="s">
        <v>959</v>
      </c>
    </row>
    <row r="160" spans="1:13" x14ac:dyDescent="0.3">
      <c r="A160" t="s">
        <v>968</v>
      </c>
      <c r="B160">
        <v>159</v>
      </c>
      <c r="C160">
        <v>37510129</v>
      </c>
      <c r="D160">
        <v>534684</v>
      </c>
      <c r="E160">
        <v>0</v>
      </c>
      <c r="F160">
        <v>0</v>
      </c>
      <c r="G160">
        <v>195565313</v>
      </c>
      <c r="H160">
        <v>1987176</v>
      </c>
      <c r="I160">
        <v>7508</v>
      </c>
      <c r="J160">
        <v>3626092</v>
      </c>
      <c r="K160">
        <v>34130</v>
      </c>
      <c r="L160" t="s">
        <v>936</v>
      </c>
      <c r="M160" t="s">
        <v>945</v>
      </c>
    </row>
    <row r="161" spans="1:13" x14ac:dyDescent="0.3">
      <c r="A161" t="s">
        <v>860</v>
      </c>
      <c r="B161">
        <v>160</v>
      </c>
      <c r="C161">
        <v>21077264</v>
      </c>
      <c r="D161">
        <v>326552</v>
      </c>
      <c r="E161">
        <v>5400</v>
      </c>
      <c r="F161">
        <v>10209783</v>
      </c>
      <c r="G161">
        <v>136030821</v>
      </c>
      <c r="H161">
        <v>1835236</v>
      </c>
      <c r="I161">
        <v>19570</v>
      </c>
      <c r="J161">
        <v>35790793</v>
      </c>
      <c r="K161">
        <v>31263</v>
      </c>
      <c r="L161" t="s">
        <v>936</v>
      </c>
      <c r="M161" t="s">
        <v>946</v>
      </c>
    </row>
    <row r="162" spans="1:13" x14ac:dyDescent="0.3">
      <c r="A162" t="s">
        <v>872</v>
      </c>
      <c r="B162">
        <v>161</v>
      </c>
      <c r="C162">
        <v>50812170</v>
      </c>
      <c r="D162">
        <v>749171</v>
      </c>
      <c r="E162">
        <v>0</v>
      </c>
      <c r="F162">
        <v>0</v>
      </c>
      <c r="G162">
        <v>222653181</v>
      </c>
      <c r="H162">
        <v>1881350</v>
      </c>
      <c r="I162">
        <v>2600</v>
      </c>
      <c r="J162">
        <v>2749870</v>
      </c>
      <c r="K162">
        <v>42206</v>
      </c>
      <c r="L162" t="s">
        <v>936</v>
      </c>
      <c r="M162" t="s">
        <v>944</v>
      </c>
    </row>
    <row r="163" spans="1:13" x14ac:dyDescent="0.3">
      <c r="A163" t="s">
        <v>861</v>
      </c>
      <c r="B163">
        <v>162</v>
      </c>
      <c r="C163">
        <v>20212543</v>
      </c>
      <c r="D163">
        <v>170144</v>
      </c>
      <c r="E163">
        <v>7150</v>
      </c>
      <c r="F163">
        <v>0</v>
      </c>
      <c r="G163">
        <v>186670637</v>
      </c>
      <c r="H163">
        <v>1478960</v>
      </c>
      <c r="I163">
        <v>47568</v>
      </c>
      <c r="J163">
        <v>12560636</v>
      </c>
      <c r="K163">
        <v>33610</v>
      </c>
      <c r="L163" t="s">
        <v>936</v>
      </c>
      <c r="M163" t="s">
        <v>942</v>
      </c>
    </row>
    <row r="164" spans="1:13" x14ac:dyDescent="0.3">
      <c r="A164" t="s">
        <v>867</v>
      </c>
      <c r="B164">
        <v>163</v>
      </c>
      <c r="C164">
        <v>35645923</v>
      </c>
      <c r="D164">
        <v>468548</v>
      </c>
      <c r="E164">
        <v>902</v>
      </c>
      <c r="F164">
        <v>0</v>
      </c>
      <c r="G164">
        <v>212736943</v>
      </c>
      <c r="H164">
        <v>1712514</v>
      </c>
      <c r="I164">
        <v>32582</v>
      </c>
      <c r="J164">
        <v>3753806</v>
      </c>
      <c r="K164">
        <v>33920</v>
      </c>
      <c r="L164" t="s">
        <v>936</v>
      </c>
      <c r="M164" t="s">
        <v>940</v>
      </c>
    </row>
    <row r="165" spans="1:13" x14ac:dyDescent="0.3">
      <c r="A165" t="s">
        <v>870</v>
      </c>
      <c r="B165">
        <v>164</v>
      </c>
      <c r="C165">
        <v>56792524</v>
      </c>
      <c r="D165">
        <v>558314</v>
      </c>
      <c r="E165">
        <v>522</v>
      </c>
      <c r="F165">
        <v>0</v>
      </c>
      <c r="G165">
        <v>208395096</v>
      </c>
      <c r="H165">
        <v>1740380</v>
      </c>
      <c r="I165">
        <v>47011</v>
      </c>
      <c r="J165">
        <v>3293993</v>
      </c>
      <c r="K165">
        <v>31133</v>
      </c>
      <c r="L165" t="s">
        <v>936</v>
      </c>
      <c r="M165" t="s">
        <v>944</v>
      </c>
    </row>
    <row r="166" spans="1:13" x14ac:dyDescent="0.3">
      <c r="A166" t="s">
        <v>871</v>
      </c>
      <c r="B166">
        <v>165</v>
      </c>
      <c r="C166">
        <v>35224855</v>
      </c>
      <c r="D166">
        <v>545881</v>
      </c>
      <c r="E166">
        <v>750</v>
      </c>
      <c r="F166">
        <v>0</v>
      </c>
      <c r="G166">
        <v>174062152</v>
      </c>
      <c r="H166">
        <v>1814544</v>
      </c>
      <c r="I166">
        <v>8296</v>
      </c>
      <c r="J166">
        <v>4022349</v>
      </c>
      <c r="K166">
        <v>33419</v>
      </c>
      <c r="L166" t="s">
        <v>936</v>
      </c>
      <c r="M166" t="s">
        <v>959</v>
      </c>
    </row>
    <row r="167" spans="1:13" x14ac:dyDescent="0.3">
      <c r="A167" t="s">
        <v>869</v>
      </c>
      <c r="B167">
        <v>166</v>
      </c>
      <c r="C167">
        <v>29615129</v>
      </c>
      <c r="D167">
        <v>534368</v>
      </c>
      <c r="E167">
        <v>8550</v>
      </c>
      <c r="F167">
        <v>0</v>
      </c>
      <c r="G167">
        <v>175146111</v>
      </c>
      <c r="H167">
        <v>2009552</v>
      </c>
      <c r="I167">
        <v>89227</v>
      </c>
      <c r="J167">
        <v>2945065</v>
      </c>
      <c r="K167">
        <v>27240</v>
      </c>
      <c r="L167" t="s">
        <v>936</v>
      </c>
      <c r="M167" t="s">
        <v>940</v>
      </c>
    </row>
    <row r="168" spans="1:13" x14ac:dyDescent="0.3">
      <c r="A168" t="s">
        <v>868</v>
      </c>
      <c r="B168">
        <v>167</v>
      </c>
      <c r="C168">
        <v>18563219</v>
      </c>
      <c r="D168">
        <v>352702</v>
      </c>
      <c r="E168">
        <v>350</v>
      </c>
      <c r="F168">
        <v>7224422</v>
      </c>
      <c r="G168">
        <v>143093356</v>
      </c>
      <c r="H168">
        <v>1543221</v>
      </c>
      <c r="I168">
        <v>15497</v>
      </c>
      <c r="J168">
        <v>36111987</v>
      </c>
      <c r="K168">
        <v>34363</v>
      </c>
      <c r="L168" t="s">
        <v>936</v>
      </c>
      <c r="M168" t="s">
        <v>962</v>
      </c>
    </row>
    <row r="169" spans="1:13" x14ac:dyDescent="0.3">
      <c r="A169" t="s">
        <v>866</v>
      </c>
      <c r="B169">
        <v>168</v>
      </c>
      <c r="C169">
        <v>15232304</v>
      </c>
      <c r="D169">
        <v>164416</v>
      </c>
      <c r="E169">
        <v>4750</v>
      </c>
      <c r="F169">
        <v>0</v>
      </c>
      <c r="G169">
        <v>204467398</v>
      </c>
      <c r="H169">
        <v>1298107</v>
      </c>
      <c r="I169">
        <v>85493</v>
      </c>
      <c r="J169">
        <v>2792897</v>
      </c>
      <c r="K169">
        <v>34870</v>
      </c>
      <c r="L169" t="s">
        <v>936</v>
      </c>
      <c r="M169" t="s">
        <v>944</v>
      </c>
    </row>
    <row r="170" spans="1:13" x14ac:dyDescent="0.3">
      <c r="A170" t="s">
        <v>873</v>
      </c>
      <c r="B170">
        <v>169</v>
      </c>
      <c r="C170">
        <v>19814329</v>
      </c>
      <c r="D170">
        <v>428962</v>
      </c>
      <c r="E170">
        <v>1350</v>
      </c>
      <c r="F170">
        <v>0</v>
      </c>
      <c r="G170">
        <v>199587091</v>
      </c>
      <c r="H170">
        <v>1734353</v>
      </c>
      <c r="I170">
        <v>33716</v>
      </c>
      <c r="J170">
        <v>6642651</v>
      </c>
      <c r="K170">
        <v>33983</v>
      </c>
      <c r="L170" t="s">
        <v>936</v>
      </c>
      <c r="M170" t="s">
        <v>937</v>
      </c>
    </row>
    <row r="171" spans="1:13" x14ac:dyDescent="0.3">
      <c r="A171" t="s">
        <v>874</v>
      </c>
      <c r="B171">
        <v>170</v>
      </c>
      <c r="C171">
        <v>46025334</v>
      </c>
      <c r="D171">
        <v>464576</v>
      </c>
      <c r="E171">
        <v>765</v>
      </c>
      <c r="F171">
        <v>2163828</v>
      </c>
      <c r="G171">
        <v>213610282</v>
      </c>
      <c r="H171">
        <v>1525960</v>
      </c>
      <c r="I171">
        <v>9363</v>
      </c>
      <c r="J171">
        <v>8549159</v>
      </c>
      <c r="K171">
        <v>39656</v>
      </c>
      <c r="L171" t="s">
        <v>936</v>
      </c>
      <c r="M171" t="s">
        <v>937</v>
      </c>
    </row>
    <row r="172" spans="1:13" x14ac:dyDescent="0.3">
      <c r="A172" t="s">
        <v>875</v>
      </c>
      <c r="B172">
        <v>171</v>
      </c>
      <c r="C172">
        <v>46311127</v>
      </c>
      <c r="D172">
        <v>385591</v>
      </c>
      <c r="E172">
        <v>1850</v>
      </c>
      <c r="F172">
        <v>3192867</v>
      </c>
      <c r="G172">
        <v>245130347</v>
      </c>
      <c r="H172">
        <v>1336050</v>
      </c>
      <c r="I172">
        <v>46974</v>
      </c>
      <c r="J172">
        <v>16918918</v>
      </c>
      <c r="K172">
        <v>38828</v>
      </c>
      <c r="L172" t="s">
        <v>936</v>
      </c>
      <c r="M172" t="s">
        <v>962</v>
      </c>
    </row>
    <row r="173" spans="1:13" x14ac:dyDescent="0.3">
      <c r="A173" t="s">
        <v>877</v>
      </c>
      <c r="B173">
        <v>172</v>
      </c>
      <c r="C173">
        <v>37223050</v>
      </c>
      <c r="D173">
        <v>498231</v>
      </c>
      <c r="E173">
        <v>250</v>
      </c>
      <c r="F173">
        <v>2929423</v>
      </c>
      <c r="G173">
        <v>201666052</v>
      </c>
      <c r="H173">
        <v>1574926</v>
      </c>
      <c r="I173">
        <v>33253</v>
      </c>
      <c r="J173">
        <v>11408653</v>
      </c>
      <c r="K173">
        <v>37720</v>
      </c>
      <c r="L173" t="s">
        <v>936</v>
      </c>
      <c r="M173" t="s">
        <v>942</v>
      </c>
    </row>
    <row r="174" spans="1:13" x14ac:dyDescent="0.3">
      <c r="A174" t="s">
        <v>876</v>
      </c>
      <c r="B174">
        <v>173</v>
      </c>
      <c r="C174">
        <v>25692112</v>
      </c>
      <c r="D174">
        <v>399102</v>
      </c>
      <c r="E174">
        <v>700</v>
      </c>
      <c r="F174">
        <v>3325055</v>
      </c>
      <c r="G174">
        <v>205266541</v>
      </c>
      <c r="H174">
        <v>1415277</v>
      </c>
      <c r="I174">
        <v>28244</v>
      </c>
      <c r="J174">
        <v>13900776</v>
      </c>
      <c r="K174">
        <v>36720</v>
      </c>
      <c r="L174" t="s">
        <v>936</v>
      </c>
      <c r="M174" t="s">
        <v>945</v>
      </c>
    </row>
    <row r="175" spans="1:13" x14ac:dyDescent="0.3">
      <c r="A175" t="s">
        <v>879</v>
      </c>
      <c r="B175">
        <v>174</v>
      </c>
      <c r="C175">
        <v>21645539</v>
      </c>
      <c r="D175">
        <v>420221</v>
      </c>
      <c r="E175">
        <v>50</v>
      </c>
      <c r="F175">
        <v>0</v>
      </c>
      <c r="G175">
        <v>149989384</v>
      </c>
      <c r="H175">
        <v>1400595</v>
      </c>
      <c r="I175">
        <v>12812</v>
      </c>
      <c r="J175">
        <v>1523337</v>
      </c>
      <c r="K175">
        <v>28120</v>
      </c>
      <c r="L175" t="s">
        <v>936</v>
      </c>
      <c r="M175" t="s">
        <v>942</v>
      </c>
    </row>
    <row r="176" spans="1:13" x14ac:dyDescent="0.3">
      <c r="A176" t="s">
        <v>884</v>
      </c>
      <c r="B176">
        <v>175</v>
      </c>
      <c r="C176">
        <v>35730454</v>
      </c>
      <c r="D176">
        <v>723757</v>
      </c>
      <c r="E176">
        <v>38752</v>
      </c>
      <c r="F176">
        <v>5581534</v>
      </c>
      <c r="G176">
        <v>132235646</v>
      </c>
      <c r="H176">
        <v>2098636</v>
      </c>
      <c r="I176">
        <v>124884</v>
      </c>
      <c r="J176">
        <v>38833787</v>
      </c>
      <c r="K176">
        <v>27706</v>
      </c>
      <c r="L176" t="s">
        <v>936</v>
      </c>
      <c r="M176" t="s">
        <v>959</v>
      </c>
    </row>
    <row r="177" spans="1:13" x14ac:dyDescent="0.3">
      <c r="A177" t="s">
        <v>878</v>
      </c>
      <c r="B177">
        <v>176</v>
      </c>
      <c r="C177">
        <v>37605168</v>
      </c>
      <c r="D177">
        <v>319381</v>
      </c>
      <c r="E177">
        <v>202</v>
      </c>
      <c r="F177">
        <v>0</v>
      </c>
      <c r="G177">
        <v>159555064</v>
      </c>
      <c r="H177">
        <v>1276022</v>
      </c>
      <c r="I177">
        <v>26727</v>
      </c>
      <c r="J177">
        <v>3024324</v>
      </c>
      <c r="K177">
        <v>36390</v>
      </c>
      <c r="L177" t="s">
        <v>936</v>
      </c>
      <c r="M177" t="s">
        <v>962</v>
      </c>
    </row>
    <row r="178" spans="1:13" x14ac:dyDescent="0.3">
      <c r="A178" t="s">
        <v>882</v>
      </c>
      <c r="B178">
        <v>177</v>
      </c>
      <c r="C178">
        <v>20097038</v>
      </c>
      <c r="D178">
        <v>391447</v>
      </c>
      <c r="E178">
        <v>851</v>
      </c>
      <c r="F178">
        <v>0</v>
      </c>
      <c r="G178">
        <v>160419837</v>
      </c>
      <c r="H178">
        <v>1329944</v>
      </c>
      <c r="I178">
        <v>10740</v>
      </c>
      <c r="J178">
        <v>4024234</v>
      </c>
      <c r="K178">
        <v>29555</v>
      </c>
      <c r="L178" t="s">
        <v>936</v>
      </c>
      <c r="M178" t="s">
        <v>959</v>
      </c>
    </row>
    <row r="179" spans="1:13" x14ac:dyDescent="0.3">
      <c r="A179" t="s">
        <v>881</v>
      </c>
      <c r="B179">
        <v>178</v>
      </c>
      <c r="C179">
        <v>12554971</v>
      </c>
      <c r="D179">
        <v>251188</v>
      </c>
      <c r="E179">
        <v>0</v>
      </c>
      <c r="F179">
        <v>0</v>
      </c>
      <c r="G179">
        <v>145762501</v>
      </c>
      <c r="H179">
        <v>1171354</v>
      </c>
      <c r="I179">
        <v>5980</v>
      </c>
      <c r="J179">
        <v>3912709</v>
      </c>
      <c r="K179">
        <v>32133</v>
      </c>
      <c r="L179" t="s">
        <v>936</v>
      </c>
      <c r="M179" t="s">
        <v>940</v>
      </c>
    </row>
    <row r="180" spans="1:13" x14ac:dyDescent="0.3">
      <c r="A180" t="s">
        <v>880</v>
      </c>
      <c r="B180">
        <v>179</v>
      </c>
      <c r="C180">
        <v>24532447</v>
      </c>
      <c r="D180">
        <v>157851</v>
      </c>
      <c r="E180">
        <v>900</v>
      </c>
      <c r="F180">
        <v>0</v>
      </c>
      <c r="G180">
        <v>158815986</v>
      </c>
      <c r="H180">
        <v>1123306</v>
      </c>
      <c r="I180">
        <v>49572</v>
      </c>
      <c r="J180">
        <v>2022935</v>
      </c>
      <c r="K180">
        <v>32460</v>
      </c>
      <c r="L180" t="s">
        <v>936</v>
      </c>
      <c r="M180" t="s">
        <v>942</v>
      </c>
    </row>
    <row r="181" spans="1:13" x14ac:dyDescent="0.3">
      <c r="A181" t="s">
        <v>886</v>
      </c>
      <c r="B181">
        <v>180</v>
      </c>
      <c r="C181">
        <v>25616986</v>
      </c>
      <c r="D181">
        <v>617532</v>
      </c>
      <c r="E181">
        <v>24470</v>
      </c>
      <c r="F181">
        <v>0</v>
      </c>
      <c r="G181">
        <v>156354760</v>
      </c>
      <c r="H181">
        <v>1517194</v>
      </c>
      <c r="I181">
        <v>55737</v>
      </c>
      <c r="J181">
        <v>6840688</v>
      </c>
      <c r="K181">
        <v>31570</v>
      </c>
      <c r="L181" t="s">
        <v>936</v>
      </c>
      <c r="M181" t="s">
        <v>959</v>
      </c>
    </row>
    <row r="182" spans="1:13" x14ac:dyDescent="0.3">
      <c r="A182" t="s">
        <v>885</v>
      </c>
      <c r="B182">
        <v>181</v>
      </c>
      <c r="C182">
        <v>44886252</v>
      </c>
      <c r="D182">
        <v>435140</v>
      </c>
      <c r="E182">
        <v>700</v>
      </c>
      <c r="F182">
        <v>0</v>
      </c>
      <c r="G182">
        <v>152870099</v>
      </c>
      <c r="H182">
        <v>1323406</v>
      </c>
      <c r="I182">
        <v>9701</v>
      </c>
      <c r="J182">
        <v>4030908</v>
      </c>
      <c r="K182">
        <v>31262</v>
      </c>
      <c r="L182" t="s">
        <v>936</v>
      </c>
      <c r="M182" t="s">
        <v>959</v>
      </c>
    </row>
    <row r="183" spans="1:13" x14ac:dyDescent="0.3">
      <c r="A183" t="s">
        <v>883</v>
      </c>
      <c r="B183">
        <v>182</v>
      </c>
      <c r="C183">
        <v>15688906</v>
      </c>
      <c r="D183">
        <v>247920</v>
      </c>
      <c r="E183">
        <v>5350</v>
      </c>
      <c r="F183">
        <v>0</v>
      </c>
      <c r="G183">
        <v>128213957</v>
      </c>
      <c r="H183">
        <v>1070160</v>
      </c>
      <c r="I183">
        <v>24675</v>
      </c>
      <c r="J183">
        <v>8057288</v>
      </c>
      <c r="K183">
        <v>35780</v>
      </c>
      <c r="L183" t="s">
        <v>936</v>
      </c>
      <c r="M183" t="s">
        <v>962</v>
      </c>
    </row>
    <row r="184" spans="1:13" x14ac:dyDescent="0.3">
      <c r="A184" t="s">
        <v>887</v>
      </c>
      <c r="B184">
        <v>183</v>
      </c>
      <c r="C184">
        <v>16875250</v>
      </c>
      <c r="D184">
        <v>405617</v>
      </c>
      <c r="E184">
        <v>37640</v>
      </c>
      <c r="F184">
        <v>9209619</v>
      </c>
      <c r="G184">
        <v>105420017</v>
      </c>
      <c r="H184">
        <v>1487302</v>
      </c>
      <c r="I184">
        <v>123834</v>
      </c>
      <c r="J184">
        <v>60926385</v>
      </c>
      <c r="K184">
        <v>19956</v>
      </c>
      <c r="L184" t="s">
        <v>936</v>
      </c>
      <c r="M184" t="s">
        <v>937</v>
      </c>
    </row>
    <row r="185" spans="1:13" x14ac:dyDescent="0.3">
      <c r="A185" t="s">
        <v>888</v>
      </c>
      <c r="B185">
        <v>184</v>
      </c>
      <c r="C185">
        <v>15640317</v>
      </c>
      <c r="D185">
        <v>211148</v>
      </c>
      <c r="E185">
        <v>101</v>
      </c>
      <c r="F185">
        <v>0</v>
      </c>
      <c r="G185">
        <v>129782385</v>
      </c>
      <c r="H185">
        <v>907214</v>
      </c>
      <c r="I185">
        <v>29123</v>
      </c>
      <c r="J185">
        <v>10097123</v>
      </c>
      <c r="K185">
        <v>30930</v>
      </c>
      <c r="L185" t="s">
        <v>936</v>
      </c>
      <c r="M185" t="s">
        <v>937</v>
      </c>
    </row>
    <row r="186" spans="1:13" x14ac:dyDescent="0.3">
      <c r="A186" t="s">
        <v>889</v>
      </c>
      <c r="B186">
        <v>185</v>
      </c>
      <c r="C186">
        <v>10360250</v>
      </c>
      <c r="D186">
        <v>172420</v>
      </c>
      <c r="E186">
        <v>0</v>
      </c>
      <c r="F186">
        <v>1821454</v>
      </c>
      <c r="G186">
        <v>134570891</v>
      </c>
      <c r="H186">
        <v>826307</v>
      </c>
      <c r="I186">
        <v>30181</v>
      </c>
      <c r="J186">
        <v>6999995</v>
      </c>
      <c r="K186">
        <v>30963</v>
      </c>
      <c r="L186" t="s">
        <v>936</v>
      </c>
      <c r="M186" t="s">
        <v>962</v>
      </c>
    </row>
    <row r="187" spans="1:13" x14ac:dyDescent="0.3">
      <c r="A187" t="s">
        <v>890</v>
      </c>
      <c r="B187">
        <v>186</v>
      </c>
      <c r="C187">
        <v>20361881</v>
      </c>
      <c r="D187">
        <v>227120</v>
      </c>
      <c r="E187">
        <v>353</v>
      </c>
      <c r="F187">
        <v>0</v>
      </c>
      <c r="G187">
        <v>109264822</v>
      </c>
      <c r="H187">
        <v>803815</v>
      </c>
      <c r="I187">
        <v>11973</v>
      </c>
      <c r="J187">
        <v>11815276</v>
      </c>
      <c r="K187">
        <v>28830</v>
      </c>
      <c r="L187" t="s">
        <v>936</v>
      </c>
      <c r="M187" t="s">
        <v>942</v>
      </c>
    </row>
    <row r="188" spans="1:13" x14ac:dyDescent="0.3">
      <c r="A188" t="s">
        <v>892</v>
      </c>
      <c r="B188">
        <v>187</v>
      </c>
      <c r="C188">
        <v>5200172</v>
      </c>
      <c r="D188">
        <v>100653</v>
      </c>
      <c r="E188">
        <v>0</v>
      </c>
      <c r="F188">
        <v>0</v>
      </c>
      <c r="G188">
        <v>111933346</v>
      </c>
      <c r="H188">
        <v>679555</v>
      </c>
      <c r="I188">
        <v>4977</v>
      </c>
      <c r="J188">
        <v>15924862</v>
      </c>
      <c r="K188">
        <v>33503</v>
      </c>
      <c r="L188" t="s">
        <v>936</v>
      </c>
      <c r="M188" t="s">
        <v>962</v>
      </c>
    </row>
    <row r="189" spans="1:13" x14ac:dyDescent="0.3">
      <c r="A189" t="s">
        <v>894</v>
      </c>
      <c r="B189">
        <v>188</v>
      </c>
      <c r="C189">
        <v>6540018</v>
      </c>
      <c r="D189">
        <v>130859</v>
      </c>
      <c r="E189">
        <v>350</v>
      </c>
      <c r="F189">
        <v>0</v>
      </c>
      <c r="G189">
        <v>103960338</v>
      </c>
      <c r="H189">
        <v>647520</v>
      </c>
      <c r="I189">
        <v>7644</v>
      </c>
      <c r="J189">
        <v>6188510</v>
      </c>
      <c r="K189">
        <v>25160</v>
      </c>
      <c r="L189" t="s">
        <v>936</v>
      </c>
      <c r="M189" t="s">
        <v>940</v>
      </c>
    </row>
    <row r="190" spans="1:13" x14ac:dyDescent="0.3">
      <c r="A190" t="s">
        <v>893</v>
      </c>
      <c r="B190">
        <v>189</v>
      </c>
      <c r="C190">
        <v>3161473</v>
      </c>
      <c r="D190">
        <v>50674</v>
      </c>
      <c r="E190">
        <v>358</v>
      </c>
      <c r="F190">
        <v>62866720</v>
      </c>
      <c r="G190">
        <v>42891997</v>
      </c>
      <c r="H190">
        <v>454171</v>
      </c>
      <c r="I190">
        <v>76192</v>
      </c>
      <c r="J190">
        <v>289586468</v>
      </c>
      <c r="K190">
        <v>20506</v>
      </c>
      <c r="L190" t="s">
        <v>936</v>
      </c>
      <c r="M190" t="s">
        <v>937</v>
      </c>
    </row>
    <row r="191" spans="1:13" x14ac:dyDescent="0.3">
      <c r="A191" t="s">
        <v>896</v>
      </c>
      <c r="B191">
        <v>190</v>
      </c>
      <c r="C191">
        <v>21302251</v>
      </c>
      <c r="D191">
        <v>184168</v>
      </c>
      <c r="E191">
        <v>7079</v>
      </c>
      <c r="F191">
        <v>9168087</v>
      </c>
      <c r="G191">
        <v>152910810</v>
      </c>
      <c r="H191">
        <v>606949</v>
      </c>
      <c r="I191">
        <v>18837</v>
      </c>
      <c r="J191">
        <v>12551708</v>
      </c>
      <c r="K191">
        <v>29668</v>
      </c>
      <c r="L191" t="s">
        <v>936</v>
      </c>
      <c r="M191" t="s">
        <v>962</v>
      </c>
    </row>
    <row r="192" spans="1:13" x14ac:dyDescent="0.3">
      <c r="A192" t="s">
        <v>895</v>
      </c>
      <c r="B192">
        <v>191</v>
      </c>
      <c r="C192">
        <v>6714724</v>
      </c>
      <c r="D192">
        <v>101867</v>
      </c>
      <c r="E192">
        <v>700</v>
      </c>
      <c r="F192">
        <v>0</v>
      </c>
      <c r="G192">
        <v>121585570</v>
      </c>
      <c r="H192">
        <v>547227</v>
      </c>
      <c r="I192">
        <v>13297</v>
      </c>
      <c r="J192">
        <v>9629723</v>
      </c>
      <c r="K192">
        <v>33769</v>
      </c>
      <c r="L192" t="s">
        <v>936</v>
      </c>
      <c r="M192" t="s">
        <v>962</v>
      </c>
    </row>
    <row r="193" spans="1:13" x14ac:dyDescent="0.3">
      <c r="A193" t="s">
        <v>898</v>
      </c>
      <c r="B193">
        <v>192</v>
      </c>
      <c r="C193">
        <v>6003905</v>
      </c>
      <c r="D193">
        <v>119442</v>
      </c>
      <c r="E193">
        <v>350</v>
      </c>
      <c r="F193">
        <v>14822895</v>
      </c>
      <c r="G193">
        <v>85161901</v>
      </c>
      <c r="H193">
        <v>543626</v>
      </c>
      <c r="I193">
        <v>15966</v>
      </c>
      <c r="J193">
        <v>49390691</v>
      </c>
      <c r="K193">
        <v>22563</v>
      </c>
      <c r="L193" t="s">
        <v>936</v>
      </c>
      <c r="M193" t="s">
        <v>937</v>
      </c>
    </row>
    <row r="194" spans="1:13" x14ac:dyDescent="0.3">
      <c r="A194" t="s">
        <v>897</v>
      </c>
      <c r="B194">
        <v>193</v>
      </c>
      <c r="C194">
        <v>709443</v>
      </c>
      <c r="D194">
        <v>7224</v>
      </c>
      <c r="E194">
        <v>0</v>
      </c>
      <c r="F194">
        <v>0</v>
      </c>
      <c r="G194">
        <v>57051857</v>
      </c>
      <c r="H194">
        <v>312495</v>
      </c>
      <c r="I194">
        <v>5816</v>
      </c>
      <c r="J194">
        <v>2216756</v>
      </c>
      <c r="K194">
        <v>23480</v>
      </c>
      <c r="L194" t="s">
        <v>936</v>
      </c>
      <c r="M194" t="s">
        <v>937</v>
      </c>
    </row>
    <row r="195" spans="1:13" x14ac:dyDescent="0.3">
      <c r="A195" t="s">
        <v>899</v>
      </c>
      <c r="B195">
        <v>194</v>
      </c>
      <c r="C195">
        <v>14101019</v>
      </c>
      <c r="D195">
        <v>229662</v>
      </c>
      <c r="E195">
        <v>9000</v>
      </c>
      <c r="F195">
        <v>0</v>
      </c>
      <c r="G195">
        <v>77494345</v>
      </c>
      <c r="H195">
        <v>585556</v>
      </c>
      <c r="I195">
        <v>37086</v>
      </c>
      <c r="J195">
        <v>64649956</v>
      </c>
      <c r="K195">
        <v>23203</v>
      </c>
      <c r="L195" t="s">
        <v>936</v>
      </c>
      <c r="M195" t="s">
        <v>945</v>
      </c>
    </row>
    <row r="196" spans="1:13" x14ac:dyDescent="0.3">
      <c r="A196" t="s">
        <v>897</v>
      </c>
      <c r="B196">
        <v>194</v>
      </c>
      <c r="C196">
        <v>709443</v>
      </c>
      <c r="D196">
        <v>7224</v>
      </c>
      <c r="E196">
        <v>0</v>
      </c>
      <c r="F196">
        <v>0</v>
      </c>
      <c r="G196">
        <v>57051857</v>
      </c>
      <c r="H196">
        <v>312495</v>
      </c>
      <c r="I196">
        <v>5816</v>
      </c>
      <c r="J196">
        <v>2216756</v>
      </c>
      <c r="K196">
        <v>23480</v>
      </c>
      <c r="L196" t="s">
        <v>936</v>
      </c>
      <c r="M196" t="s">
        <v>937</v>
      </c>
    </row>
    <row r="197" spans="1:13" x14ac:dyDescent="0.3">
      <c r="A197" t="s">
        <v>900</v>
      </c>
      <c r="B197">
        <v>195</v>
      </c>
      <c r="C197">
        <v>4432047</v>
      </c>
      <c r="D197">
        <v>83377</v>
      </c>
      <c r="E197">
        <v>5750</v>
      </c>
      <c r="F197">
        <v>15018157</v>
      </c>
      <c r="G197">
        <v>52239901</v>
      </c>
      <c r="H197">
        <v>319169</v>
      </c>
      <c r="I197">
        <v>19075</v>
      </c>
      <c r="J197">
        <v>77322327</v>
      </c>
      <c r="K197">
        <v>17470</v>
      </c>
      <c r="L197" t="s">
        <v>936</v>
      </c>
      <c r="M197" t="s">
        <v>937</v>
      </c>
    </row>
    <row r="198" spans="1:13" x14ac:dyDescent="0.3">
      <c r="A198" t="s">
        <v>901</v>
      </c>
      <c r="B198">
        <v>196</v>
      </c>
      <c r="C198">
        <v>11915221</v>
      </c>
      <c r="D198">
        <v>37597</v>
      </c>
      <c r="E198">
        <v>0</v>
      </c>
      <c r="F198">
        <v>3911003</v>
      </c>
      <c r="G198">
        <v>103825939</v>
      </c>
      <c r="H198">
        <v>256972</v>
      </c>
      <c r="I198">
        <v>23752</v>
      </c>
      <c r="J198">
        <v>54100651</v>
      </c>
      <c r="K198">
        <v>23610</v>
      </c>
      <c r="L198" t="s">
        <v>936</v>
      </c>
      <c r="M198" t="s">
        <v>937</v>
      </c>
    </row>
    <row r="199" spans="1:13" x14ac:dyDescent="0.3">
      <c r="A199" t="s">
        <v>980</v>
      </c>
      <c r="B199">
        <v>197</v>
      </c>
      <c r="C199">
        <v>12795104</v>
      </c>
      <c r="D199">
        <v>122118</v>
      </c>
      <c r="E199">
        <v>33450</v>
      </c>
      <c r="F199">
        <v>22259685</v>
      </c>
      <c r="G199">
        <v>32255376</v>
      </c>
      <c r="H199">
        <v>206074</v>
      </c>
      <c r="I199">
        <v>33450</v>
      </c>
      <c r="J199">
        <v>68038712</v>
      </c>
      <c r="K199">
        <v>14640</v>
      </c>
      <c r="L199" t="s">
        <v>936</v>
      </c>
      <c r="M199" t="s">
        <v>959</v>
      </c>
    </row>
  </sheetData>
  <autoFilter ref="A1:M199" xr:uid="{EDA48E4D-10FC-4126-BBE4-65CC743433F1}">
    <sortState xmlns:xlrd2="http://schemas.microsoft.com/office/spreadsheetml/2017/richdata2" ref="A2:M199">
      <sortCondition ref="B1:B199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전체 통계</vt:lpstr>
      <vt:lpstr>전체 랭킹 (250918)</vt:lpstr>
      <vt:lpstr>하삼주(250918)</vt:lpstr>
      <vt:lpstr>전체 랭킹 (250929)</vt:lpstr>
      <vt:lpstr>하삼주 (250929)</vt:lpstr>
      <vt:lpstr>전체 랭킹 (251006)</vt:lpstr>
      <vt:lpstr>하삼주 (251006)</vt:lpstr>
      <vt:lpstr>일간 데이터 변화 관측</vt:lpstr>
      <vt:lpstr>251013</vt:lpstr>
      <vt:lpstr>251014</vt:lpstr>
      <vt:lpstr>251015</vt:lpstr>
      <vt:lpstr>251016</vt:lpstr>
      <vt:lpstr>251017</vt:lpstr>
      <vt:lpstr>251018</vt:lpstr>
      <vt:lpstr>251008_0시</vt:lpstr>
      <vt:lpstr>251009_0시</vt:lpstr>
      <vt:lpstr>251010_0시</vt:lpstr>
      <vt:lpstr>251011_0시</vt:lpstr>
      <vt:lpstr>251012_0시</vt:lpstr>
      <vt:lpstr>251013_0시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yongjin jeong</dc:creator>
  <cp:lastModifiedBy>yongjin jeong</cp:lastModifiedBy>
  <dcterms:created xsi:type="dcterms:W3CDTF">2025-09-18T05:18:25Z</dcterms:created>
  <dcterms:modified xsi:type="dcterms:W3CDTF">2025-11-23T13:16:45Z</dcterms:modified>
</cp:coreProperties>
</file>